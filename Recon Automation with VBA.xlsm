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lahuddeenr\Downloads\"/>
    </mc:Choice>
  </mc:AlternateContent>
  <xr:revisionPtr revIDLastSave="0" documentId="13_ncr:1_{5AFBAEA0-0158-4DED-8455-A073AA585682}" xr6:coauthVersionLast="43" xr6:coauthVersionMax="43" xr10:uidLastSave="{00000000-0000-0000-0000-000000000000}"/>
  <bookViews>
    <workbookView xWindow="-120" yWindow="-120" windowWidth="20730" windowHeight="11160" tabRatio="871" activeTab="1" xr2:uid="{00000000-000D-0000-FFFF-FFFF00000000}"/>
  </bookViews>
  <sheets>
    <sheet name="CERTIFICATE" sheetId="1" r:id="rId1"/>
    <sheet name="Sheet1" sheetId="12" r:id="rId2"/>
    <sheet name="ATM MAN. BAL" sheetId="2" r:id="rId3"/>
    <sheet name="MANUAL BAL TRXNS" sheetId="3" r:id="rId4"/>
    <sheet name="ATM RECON PAGE" sheetId="4" r:id="rId5"/>
    <sheet name="GL" sheetId="5" r:id="rId6"/>
    <sheet name="FEP" sheetId="6" r:id="rId7"/>
    <sheet name="FLEXCUBE" sheetId="7" r:id="rId8"/>
    <sheet name="TRXNS AFT CSH CNT B4 EOD" sheetId="8" r:id="rId9"/>
    <sheet name="SUSP DISPENSE ERROR" sheetId="9" r:id="rId10"/>
    <sheet name="ON FEP NOT ON GL" sheetId="10" r:id="rId11"/>
    <sheet name="NOT ON GL ON FEP" sheetId="11" r:id="rId12"/>
  </sheets>
  <functionGroups builtInGroupCount="19"/>
  <definedNames>
    <definedName name="am_pmLocList">CERTIFICATE!$M$1:$M$3</definedName>
    <definedName name="amount_unload_1k">CERTIFICATE!$D$11</definedName>
    <definedName name="amount_unload_5h">CERTIFICATE!$D$12</definedName>
    <definedName name="ATM_FEP_12" localSheetId="6">FEP!$A$1:$J$393</definedName>
    <definedName name="atm_glcode">CERTIFICATE!$B$6</definedName>
    <definedName name="Branch">CERTIFICATE!$B$5</definedName>
    <definedName name="closingGLBal">CERTIFICATE!$E$16</definedName>
    <definedName name="closingGLBalRecPg">'ATM RECON PAGE'!$D$8</definedName>
    <definedName name="date_new">CERTIFICATE!$B$7</definedName>
    <definedName name="date_prev">'ATM MAN. BAL'!$A$4</definedName>
    <definedName name="dayLocList">CERTIFICATE!$H$1:$H$32</definedName>
    <definedName name="Fresh_load">CERTIFICATE!$B$21</definedName>
    <definedName name="gl_10" localSheetId="5">GL!#REF!</definedName>
    <definedName name="gl_9" localSheetId="5">GL!$A$1:$H$673</definedName>
    <definedName name="hourLocList">CERTIFICATE!$K$1:$K$13</definedName>
    <definedName name="Last_load">'ATM MAN. BAL'!$G$4</definedName>
    <definedName name="locList">CERTIFICATE!$H$1:$H$32</definedName>
    <definedName name="manBalTotWdwl">'ATM MAN. BAL'!$F$19</definedName>
    <definedName name="minLocList">CERTIFICATE!$L$1:$L$61</definedName>
    <definedName name="monthLocList">CERTIFICATE!$I$1:$I$13</definedName>
    <definedName name="prepared_by">'ATM RECON PAGE'!$D$47</definedName>
    <definedName name="Reviewed_by">'ATM RECON PAGE'!$D$49</definedName>
    <definedName name="time_new">CERTIFICATE!$B$8</definedName>
    <definedName name="time_prev_off">'ATM MAN. BAL'!$J$4</definedName>
    <definedName name="time_prev_on">'ATM MAN. BAL'!$K$4</definedName>
    <definedName name="totTrxnsBeforeEOD">'ATM RECON PAGE'!$D$22</definedName>
    <definedName name="yearLocList">CERTIFICATE!$J$1:$J$13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" l="1"/>
  <c r="E9" i="2"/>
  <c r="F23" i="2" l="1"/>
  <c r="F10" i="2"/>
  <c r="F9" i="2"/>
  <c r="F8" i="2"/>
  <c r="F7" i="2"/>
  <c r="F6" i="2"/>
  <c r="F5" i="2"/>
  <c r="G11" i="2" l="1"/>
  <c r="G12" i="2" s="1"/>
  <c r="F21" i="2" s="1"/>
  <c r="E166" i="11"/>
  <c r="A25" i="9"/>
  <c r="A24" i="9"/>
  <c r="A23" i="9"/>
  <c r="A22" i="9"/>
  <c r="A21" i="9"/>
  <c r="G20" i="9"/>
  <c r="G36" i="9" s="1"/>
  <c r="A20" i="9"/>
  <c r="G10" i="9"/>
  <c r="K25" i="7"/>
  <c r="E34" i="4"/>
  <c r="E10" i="4"/>
  <c r="E19" i="4" s="1"/>
  <c r="C7" i="4"/>
  <c r="D4" i="4"/>
  <c r="B17" i="4" s="1"/>
  <c r="B22" i="4" s="1"/>
  <c r="D3" i="4"/>
  <c r="D2" i="4"/>
  <c r="E14" i="1"/>
  <c r="E13" i="1"/>
  <c r="E12" i="1"/>
  <c r="E11" i="1"/>
  <c r="D28" i="4" l="1"/>
  <c r="E15" i="1"/>
  <c r="E17" i="1" s="1"/>
  <c r="B22" i="1"/>
  <c r="D17" i="4" s="1"/>
  <c r="D19" i="4" s="1"/>
  <c r="D20" i="4" s="1"/>
  <c r="B41" i="4"/>
  <c r="B34" i="4"/>
  <c r="B26" i="4"/>
  <c r="D5" i="4"/>
  <c r="B45" i="4" s="1"/>
  <c r="B36" i="4"/>
  <c r="B24" i="4"/>
  <c r="B28" i="4"/>
  <c r="B8" i="4"/>
  <c r="B10" i="4" s="1"/>
  <c r="D34" i="4" l="1"/>
  <c r="D41" i="4" s="1"/>
  <c r="D45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TM_FEP" type="6" refreshedVersion="6" background="1" saveData="1">
    <textPr prompt="0" codePage="65001" sourceFile="C:\Users\user\Downloads\ATM_FEP.csv" comma="1">
      <textFields count="15">
        <textField type="skip"/>
        <textField/>
        <textField/>
        <textField type="skip"/>
        <textField/>
        <textField/>
        <textField/>
        <textField type="skip"/>
        <textField/>
        <textField/>
        <textField type="skip"/>
        <textField type="skip"/>
        <textField/>
        <textField/>
        <textField/>
      </textFields>
    </textPr>
  </connection>
  <connection id="2" xr16:uid="{00000000-0015-0000-FFFF-FFFF01000000}" name="gl_009" type="6" refreshedVersion="6" background="1" saveData="1">
    <textPr prompt="0" codePage="65001" firstRow="4" sourceFile="C:\Users\user\Downloads\gl_009.csv" tab="0" comma="1">
      <textFields count="13">
        <textField type="skip"/>
        <textField/>
        <textField/>
        <textField/>
        <textField/>
        <textField type="skip"/>
        <textField/>
        <textField/>
        <textField/>
        <textField/>
        <textField type="skip"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<sst xmlns="http://schemas.openxmlformats.org/spreadsheetml/2006/main" count="4120" uniqueCount="1749">
  <si>
    <t>TERMINAL ID</t>
  </si>
  <si>
    <t>ATM CASH COUNT</t>
  </si>
  <si>
    <t>BRANCH:</t>
  </si>
  <si>
    <t>LEDGER CODE:</t>
  </si>
  <si>
    <t xml:space="preserve">DATE: </t>
  </si>
  <si>
    <t xml:space="preserve">TIME: </t>
  </si>
  <si>
    <t xml:space="preserve"> </t>
  </si>
  <si>
    <t>Denomination (N)</t>
  </si>
  <si>
    <t>Bundle</t>
  </si>
  <si>
    <t xml:space="preserve">Packet </t>
  </si>
  <si>
    <t>Pieces</t>
  </si>
  <si>
    <t>Amount  (N)</t>
  </si>
  <si>
    <t>Retract Bin: N1,000</t>
  </si>
  <si>
    <t>Retract Bin: N500</t>
  </si>
  <si>
    <t>Total Physical Cash</t>
  </si>
  <si>
    <t>Closing balance</t>
  </si>
  <si>
    <t>Difference- (Shortage)/ Overage*</t>
  </si>
  <si>
    <t xml:space="preserve">Explaination on the differences : </t>
  </si>
  <si>
    <t>CASH LOAD</t>
  </si>
  <si>
    <t>CASH UNLOAD</t>
  </si>
  <si>
    <t>………………………..</t>
  </si>
  <si>
    <t>…………………………..</t>
  </si>
  <si>
    <t>……………………………</t>
  </si>
  <si>
    <t>Back Up</t>
  </si>
  <si>
    <t>BSH</t>
  </si>
  <si>
    <t xml:space="preserve">Internal Control Officer </t>
  </si>
  <si>
    <t>Name &amp; Sign</t>
  </si>
  <si>
    <t>* This difference does not apply to the difference captioned in the recon template.</t>
  </si>
  <si>
    <t>ATM MANUAL BALANCING</t>
  </si>
  <si>
    <t>Date</t>
  </si>
  <si>
    <t>S/N</t>
  </si>
  <si>
    <t>DETAILS</t>
  </si>
  <si>
    <t>PCS</t>
  </si>
  <si>
    <t>AMOUNT (=N=)</t>
  </si>
  <si>
    <t>MAKER Signature</t>
  </si>
  <si>
    <t>BSH Signature</t>
  </si>
  <si>
    <t>TIME OFF</t>
  </si>
  <si>
    <t>TIME ON</t>
  </si>
  <si>
    <t>A</t>
  </si>
  <si>
    <t>Total cash loaded in ATM</t>
  </si>
  <si>
    <t>i</t>
  </si>
  <si>
    <t>Reject Canister</t>
  </si>
  <si>
    <t>N1,000</t>
  </si>
  <si>
    <t xml:space="preserve">  </t>
  </si>
  <si>
    <t>ii</t>
  </si>
  <si>
    <t>N500</t>
  </si>
  <si>
    <t>iii</t>
  </si>
  <si>
    <t>Retract Canister</t>
  </si>
  <si>
    <t>iv</t>
  </si>
  <si>
    <t>v</t>
  </si>
  <si>
    <t>ATM Unpaid Cash Canister</t>
  </si>
  <si>
    <t>vi</t>
  </si>
  <si>
    <t>B</t>
  </si>
  <si>
    <r>
      <t>Total cash found in ATM (</t>
    </r>
    <r>
      <rPr>
        <b/>
        <sz val="10"/>
        <rFont val="Arial"/>
        <family val="2"/>
      </rPr>
      <t>sum i to vi</t>
    </r>
    <r>
      <rPr>
        <sz val="11"/>
        <color theme="1"/>
        <rFont val="Calibri"/>
        <family val="2"/>
        <scheme val="minor"/>
      </rPr>
      <t>)</t>
    </r>
  </si>
  <si>
    <t>C</t>
  </si>
  <si>
    <r>
      <t>Total cash dispensed for the period [</t>
    </r>
    <r>
      <rPr>
        <b/>
        <sz val="10"/>
        <rFont val="Arial"/>
        <family val="2"/>
      </rPr>
      <t>A minus B</t>
    </r>
    <r>
      <rPr>
        <sz val="11"/>
        <color theme="1"/>
        <rFont val="Calibri"/>
        <family val="2"/>
        <scheme val="minor"/>
      </rPr>
      <t xml:space="preserve">]  </t>
    </r>
    <r>
      <rPr>
        <b/>
        <sz val="9"/>
        <rFont val="Arial"/>
        <family val="2"/>
      </rPr>
      <t>(to be crosschecked with FEP)</t>
    </r>
  </si>
  <si>
    <t>D</t>
  </si>
  <si>
    <t>Fresh cash reloaded today</t>
  </si>
  <si>
    <t>TOTAL Dispensed (FEP)</t>
  </si>
  <si>
    <t>Difference beween Total cash dispensed and FEP Cash dispensed</t>
  </si>
  <si>
    <t>Explanation of difference</t>
  </si>
  <si>
    <t>PAN</t>
  </si>
  <si>
    <t>BRANCH</t>
  </si>
  <si>
    <t>PROOF AS AT:</t>
  </si>
  <si>
    <t>DATE OF PREPARATION</t>
  </si>
  <si>
    <t>ATM 1</t>
  </si>
  <si>
    <t>TIME</t>
  </si>
  <si>
    <t>DR</t>
  </si>
  <si>
    <t>CR</t>
  </si>
  <si>
    <t xml:space="preserve"> Closing Balance   </t>
  </si>
  <si>
    <t xml:space="preserve">Cash Unload  </t>
  </si>
  <si>
    <t xml:space="preserve">Total </t>
  </si>
  <si>
    <t>Net Cash Load</t>
  </si>
  <si>
    <t>Total Cash Withdrawn after Cash Count before EOD</t>
  </si>
  <si>
    <t>ON FEP NOT ON GL</t>
  </si>
  <si>
    <t>ON GL NOT ON FEP</t>
  </si>
  <si>
    <t>TOTAL SUSPECTED DISPENSE ERRORS</t>
  </si>
  <si>
    <t>ON US DISPENSE ERROR</t>
  </si>
  <si>
    <t>OFF US DISPENSE ERROR</t>
  </si>
  <si>
    <t>Adjusted GL Balance</t>
  </si>
  <si>
    <t>Physical Cash Available in ATM</t>
  </si>
  <si>
    <t xml:space="preserve">                      </t>
  </si>
  <si>
    <t>TOTAL CUMMULATIVE DIFFERENCE</t>
  </si>
  <si>
    <t>PREVIOUS DAY'S CUMMULATIVE DIFFERENCE</t>
  </si>
  <si>
    <t>DIFFERENCE TODAY</t>
  </si>
  <si>
    <t xml:space="preserve">PREPARED BY:  </t>
  </si>
  <si>
    <t xml:space="preserve">                                                   </t>
  </si>
  <si>
    <t xml:space="preserve">REVIEWED BY: </t>
  </si>
  <si>
    <t>REF NO</t>
  </si>
  <si>
    <t>BRANCH NAME</t>
  </si>
  <si>
    <t>BRANCH CODE</t>
  </si>
  <si>
    <t>ACCOUNT NO</t>
  </si>
  <si>
    <t>AMOUNT</t>
  </si>
  <si>
    <t>AUDIT TRAIL</t>
  </si>
  <si>
    <t>ATM NAME</t>
  </si>
  <si>
    <t>NARRATION</t>
  </si>
  <si>
    <t>TXN DATE</t>
  </si>
  <si>
    <t>DR/CR</t>
  </si>
  <si>
    <t>DATE_TIME_TRANS</t>
  </si>
  <si>
    <t>STAN</t>
  </si>
  <si>
    <t>RETRIEVAL REF NO</t>
  </si>
  <si>
    <t xml:space="preserve">AMOUNT REQUEST </t>
  </si>
  <si>
    <t>ATM GL</t>
  </si>
  <si>
    <t>ATM TERMINAL</t>
  </si>
  <si>
    <t/>
  </si>
  <si>
    <t>TRN REF NO-GL FCUBS</t>
  </si>
  <si>
    <t>terminal_id1</t>
  </si>
  <si>
    <t>card_acceptor_name_loc1</t>
  </si>
  <si>
    <t>pan1</t>
  </si>
  <si>
    <t>system_trace_audit_nr1</t>
  </si>
  <si>
    <t>retrieval_reference_nr1</t>
  </si>
  <si>
    <t>response_meaning1</t>
  </si>
  <si>
    <t>datetime_req1</t>
  </si>
  <si>
    <t>amount_tran_requested1</t>
  </si>
  <si>
    <t>amount_cash_final1</t>
  </si>
  <si>
    <t>from_account_id1</t>
  </si>
  <si>
    <t xml:space="preserve">Completed Successfully              </t>
  </si>
  <si>
    <t xml:space="preserve">Invalid PIN                         </t>
  </si>
  <si>
    <t xml:space="preserve">Not Sufficient Funds                </t>
  </si>
  <si>
    <t>536613******0558</t>
  </si>
  <si>
    <t>506104*********5795</t>
  </si>
  <si>
    <t xml:space="preserve">Withdrawal Amt. Exceeds Limit       </t>
  </si>
  <si>
    <t>506104*********4146</t>
  </si>
  <si>
    <t>USER_ID</t>
  </si>
  <si>
    <t>TRANSACTION_DATE</t>
  </si>
  <si>
    <t>TRN_REF_NO</t>
  </si>
  <si>
    <t>NARRATIVE</t>
  </si>
  <si>
    <t>CREDIT_AMOUNT</t>
  </si>
  <si>
    <t>DEBIT_AMOUNT</t>
  </si>
  <si>
    <t>RUNNING_BALANCE</t>
  </si>
  <si>
    <t>FLEXSWITCH</t>
  </si>
  <si>
    <t>ACCESS EXP 02 MAITAMA  ABUJA        FCNG</t>
  </si>
  <si>
    <t>539983******3125</t>
  </si>
  <si>
    <t>418745******1361</t>
  </si>
  <si>
    <t>539941******2822</t>
  </si>
  <si>
    <t xml:space="preserve">Error                               </t>
  </si>
  <si>
    <t>506104*********7472</t>
  </si>
  <si>
    <t>506104*********3467</t>
  </si>
  <si>
    <t>559432******3989</t>
  </si>
  <si>
    <t>418745******9743</t>
  </si>
  <si>
    <t>539983******3588</t>
  </si>
  <si>
    <t>496009******4020</t>
  </si>
  <si>
    <t>506104*********8205</t>
  </si>
  <si>
    <t>506104*********9500</t>
  </si>
  <si>
    <t>506102*********4212</t>
  </si>
  <si>
    <t>539983******4367</t>
  </si>
  <si>
    <t>506104*********1772</t>
  </si>
  <si>
    <t>537010******9754</t>
  </si>
  <si>
    <t>506104*********1409</t>
  </si>
  <si>
    <t>539983******9304</t>
  </si>
  <si>
    <t>496009******5623</t>
  </si>
  <si>
    <t>496009******1216</t>
  </si>
  <si>
    <t>506104*********4736</t>
  </si>
  <si>
    <t>555940******7112</t>
  </si>
  <si>
    <t>536613******6966</t>
  </si>
  <si>
    <t>539983******6215</t>
  </si>
  <si>
    <t>536613******0577</t>
  </si>
  <si>
    <t>519911******5511</t>
  </si>
  <si>
    <t>559432******1670</t>
  </si>
  <si>
    <t>470484******3407</t>
  </si>
  <si>
    <t>536613******5028</t>
  </si>
  <si>
    <t>418745******9331</t>
  </si>
  <si>
    <t>506104*********8702</t>
  </si>
  <si>
    <t>418745******9941</t>
  </si>
  <si>
    <t>506104*********8316</t>
  </si>
  <si>
    <t>506104*********9265</t>
  </si>
  <si>
    <t>496009******3261</t>
  </si>
  <si>
    <t>506117*********5790</t>
  </si>
  <si>
    <t>496023******2800</t>
  </si>
  <si>
    <t>536613******3569</t>
  </si>
  <si>
    <t>539941******1664</t>
  </si>
  <si>
    <t>418745******9130</t>
  </si>
  <si>
    <t>506104*********0695</t>
  </si>
  <si>
    <t>519899******3277</t>
  </si>
  <si>
    <t>539983******6807</t>
  </si>
  <si>
    <t>532155******0546</t>
  </si>
  <si>
    <t>418745******9642</t>
  </si>
  <si>
    <t>496009******1042</t>
  </si>
  <si>
    <t>496009******6408</t>
  </si>
  <si>
    <t xml:space="preserve">Txn. not permitted to CardHolder    </t>
  </si>
  <si>
    <t>506108*********3723</t>
  </si>
  <si>
    <t>496009******9521</t>
  </si>
  <si>
    <t>496009******1105</t>
  </si>
  <si>
    <t>539983******1729</t>
  </si>
  <si>
    <t>506109********2475</t>
  </si>
  <si>
    <t>536613******3455</t>
  </si>
  <si>
    <t>506104*********9725</t>
  </si>
  <si>
    <t>506104*********4413</t>
  </si>
  <si>
    <t>506104*********2033</t>
  </si>
  <si>
    <t>537010******7899</t>
  </si>
  <si>
    <t>418745******9774</t>
  </si>
  <si>
    <t>483953******2246</t>
  </si>
  <si>
    <t>536613******4946</t>
  </si>
  <si>
    <t>418745******6984</t>
  </si>
  <si>
    <t>496009******7399</t>
  </si>
  <si>
    <t>539983******9069</t>
  </si>
  <si>
    <t>496009******6482</t>
  </si>
  <si>
    <t>506118*********5407</t>
  </si>
  <si>
    <t xml:space="preserve">Do not Honour                       </t>
  </si>
  <si>
    <t>539983******0415</t>
  </si>
  <si>
    <t>529720******4275</t>
  </si>
  <si>
    <t>514585******6616</t>
  </si>
  <si>
    <t>418745******1376</t>
  </si>
  <si>
    <t>539983******2491</t>
  </si>
  <si>
    <t>496009******0915</t>
  </si>
  <si>
    <t>506104*********0250</t>
  </si>
  <si>
    <t>536613******7857</t>
  </si>
  <si>
    <t>519911******1053</t>
  </si>
  <si>
    <t>496009******5994</t>
  </si>
  <si>
    <t>506104*********1284</t>
  </si>
  <si>
    <t>536613******3009</t>
  </si>
  <si>
    <t>496009******1388</t>
  </si>
  <si>
    <t>496009******9084</t>
  </si>
  <si>
    <t>519908******0675</t>
  </si>
  <si>
    <t>418745******4961</t>
  </si>
  <si>
    <t>537010******7374</t>
  </si>
  <si>
    <t>418745******5466</t>
  </si>
  <si>
    <t>537010******3424</t>
  </si>
  <si>
    <t>536613******7808</t>
  </si>
  <si>
    <t>539983******5954</t>
  </si>
  <si>
    <t>559432******0753</t>
  </si>
  <si>
    <t>496009******1952</t>
  </si>
  <si>
    <t>506104*********6050</t>
  </si>
  <si>
    <t>506108*********7239</t>
  </si>
  <si>
    <t>496009******1424</t>
  </si>
  <si>
    <t>539983******7186</t>
  </si>
  <si>
    <t>539983******0170</t>
  </si>
  <si>
    <t>519911******4074</t>
  </si>
  <si>
    <t xml:space="preserve">Issuer Inoperative                  </t>
  </si>
  <si>
    <t>539941******4211</t>
  </si>
  <si>
    <t>537010******3365</t>
  </si>
  <si>
    <t>536613******9609</t>
  </si>
  <si>
    <t>496009******9598</t>
  </si>
  <si>
    <t>506104*********4360</t>
  </si>
  <si>
    <t>536613******5712</t>
  </si>
  <si>
    <t>496009******8671</t>
  </si>
  <si>
    <t>539941******8826</t>
  </si>
  <si>
    <t>468588******9508</t>
  </si>
  <si>
    <t>496009******0600</t>
  </si>
  <si>
    <t>539983******2868</t>
  </si>
  <si>
    <t>496009******0999</t>
  </si>
  <si>
    <t>536613******7714</t>
  </si>
  <si>
    <t>506104*********8826</t>
  </si>
  <si>
    <t>496009******4229</t>
  </si>
  <si>
    <t>539983******7584</t>
  </si>
  <si>
    <t>519911******4695</t>
  </si>
  <si>
    <t>537010******1548</t>
  </si>
  <si>
    <t xml:space="preserve">Invalid Transaction                 </t>
  </si>
  <si>
    <t>650004******5953</t>
  </si>
  <si>
    <t>506104*********2123</t>
  </si>
  <si>
    <t>471415******6213</t>
  </si>
  <si>
    <t>539983******2627</t>
  </si>
  <si>
    <t>496009******0166</t>
  </si>
  <si>
    <t>496009******9092</t>
  </si>
  <si>
    <t>418745******1254</t>
  </si>
  <si>
    <t>536613******6251</t>
  </si>
  <si>
    <t>496009******1929</t>
  </si>
  <si>
    <t>536613******9268</t>
  </si>
  <si>
    <t>418745******3364</t>
  </si>
  <si>
    <t>496009******3643</t>
  </si>
  <si>
    <t>537010******8849</t>
  </si>
  <si>
    <t>496009******3831</t>
  </si>
  <si>
    <t>524282******5915</t>
  </si>
  <si>
    <t>418745******3437</t>
  </si>
  <si>
    <t>506104*********4682</t>
  </si>
  <si>
    <t>536613******7414</t>
  </si>
  <si>
    <t>539983******6595</t>
  </si>
  <si>
    <t>536613******1570</t>
  </si>
  <si>
    <t>418745******6236</t>
  </si>
  <si>
    <t>506104*********5523</t>
  </si>
  <si>
    <t>539983******0867</t>
  </si>
  <si>
    <t>539923******1177</t>
  </si>
  <si>
    <t>418745******5695</t>
  </si>
  <si>
    <t>539923******1950</t>
  </si>
  <si>
    <t>506104*********2961</t>
  </si>
  <si>
    <t>506137*********1156</t>
  </si>
  <si>
    <t>496009******9006</t>
  </si>
  <si>
    <t>536613******1554</t>
  </si>
  <si>
    <t>496009******3720</t>
  </si>
  <si>
    <t>496009******4126</t>
  </si>
  <si>
    <t>506104*********3347</t>
  </si>
  <si>
    <t>506104*********8159</t>
  </si>
  <si>
    <t>496009******1859</t>
  </si>
  <si>
    <t>496009******0671</t>
  </si>
  <si>
    <t>536613******3105</t>
  </si>
  <si>
    <t>539983******5634</t>
  </si>
  <si>
    <t>506123*********2982</t>
  </si>
  <si>
    <t>539983******7994</t>
  </si>
  <si>
    <t>537010******5728</t>
  </si>
  <si>
    <t>539983******0613</t>
  </si>
  <si>
    <t>539983******1235</t>
  </si>
  <si>
    <t>418742******1961</t>
  </si>
  <si>
    <t>484842******2083</t>
  </si>
  <si>
    <t>506104*********6801</t>
  </si>
  <si>
    <t>536613******0552</t>
  </si>
  <si>
    <t>529751******3095</t>
  </si>
  <si>
    <t>506107*********6076</t>
  </si>
  <si>
    <t>496009******3170</t>
  </si>
  <si>
    <t>539983******9857</t>
  </si>
  <si>
    <t>539983******8731</t>
  </si>
  <si>
    <t>536613******0608</t>
  </si>
  <si>
    <t>528668******2093</t>
  </si>
  <si>
    <t>539983******1332</t>
  </si>
  <si>
    <t>496009******5709</t>
  </si>
  <si>
    <t>537010******3085</t>
  </si>
  <si>
    <t xml:space="preserve">PIN Retries Exceeded (Decline       </t>
  </si>
  <si>
    <t>536613******1100</t>
  </si>
  <si>
    <t>496009******4507</t>
  </si>
  <si>
    <t>506104*********8481</t>
  </si>
  <si>
    <t>524282******7977</t>
  </si>
  <si>
    <t>539941******2493</t>
  </si>
  <si>
    <t>496009******3227</t>
  </si>
  <si>
    <t>539983******9462</t>
  </si>
  <si>
    <t>539941******5647</t>
  </si>
  <si>
    <t>418745******7654</t>
  </si>
  <si>
    <t>496009******2522</t>
  </si>
  <si>
    <t>496009******2933</t>
  </si>
  <si>
    <t xml:space="preserve">System Malfunction                  </t>
  </si>
  <si>
    <t>483953******6704</t>
  </si>
  <si>
    <t>418745******6476</t>
  </si>
  <si>
    <t>539923******0487</t>
  </si>
  <si>
    <t>496009******0589</t>
  </si>
  <si>
    <t>506104*********0404</t>
  </si>
  <si>
    <t>496009******0783</t>
  </si>
  <si>
    <t>506102*********5217</t>
  </si>
  <si>
    <t>536613******5839</t>
  </si>
  <si>
    <t>506117*********5088</t>
  </si>
  <si>
    <t>539941******5773</t>
  </si>
  <si>
    <t>536613******7516</t>
  </si>
  <si>
    <t>559432******1503</t>
  </si>
  <si>
    <t>536613******5770</t>
  </si>
  <si>
    <t>418745******9491</t>
  </si>
  <si>
    <t>536613******7031</t>
  </si>
  <si>
    <t>533477******5161</t>
  </si>
  <si>
    <t>536613******8038</t>
  </si>
  <si>
    <t>506108*********9554</t>
  </si>
  <si>
    <t>418745******7780</t>
  </si>
  <si>
    <t>496009******4992</t>
  </si>
  <si>
    <t>519908******4791</t>
  </si>
  <si>
    <t>506104*********2271</t>
  </si>
  <si>
    <t>539983******6090</t>
  </si>
  <si>
    <t>539923******9973</t>
  </si>
  <si>
    <t>539923******2116</t>
  </si>
  <si>
    <t>496009******4019</t>
  </si>
  <si>
    <t>536613******5426</t>
  </si>
  <si>
    <t>539983******6625</t>
  </si>
  <si>
    <t>496009******1249</t>
  </si>
  <si>
    <t>432226******0155</t>
  </si>
  <si>
    <t>555940******6043</t>
  </si>
  <si>
    <t>418745******0338</t>
  </si>
  <si>
    <t>483953******7515</t>
  </si>
  <si>
    <t>539983******1617</t>
  </si>
  <si>
    <t>539983******5932</t>
  </si>
  <si>
    <t>496009******9518</t>
  </si>
  <si>
    <t>469666******0523</t>
  </si>
  <si>
    <t>539923******5896</t>
  </si>
  <si>
    <t>536613******6373</t>
  </si>
  <si>
    <t>418745******3235</t>
  </si>
  <si>
    <t>496009******4199</t>
  </si>
  <si>
    <t>519612******1949</t>
  </si>
  <si>
    <t>536613******6549</t>
  </si>
  <si>
    <t>539983******6368</t>
  </si>
  <si>
    <t>539983******2792</t>
  </si>
  <si>
    <t>531476******0631</t>
  </si>
  <si>
    <t>539983******6572</t>
  </si>
  <si>
    <t>418742******2734</t>
  </si>
  <si>
    <t>519830******4827</t>
  </si>
  <si>
    <t>536613******2040</t>
  </si>
  <si>
    <t>539923******4885</t>
  </si>
  <si>
    <t>496009******0076</t>
  </si>
  <si>
    <t>539983******8819</t>
  </si>
  <si>
    <t>496009******6974</t>
  </si>
  <si>
    <t>418742******6957</t>
  </si>
  <si>
    <t>539941******0667</t>
  </si>
  <si>
    <t>418742******5452</t>
  </si>
  <si>
    <t>539983******6970</t>
  </si>
  <si>
    <t>418745******1524</t>
  </si>
  <si>
    <t>506104*********2463</t>
  </si>
  <si>
    <t>418745******3974</t>
  </si>
  <si>
    <t>506123*********2798</t>
  </si>
  <si>
    <t>519911******8544</t>
  </si>
  <si>
    <t>506108*********6492</t>
  </si>
  <si>
    <t>496009******6959</t>
  </si>
  <si>
    <t>532732******9242</t>
  </si>
  <si>
    <t>539983******0865</t>
  </si>
  <si>
    <t>559432******4416</t>
  </si>
  <si>
    <t>506108*********2200</t>
  </si>
  <si>
    <t>539983******2041</t>
  </si>
  <si>
    <t>291AWNV1911900F3</t>
  </si>
  <si>
    <t>ATM WDL  @10442918 ACCESS EXP 02 MAITAMA ABUJA FCNG REF:707314/000982606267</t>
  </si>
  <si>
    <t>291AWNV1911900OX</t>
  </si>
  <si>
    <t>ATM WDL  @10442918 ACCESS EXP 02 MAITAMA ABUJA FCNG REF:748293/000983153882</t>
  </si>
  <si>
    <t>291AWNV1911900Od</t>
  </si>
  <si>
    <t>ATM WDL  @10442918 ACCESS EXP 02 MAITAMA ABUJA FCNG REF:745516/000983202302</t>
  </si>
  <si>
    <t>291AWNV1911900Of</t>
  </si>
  <si>
    <t>ATM WDL  @10442918 ACCESS EXP 02 MAITAMA ABUJA FCNG REF:752522/000983209758</t>
  </si>
  <si>
    <t>291AWNV1911900Oj</t>
  </si>
  <si>
    <t>ATM WDL  @10442918 ACCESS EXP 02 MAITAMA ABUJA FCNG REF:754087/000983226942</t>
  </si>
  <si>
    <t>291AWNV1911900Fd</t>
  </si>
  <si>
    <t>ATM WDL  @10442918 ACCESS EXP 02 MAITAMA ABUJA FCNG REF:719919/000982774136</t>
  </si>
  <si>
    <t>291AWNI19119009I</t>
  </si>
  <si>
    <t>ATM WDL  @10442918 ACCESS EXP 02 MAITAMA ABUJA FCNG REF:000645/000982515763</t>
  </si>
  <si>
    <t>291AWNV1911900G1</t>
  </si>
  <si>
    <t>ATM WDL  @10442918 ACCESS EXP 02 MAITAMA ABUJA FCNG REF:735609/000982966028</t>
  </si>
  <si>
    <t>291AWNV1911900OG</t>
  </si>
  <si>
    <t>ATM WDL  @10442918 ACCESS EXP 02 MAITAMA ABUJA FCNG REF:736687/000982991500</t>
  </si>
  <si>
    <t>291AWNV1911900OW</t>
  </si>
  <si>
    <t>ATM WDL  @10442918 ACCESS EXP 02 MAITAMA ABUJA FCNG REF:747126/000983137666</t>
  </si>
  <si>
    <t>291AWNV1911900FS</t>
  </si>
  <si>
    <t>ATM WDL  @10442918 ACCESS EXP 02 MAITAMA ABUJA FCNG REF:723957/000982722246</t>
  </si>
  <si>
    <t>291AWNV1911900Oa</t>
  </si>
  <si>
    <t>ATM WDL  @10442918 ACCESS EXP 02 MAITAMA ABUJA FCNG REF:750305/000983181635</t>
  </si>
  <si>
    <t>291AWNV1911900OL</t>
  </si>
  <si>
    <t>ATM WDL  @10442918 ACCESS EXP 02 MAITAMA ABUJA FCNG REF:738861/000983025007</t>
  </si>
  <si>
    <t>291AWNV1911900E2</t>
  </si>
  <si>
    <t>ATM WDL  @10442918 ACCESS EXP 02 MAITAMA ABUJA FCNG REF:685131/000982294421</t>
  </si>
  <si>
    <t>291AWNV19119008u</t>
  </si>
  <si>
    <t>ATM WDL  @10442918 ACCESS EXP 02 MAITAMA ABUJA FCNG REF:492893/000979721576</t>
  </si>
  <si>
    <t>291AWNV19119008v</t>
  </si>
  <si>
    <t>ATM WDL  @10442918 ACCESS EXP 02 MAITAMA ABUJA FCNG REF:493087/000979724183</t>
  </si>
  <si>
    <t>291AWNV19119008o</t>
  </si>
  <si>
    <t>ATM WDL  @10442918 ACCESS EXP 02 MAITAMA ABUJA FCNG REF:491709/000979707045</t>
  </si>
  <si>
    <t>291AWNV1911900Ax</t>
  </si>
  <si>
    <t>ATM WDL  @10442918 ACCESS EXP 02 MAITAMA ABUJA FCNG REF:576609/000980808359</t>
  </si>
  <si>
    <t>291AWNV1911900Bi</t>
  </si>
  <si>
    <t>ATM WDL  @10442918 ACCESS EXP 02 MAITAMA ABUJA FCNG REF:615019/000981302449</t>
  </si>
  <si>
    <t>291AWNI19119008F</t>
  </si>
  <si>
    <t>ATM WDL  @10442918 ACCESS EXP 02 MAITAMA ABUJA FCNG REF:008879/000979755358</t>
  </si>
  <si>
    <t>291AWNV1911900KS</t>
  </si>
  <si>
    <t>ATM WDL  @10442918 ACCESS EXP 02 MAITAMA ABUJA FCNG REF:726757/000982863489</t>
  </si>
  <si>
    <t>291AWNV1911900LK</t>
  </si>
  <si>
    <t>ATM WDL  @10442918 ACCESS EXP 02 MAITAMA ABUJA FCNG REF:741250/000983097309</t>
  </si>
  <si>
    <t>291AWNV1911900At</t>
  </si>
  <si>
    <t>ATM WDL  @10442918 ACCESS EXP 02 MAITAMA ABUJA FCNG REF:641928/000980787596</t>
  </si>
  <si>
    <t>291AWNV1911900Au</t>
  </si>
  <si>
    <t>ATM WDL  @10442918 ACCESS EXP 02 MAITAMA ABUJA FCNG REF:641964/000980788568</t>
  </si>
  <si>
    <t>291AWNV1911900C0</t>
  </si>
  <si>
    <t>ATM WDL  @10442918 ACCESS EXP 02 MAITAMA ABUJA FCNG REF:625491/000981433138</t>
  </si>
  <si>
    <t>291AWNV1911900Dq</t>
  </si>
  <si>
    <t>ATM WDL  @10442918 ACCESS EXP 02 MAITAMA ABUJA FCNG REF:700895/000982237117</t>
  </si>
  <si>
    <t>291AWNV1911900Dr</t>
  </si>
  <si>
    <t>ATM WDL  @10442918 ACCESS EXP 02 MAITAMA ABUJA FCNG REF:700962/000982238997</t>
  </si>
  <si>
    <t>291AWNI19119001r</t>
  </si>
  <si>
    <t>ATM WDL  @10442918 ACCESS EXP 02 MAITAMA ABUJA FCNG REF:000696/000982739364</t>
  </si>
  <si>
    <t>291AWNV1911900Ln</t>
  </si>
  <si>
    <t>ATM WDL  @10442918 ACCESS EXP 02 MAITAMA ABUJA FCNG REF:752330/000983207491</t>
  </si>
  <si>
    <t>291AWNV19119009R</t>
  </si>
  <si>
    <t>ATM WDL  @10442918 ACCESS EXP 02 MAITAMA ABUJA FCNG REF:516366/000980027061</t>
  </si>
  <si>
    <t>291AWNV1911900CG</t>
  </si>
  <si>
    <t>ATM WDL  @10442918 ACCESS EXP 02 MAITAMA ABUJA FCNG REF:674894/000981593881</t>
  </si>
  <si>
    <t>291AWNI19119008z</t>
  </si>
  <si>
    <t>ATM WDL  @10442918 ACCESS EXP 02 MAITAMA ABUJA FCNG REF:000396/000981391754</t>
  </si>
  <si>
    <t>291AWNV191190087</t>
  </si>
  <si>
    <t>ATM WDL  @10442918 ACCESS EXP 02 MAITAMA ABUJA FCNG REF:477125/000979536827</t>
  </si>
  <si>
    <t>291AWNV1911900IE</t>
  </si>
  <si>
    <t>ATM WDL  @10442918 ACCESS EXP 02 MAITAMA ABUJA FCNG REF:678898/000982208472</t>
  </si>
  <si>
    <t>291AWNV1911900L9</t>
  </si>
  <si>
    <t>ATM WDL  @10442918 ACCESS EXP 02 MAITAMA ABUJA FCNG REF:742610/000983074191</t>
  </si>
  <si>
    <t>291AWNV1911900LD</t>
  </si>
  <si>
    <t>ATM WDL  @10442918 ACCESS EXP 02 MAITAMA ABUJA FCNG REF:743301/000983084516</t>
  </si>
  <si>
    <t>291AWNI19119001e</t>
  </si>
  <si>
    <t>ATM WDL  @10442918 ACCESS EXP 02 MAITAMA ABUJA FCNG REF:000646/000982517445</t>
  </si>
  <si>
    <t>291AWNV1911900J4</t>
  </si>
  <si>
    <t>ATM WDL  @10442918 ACCESS EXP 02 MAITAMA ABUJA FCNG REF:714313/000982527308</t>
  </si>
  <si>
    <t>291AWNI19119008J</t>
  </si>
  <si>
    <t>ATM WDL  @10442918 ACCESS EXP 02 MAITAMA ABUJA FCNG REF:008963/000980064732</t>
  </si>
  <si>
    <t>291AWNV1911900AU</t>
  </si>
  <si>
    <t>ATM WDL  @10442918 ACCESS EXP 02 MAITAMA ABUJA FCNG REF:632334/000980590881</t>
  </si>
  <si>
    <t>291AWNV191190094</t>
  </si>
  <si>
    <t>ATM WDL  @10442918 ACCESS EXP 02 MAITAMA ABUJA FCNG REF:499833/000979812231</t>
  </si>
  <si>
    <t>291AWNV1911900LV</t>
  </si>
  <si>
    <t>ATM WDL  @10442918 ACCESS EXP 02 MAITAMA ABUJA FCNG REF:742202/000983120295</t>
  </si>
  <si>
    <t>291AWNV1911900LY</t>
  </si>
  <si>
    <t>ATM WDL  @10442918 ACCESS EXP 02 MAITAMA ABUJA FCNG REF:746025/000983122511</t>
  </si>
  <si>
    <t>291AWNI19119008f</t>
  </si>
  <si>
    <t>ATM WDL  @10442918 ACCESS EXP 02 MAITAMA ABUJA FCNG REF:000131/000980635359</t>
  </si>
  <si>
    <t>291AWNV1911900Bu</t>
  </si>
  <si>
    <t>ATM WDL  @10442918 ACCESS EXP 02 MAITAMA ABUJA FCNG REF:622889/000981402292</t>
  </si>
  <si>
    <t>291AWNV191190093</t>
  </si>
  <si>
    <t>ATM WDL  @10442918 ACCESS EXP 02 MAITAMA ABUJA FCNG REF:496906/000979774614</t>
  </si>
  <si>
    <t>291AWNV19119009j</t>
  </si>
  <si>
    <t>ATM WDL  @10442918 ACCESS EXP 02 MAITAMA ABUJA FCNG REF:615041/000980221455</t>
  </si>
  <si>
    <t>291AWNV1911900CF</t>
  </si>
  <si>
    <t>ATM WDL  @10442918 ACCESS EXP 02 MAITAMA ABUJA FCNG REF:673990/000981572206</t>
  </si>
  <si>
    <t>291AWNI19119008e</t>
  </si>
  <si>
    <t>ATM WDL  @10442918 ACCESS EXP 02 MAITAMA ABUJA FCNG REF:000129/000980631195</t>
  </si>
  <si>
    <t>291AWNV191190089</t>
  </si>
  <si>
    <t>ATM WDL  @10442918 ACCESS EXP 02 MAITAMA ABUJA FCNG REF:478355/000979551598</t>
  </si>
  <si>
    <t>291AWNV1911900Go</t>
  </si>
  <si>
    <t>ATM WDL  @10442918 ACCESS EXP 02 MAITAMA ABUJA FCNG REF:654451/000981849079</t>
  </si>
  <si>
    <t>291AWNV19119009r</t>
  </si>
  <si>
    <t>ATM WDL  @10442918 ACCESS EXP 02 MAITAMA ABUJA FCNG REF:541294/000980348432</t>
  </si>
  <si>
    <t>291AWNV1911900Li</t>
  </si>
  <si>
    <t>ATM WDL  @10442918 ACCESS EXP 02 MAITAMA ABUJA FCNG REF:744266/000983168420</t>
  </si>
  <si>
    <t>291AWNV1911900CB</t>
  </si>
  <si>
    <t>ATM WDL  @10442918 ACCESS EXP 02 MAITAMA ABUJA FCNG REF:632489/000981525199</t>
  </si>
  <si>
    <t>291AWNV1911900CC</t>
  </si>
  <si>
    <t>ATM WDL  @10442918 ACCESS EXP 02 MAITAMA ABUJA FCNG REF:634164/000981546031</t>
  </si>
  <si>
    <t>291AWNV19119008P</t>
  </si>
  <si>
    <t>ATM WDL  @10442918 ACCESS EXP 02 MAITAMA ABUJA FCNG REF:482467/000979599537</t>
  </si>
  <si>
    <t>291AWNV19119009F</t>
  </si>
  <si>
    <t>ATM WDL  @10442918 ACCESS EXP 02 MAITAMA ABUJA FCNG REF:509713/000979941648</t>
  </si>
  <si>
    <t>291AWNV1911900E3</t>
  </si>
  <si>
    <t>ATM WDL  @10442918 ACCESS EXP 02 MAITAMA ABUJA FCNG REF:685267/000982296509</t>
  </si>
  <si>
    <t>291AWNV1911900Ee</t>
  </si>
  <si>
    <t>ATM WDL  @10442918 ACCESS EXP 02 MAITAMA ABUJA FCNG REF:713426/000982508409</t>
  </si>
  <si>
    <t>291AWNV19119008M</t>
  </si>
  <si>
    <t>ATM WDL  @10442918 ACCESS EXP 02 MAITAMA ABUJA FCNG REF:585051/000979591668</t>
  </si>
  <si>
    <t>291AWNI19119001t</t>
  </si>
  <si>
    <t>ATM WDL  @10442918 ACCESS EXP 02 MAITAMA ABUJA FCNG REF:000706/000982810656</t>
  </si>
  <si>
    <t>291AWNI19119008c</t>
  </si>
  <si>
    <t>ATM WDL  @10442918 ACCESS EXP 02 MAITAMA ABUJA FCNG REF:000126/000980626377</t>
  </si>
  <si>
    <t>291AWNV1911900Kl</t>
  </si>
  <si>
    <t>ATM WDL  @10442918 ACCESS EXP 02 MAITAMA ABUJA FCNG REF:735751/000982985381</t>
  </si>
  <si>
    <t>291AWNV1911900Lm</t>
  </si>
  <si>
    <t>ATM WDL  @10442918 ACCESS EXP 02 MAITAMA ABUJA FCNG REF:752236/000983206424</t>
  </si>
  <si>
    <t>291AWNV1911900CR</t>
  </si>
  <si>
    <t>ATM WDL  @10442918 ACCESS EXP 02 MAITAMA ABUJA FCNG REF:644289/000981681756</t>
  </si>
  <si>
    <t>291AWNI19119009a</t>
  </si>
  <si>
    <t>ATM WDL  @10442918 ACCESS EXP 02 MAITAMA ABUJA FCNG REF:000836/000983196837</t>
  </si>
  <si>
    <t>291AWNV1911900Og</t>
  </si>
  <si>
    <t>ATM WDL  @10442918 ACCESS EXP 02 MAITAMA ABUJA FCNG REF:752933/000983213694</t>
  </si>
  <si>
    <t>291AWNV1911900JF</t>
  </si>
  <si>
    <t>ATM WDL  @10442918 ACCESS EXP 02 MAITAMA ABUJA FCNG REF:705793/000982585286</t>
  </si>
  <si>
    <t>291AWNV1911900Kz</t>
  </si>
  <si>
    <t>ATM WDL  @10442918 ACCESS EXP 02 MAITAMA ABUJA FCNG REF:739407/000983031902</t>
  </si>
  <si>
    <t>291AWNV1911900L0</t>
  </si>
  <si>
    <t>ATM WDL  @10442918 ACCESS EXP 02 MAITAMA ABUJA FCNG REF:739531/000983033470</t>
  </si>
  <si>
    <t>291AWNV19119008q</t>
  </si>
  <si>
    <t>ATM WDL  @10442918 ACCESS EXP 02 MAITAMA ABUJA FCNG REF:492102/000979711992</t>
  </si>
  <si>
    <t>291AWNV1911600Ce</t>
  </si>
  <si>
    <t>ATM WDL  @10442918 ACCESS EXP 02 MAITAMA ABUJA FCNG REF:476329/000979502408</t>
  </si>
  <si>
    <t>291AWNI19116008t</t>
  </si>
  <si>
    <t>ATM WDL  @10442918 ACCESS EXP 02 MAITAMA ABUJA FCNG REF:008756/000979505154</t>
  </si>
  <si>
    <t>291AWNV1911900Dy</t>
  </si>
  <si>
    <t>ATM WDL  @10442918 ACCESS EXP 02 MAITAMA ABUJA FCNG REF:684245/000982282150</t>
  </si>
  <si>
    <t>291AWNV1911900LF</t>
  </si>
  <si>
    <t>ATM WDL  @10442918 ACCESS EXP 02 MAITAMA ABUJA FCNG REF:740856/000983086947</t>
  </si>
  <si>
    <t>291AWNV1911900LM</t>
  </si>
  <si>
    <t>ATM WDL  @10442918 ACCESS EXP 02 MAITAMA ABUJA FCNG REF:741413/000983101618</t>
  </si>
  <si>
    <t>291AWNV1911900BQ</t>
  </si>
  <si>
    <t>ATM WDL  @10442918 ACCESS EXP 02 MAITAMA ABUJA FCNG REF:604452/000981172141</t>
  </si>
  <si>
    <t>291AWNV1911900BS</t>
  </si>
  <si>
    <t>ATM WDL  @10442918 ACCESS EXP 02 MAITAMA ABUJA FCNG REF:605504/000981184636</t>
  </si>
  <si>
    <t>291AWNV19119008x</t>
  </si>
  <si>
    <t>ATM WDL  @10442918 ACCESS EXP 02 MAITAMA ABUJA FCNG REF:493266/000979726667</t>
  </si>
  <si>
    <t>291AWNV1911900JQ</t>
  </si>
  <si>
    <t>ATM WDL  @10442918 ACCESS EXP 02 MAITAMA ABUJA FCNG REF:708674/000982623987</t>
  </si>
  <si>
    <t>291AWNV1911900L1</t>
  </si>
  <si>
    <t>ATM WDL  @10442918 ACCESS EXP 02 MAITAMA ABUJA FCNG REF:739671/000983035270</t>
  </si>
  <si>
    <t>291AWNV1911900Jq</t>
  </si>
  <si>
    <t>ATM WDL  @10442918 ACCESS EXP 02 MAITAMA ABUJA FCNG REF:724059/000982724356</t>
  </si>
  <si>
    <t>291AWNI19119008h</t>
  </si>
  <si>
    <t>ATM WDL  @10442918 ACCESS EXP 02 MAITAMA ABUJA FCNG REF:000149/000980666801</t>
  </si>
  <si>
    <t>291AWNV19119008f</t>
  </si>
  <si>
    <t>ATM WDL  @10442918 ACCESS EXP 02 MAITAMA ABUJA FCNG REF:489567/000979679976</t>
  </si>
  <si>
    <t>291AWNV1911900Ds</t>
  </si>
  <si>
    <t>ATM WDL  @10442918 ACCESS EXP 02 MAITAMA ABUJA FCNG REF:701076/000982241635</t>
  </si>
  <si>
    <t>291AWNV19119008Y</t>
  </si>
  <si>
    <t>ATM WDL  @10442918 ACCESS EXP 02 MAITAMA ABUJA FCNG REF:588070/000979658267</t>
  </si>
  <si>
    <t>291AWNV1911900Ab</t>
  </si>
  <si>
    <t>ATM WDL  @10442918 ACCESS EXP 02 MAITAMA ABUJA FCNG REF:564114/000980642491</t>
  </si>
  <si>
    <t>291AWNV1911900Ac</t>
  </si>
  <si>
    <t>ATM WDL  @10442918 ACCESS EXP 02 MAITAMA ABUJA FCNG REF:565127/000980655739</t>
  </si>
  <si>
    <t>291AWNV1911900J2</t>
  </si>
  <si>
    <t>ATM WDL  @10442918 ACCESS EXP 02 MAITAMA ABUJA FCNG REF:714224/000982525408</t>
  </si>
  <si>
    <t>291AWNV1911900J5</t>
  </si>
  <si>
    <t>ATM WDL  @10442918 ACCESS EXP 02 MAITAMA ABUJA FCNG REF:714422/000982528782</t>
  </si>
  <si>
    <t>291AWNV1911900Ak</t>
  </si>
  <si>
    <t>ATM WDL  @10442918 ACCESS EXP 02 MAITAMA ABUJA FCNG REF:637961/000980728245</t>
  </si>
  <si>
    <t>291AWNV1911900K2</t>
  </si>
  <si>
    <t>ATM WDL  @10442918 ACCESS EXP 02 MAITAMA ABUJA FCNG REF:725740/000982760870</t>
  </si>
  <si>
    <t>291AWNV1911900KR</t>
  </si>
  <si>
    <t>ATM WDL  @10442918 ACCESS EXP 02 MAITAMA ABUJA FCNG REF:726620/000982861683</t>
  </si>
  <si>
    <t>291AWNV19119008z</t>
  </si>
  <si>
    <t>ATM WDL  @10442918 ACCESS EXP 02 MAITAMA ABUJA FCNG REF:493464/000979729256</t>
  </si>
  <si>
    <t>291AWNV191190090</t>
  </si>
  <si>
    <t>ATM WDL  @10442918 ACCESS EXP 02 MAITAMA ABUJA FCNG REF:493560/000979730619</t>
  </si>
  <si>
    <t>291AWNI19119008E</t>
  </si>
  <si>
    <t>ATM WDL  @10442918 ACCESS EXP 02 MAITAMA ABUJA FCNG REF:008878/000979753525</t>
  </si>
  <si>
    <t>291AWNV1911900By</t>
  </si>
  <si>
    <t>ATM WDL  @10442918 ACCESS EXP 02 MAITAMA ABUJA FCNG REF:667772/000981426180</t>
  </si>
  <si>
    <t>291AWNV1911900CT</t>
  </si>
  <si>
    <t>ATM WDL  @10442918 ACCESS EXP 02 MAITAMA ABUJA FCNG REF:647042/000981720414</t>
  </si>
  <si>
    <t>291AWNV1911900CU</t>
  </si>
  <si>
    <t>ATM WDL  @10442918 ACCESS EXP 02 MAITAMA ABUJA FCNG REF:647145/000981721812</t>
  </si>
  <si>
    <t>291AWNV1911900IS</t>
  </si>
  <si>
    <t>ATM WDL  @10442918 ACCESS EXP 02 MAITAMA ABUJA FCNG REF:684953/000982291944</t>
  </si>
  <si>
    <t>291AWNV1911900GT</t>
  </si>
  <si>
    <t>ATM WDL  @10442918 ACCESS EXP 02 MAITAMA ABUJA FCNG REF:651651/000981811161</t>
  </si>
  <si>
    <t>291AWNV19119008r</t>
  </si>
  <si>
    <t>ATM WDL  @10442918 ACCESS EXP 02 MAITAMA ABUJA FCNG REF:492510/000979716824</t>
  </si>
  <si>
    <t>291AWNV19119008w</t>
  </si>
  <si>
    <t>ATM WDL  @10442918 ACCESS EXP 02 MAITAMA ABUJA FCNG REF:493191/000979725593</t>
  </si>
  <si>
    <t>291AWNV1911900BU</t>
  </si>
  <si>
    <t>ATM WDL  @10442918 ACCESS EXP 02 MAITAMA ABUJA FCNG REF:608224/000981216989</t>
  </si>
  <si>
    <t>291AWNV1911900BW</t>
  </si>
  <si>
    <t>ATM WDL  @10442918 ACCESS EXP 02 MAITAMA ABUJA FCNG REF:609527/000981232837</t>
  </si>
  <si>
    <t>291AWNV1911900BX</t>
  </si>
  <si>
    <t>ATM WDL  @10442918 ACCESS EXP 02 MAITAMA ABUJA FCNG REF:609682/000981234955</t>
  </si>
  <si>
    <t>291AWNV1911900JK</t>
  </si>
  <si>
    <t>ATM WDL  @10442918 ACCESS EXP 02 MAITAMA ABUJA FCNG REF:707463/000982608190</t>
  </si>
  <si>
    <t>291AWNV1911900Lb</t>
  </si>
  <si>
    <t>ATM WDL  @10442918 ACCESS EXP 02 MAITAMA ABUJA FCNG REF:747913/000983148353</t>
  </si>
  <si>
    <t>291AWNV1911900Lp</t>
  </si>
  <si>
    <t>ATM WDL  @10442918 ACCESS EXP 02 MAITAMA ABUJA FCNG REF:752646/000983211181</t>
  </si>
  <si>
    <t>291AWNV1911900LP</t>
  </si>
  <si>
    <t>ATM WDL  @10442918 ACCESS EXP 02 MAITAMA ABUJA FCNG REF:745393/000983113848</t>
  </si>
  <si>
    <t>291AWNV1911900Kn</t>
  </si>
  <si>
    <t>ATM WDL  @10442918 ACCESS EXP 02 MAITAMA ABUJA FCNG REF:736563/000982988495</t>
  </si>
  <si>
    <t>291AWNV19119009H</t>
  </si>
  <si>
    <t>ATM WDL  @10442918 ACCESS EXP 02 MAITAMA ABUJA FCNG REF:509831/000979943283</t>
  </si>
  <si>
    <t>291AWNV19119009J</t>
  </si>
  <si>
    <t>ATM WDL  @10442918 ACCESS EXP 02 MAITAMA ABUJA FCNG REF:601580/000979945598</t>
  </si>
  <si>
    <t>291AWNV19119008p</t>
  </si>
  <si>
    <t>ATM WDL  @10442918 ACCESS EXP 02 MAITAMA ABUJA FCNG REF:491999/000979710804</t>
  </si>
  <si>
    <t>291AWNV1911900Cr</t>
  </si>
  <si>
    <t>ATM WDL  @10442918 ACCESS EXP 02 MAITAMA ABUJA FCNG REF:685268/000981891766</t>
  </si>
  <si>
    <t>291AWNV19119008j</t>
  </si>
  <si>
    <t>ATM WDL  @10442918 ACCESS EXP 02 MAITAMA ABUJA FCNG REF:489998/000979685416</t>
  </si>
  <si>
    <t>291AWNV1911900Jz</t>
  </si>
  <si>
    <t>ATM WDL  @10442918 ACCESS EXP 02 MAITAMA ABUJA FCNG REF:725596/000982757927</t>
  </si>
  <si>
    <t>291AWNI19119008N</t>
  </si>
  <si>
    <t>ATM WDL  @10442918 ACCESS EXP 02 MAITAMA ABUJA FCNG REF:000007/000980171118</t>
  </si>
  <si>
    <t>291AWNV1911900Al</t>
  </si>
  <si>
    <t>ATM WDL  @10442918 ACCESS EXP 02 MAITAMA ABUJA FCNG REF:571925/000980744603</t>
  </si>
  <si>
    <t>291AWNV1911900Ks</t>
  </si>
  <si>
    <t>ATM WDL  @10442918 ACCESS EXP 02 MAITAMA ABUJA FCNG REF:736675/000982996606</t>
  </si>
  <si>
    <t>291AWNV1911900AK</t>
  </si>
  <si>
    <t>ATM WDL  @10442918 ACCESS EXP 02 MAITAMA ABUJA FCNG REF:553343/000980503138</t>
  </si>
  <si>
    <t>291AWNI19119008q</t>
  </si>
  <si>
    <t>ATM WDL  @10442918 ACCESS EXP 02 MAITAMA ABUJA FCNG REF:000282/000980976213</t>
  </si>
  <si>
    <t>291AWNI19119008r</t>
  </si>
  <si>
    <t>ATM WDL  @10442918 ACCESS EXP 02 MAITAMA ABUJA FCNG REF:000290/000980989018</t>
  </si>
  <si>
    <t>291AWNV1911900BG</t>
  </si>
  <si>
    <t>ATM WDL  @10442918 ACCESS EXP 02 MAITAMA ABUJA FCNG REF:649598/000980994860</t>
  </si>
  <si>
    <t>291AWNV19119008t</t>
  </si>
  <si>
    <t>ATM WDL  @10442918 ACCESS EXP 02 MAITAMA ABUJA FCNG REF:492717/000979719388</t>
  </si>
  <si>
    <t>291AWNV19119008y</t>
  </si>
  <si>
    <t>ATM WDL  @10442918 ACCESS EXP 02 MAITAMA ABUJA FCNG REF:493377/000979728123</t>
  </si>
  <si>
    <t>291AWNI19119008G</t>
  </si>
  <si>
    <t>ATM WDL  @10442918 ACCESS EXP 02 MAITAMA ABUJA FCNG REF:008880/000979757114</t>
  </si>
  <si>
    <t>291AWNV1911900CW</t>
  </si>
  <si>
    <t>ATM WDL  @10442918 ACCESS EXP 02 MAITAMA ABUJA FCNG REF:648277/000981737438</t>
  </si>
  <si>
    <t>291AWNV1911900Eo</t>
  </si>
  <si>
    <t>ATM WDL  @10442918 ACCESS EXP 02 MAITAMA ABUJA FCNG REF:702873/000982543773</t>
  </si>
  <si>
    <t>291AWNV1911900Cn</t>
  </si>
  <si>
    <t>ATM WDL  @10442918 ACCESS EXP 02 MAITAMA ABUJA FCNG REF:655437/000981861251</t>
  </si>
  <si>
    <t>291AWNI191190095</t>
  </si>
  <si>
    <t>ATM WDL  @10442918 ACCESS EXP 02 MAITAMA ABUJA FCNG REF:000540/000981916867</t>
  </si>
  <si>
    <t>291AWNV1911900Lr</t>
  </si>
  <si>
    <t>ATM WDL  @10442918 ACCESS EXP 02 MAITAMA ABUJA FCNG REF:753055/000983215120</t>
  </si>
  <si>
    <t>291AWNI19119008P</t>
  </si>
  <si>
    <t>ATM WDL  @10442918 ACCESS EXP 02 MAITAMA ABUJA FCNG REF:000014/000980201658</t>
  </si>
  <si>
    <t>291AWNV1911900Lv</t>
  </si>
  <si>
    <t>ATM WDL  @10442918 ACCESS EXP 02 MAITAMA ABUJA FCNG REF:746806/000983233534</t>
  </si>
  <si>
    <t>291AWNV1911900Ao</t>
  </si>
  <si>
    <t>ATM WDL  @10442918 ACCESS EXP 02 MAITAMA ABUJA FCNG REF:639819/000980752683</t>
  </si>
  <si>
    <t>291AWNV1911900B1</t>
  </si>
  <si>
    <t>ATM WDL  @10442918 ACCESS EXP 02 MAITAMA ABUJA FCNG REF:578492/000980844852</t>
  </si>
  <si>
    <t>291AWNI19119008y</t>
  </si>
  <si>
    <t>ATM WDL  @10442918 ACCESS EXP 02 MAITAMA ABUJA FCNG REF:000387/000981312415</t>
  </si>
  <si>
    <t>291AWNV1911900F4</t>
  </si>
  <si>
    <t>ATM WDL  @10442918 ACCESS EXP 02 MAITAMA ABUJA FCNG REF:707719/000982611627</t>
  </si>
  <si>
    <t>291AWNV1911900Ll</t>
  </si>
  <si>
    <t>ATM WDL  @10442918 ACCESS EXP 02 MAITAMA ABUJA FCNG REF:752157/000983205467</t>
  </si>
  <si>
    <t>291AWNV1911900Lw</t>
  </si>
  <si>
    <t>ATM WDL  @10442918 ACCESS EXP 02 MAITAMA ABUJA FCNG REF:747014/000983238584</t>
  </si>
  <si>
    <t>291AWNI19119008b</t>
  </si>
  <si>
    <t>ATM WDL  @10442918 ACCESS EXP 02 MAITAMA ABUJA FCNG REF:000118/000980611989</t>
  </si>
  <si>
    <t>291AWNV1911900AW</t>
  </si>
  <si>
    <t>ATM WDL  @10442918 ACCESS EXP 02 MAITAMA ABUJA FCNG REF:561053/000980604700</t>
  </si>
  <si>
    <t>291AWNV19119009x</t>
  </si>
  <si>
    <t>ATM WDL  @10442918 ACCESS EXP 02 MAITAMA ABUJA FCNG REF:622783/000980378069</t>
  </si>
  <si>
    <t>291AWNV191190047</t>
  </si>
  <si>
    <t>ATM WDL  @10442918 ACCESS EXP 02 MAITAMA ABUJA FCNG REF:643214/000980825278</t>
  </si>
  <si>
    <t>291AWNI19119000X</t>
  </si>
  <si>
    <t>ATM WDL  @10442918 ACCESS EXP 02 MAITAMA ABUJA FCNG REF:000223/000980825578</t>
  </si>
  <si>
    <t>291AWNV19119004A</t>
  </si>
  <si>
    <t>ATM WDL  @10442918 ACCESS EXP 02 MAITAMA ABUJA FCNG REF:577953/000980827584</t>
  </si>
  <si>
    <t>291AWNV19119000M</t>
  </si>
  <si>
    <t>ATM WDL  @10442918 ACCESS EXP 02 MAITAMA ABUJA FCNG REF:492987/000979722749</t>
  </si>
  <si>
    <t>291AWNI19119000N</t>
  </si>
  <si>
    <t>ATM WDL  @10442918 ACCESS EXP 02 MAITAMA ABUJA FCNG REF:000128/000980629511</t>
  </si>
  <si>
    <t>291AWNV191190043</t>
  </si>
  <si>
    <t>ATM WDL  @10442918 ACCESS EXP 02 MAITAMA ABUJA FCNG REF:577655/000980822239</t>
  </si>
  <si>
    <t>291AWNV191190044</t>
  </si>
  <si>
    <t>ATM WDL  @10442918 ACCESS EXP 02 MAITAMA ABUJA FCNG REF:643157/000980823641</t>
  </si>
  <si>
    <t>291AWNV1911900Gn</t>
  </si>
  <si>
    <t>ATM WDL  @10442918 ACCESS EXP 02 MAITAMA ABUJA FCNG REF:654383/000981848358</t>
  </si>
  <si>
    <t>291AWNV19119003N</t>
  </si>
  <si>
    <t>ATM WDL  @10442918 ACCESS EXP 02 MAITAMA ABUJA FCNG REF:632658/000980599311</t>
  </si>
  <si>
    <t>291AWNV19119002n</t>
  </si>
  <si>
    <t>ATM WDL  @10442918 ACCESS EXP 02 MAITAMA ABUJA FCNG REF:627296/000980478074</t>
  </si>
  <si>
    <t>291AWNV19119002p</t>
  </si>
  <si>
    <t>ATM WDL  @10442918 ACCESS EXP 02 MAITAMA ABUJA FCNG REF:627363/000980479517</t>
  </si>
  <si>
    <t>291AWNV19119002U</t>
  </si>
  <si>
    <t>ATM WDL  @10442918 ACCESS EXP 02 MAITAMA ABUJA FCNG REF:623606/000980397016</t>
  </si>
  <si>
    <t>291AWNV191190048</t>
  </si>
  <si>
    <t>ATM WDL  @10442918 ACCESS EXP 02 MAITAMA ABUJA FCNG REF:577879/000980825815</t>
  </si>
  <si>
    <t>291AWNV19119001c</t>
  </si>
  <si>
    <t>ATM WDL  @10442918 ACCESS EXP 02 MAITAMA ABUJA FCNG REF:526357/000980155811</t>
  </si>
  <si>
    <t>291AWNV19119006a</t>
  </si>
  <si>
    <t>ATM WDL  @10442918 ACCESS EXP 02 MAITAMA ABUJA FCNG REF:622758/000981401045</t>
  </si>
  <si>
    <t>291AWNV19119006b</t>
  </si>
  <si>
    <t>ATM WDL  @10442918 ACCESS EXP 02 MAITAMA ABUJA FCNG REF:622981/000981403321</t>
  </si>
  <si>
    <t>291AWNV19119006c</t>
  </si>
  <si>
    <t>ATM WDL  @10442918 ACCESS EXP 02 MAITAMA ABUJA FCNG REF:623190/000981405953</t>
  </si>
  <si>
    <t>291AWNV19119007G</t>
  </si>
  <si>
    <t>ATM WDL  @10442918 ACCESS EXP 02 MAITAMA ABUJA FCNG REF:640818/000981634698</t>
  </si>
  <si>
    <t>291AWNV19119007J</t>
  </si>
  <si>
    <t>ATM WDL  @10442918 ACCESS EXP 02 MAITAMA ABUJA FCNG REF:641933/000981648740</t>
  </si>
  <si>
    <t>291AWNV19119007T</t>
  </si>
  <si>
    <t>ATM WDL  @10442918 ACCESS EXP 02 MAITAMA ABUJA FCNG REF:644414/000981683983</t>
  </si>
  <si>
    <t>291AWNV19119006A</t>
  </si>
  <si>
    <t>ATM WDL  @10442918 ACCESS EXP 02 MAITAMA ABUJA FCNG REF:660701/000981268079</t>
  </si>
  <si>
    <t>291AWNV19119006D</t>
  </si>
  <si>
    <t>ATM WDL  @10442918 ACCESS EXP 02 MAITAMA ABUJA FCNG REF:661305/000981281861</t>
  </si>
  <si>
    <t>291AWNV19119007F</t>
  </si>
  <si>
    <t>ATM WDL  @10442918 ACCESS EXP 02 MAITAMA ABUJA FCNG REF:640716/000981633302</t>
  </si>
  <si>
    <t>291AWNV19119004U</t>
  </si>
  <si>
    <t>ATM WDL  @10442918 ACCESS EXP 02 MAITAMA ABUJA FCNG REF:643582/000980845055</t>
  </si>
  <si>
    <t>291AWNV191160056</t>
  </si>
  <si>
    <t>ATM WDL  @10442918 ACCESS EXP 02 MAITAMA ABUJA FCNG REF:476363/000979503439</t>
  </si>
  <si>
    <t>291AWNV191160058</t>
  </si>
  <si>
    <t>ATM WDL  @10442918 ACCESS EXP 02 MAITAMA ABUJA FCNG REF:476461/000979507230</t>
  </si>
  <si>
    <t>291AWNV19119004R</t>
  </si>
  <si>
    <t>ATM WDL  @10442918 ACCESS EXP 02 MAITAMA ABUJA FCNG REF:578483/000980844500</t>
  </si>
  <si>
    <t>291AWNV19119004T</t>
  </si>
  <si>
    <t>ATM WDL  @10442918 ACCESS EXP 02 MAITAMA ABUJA FCNG REF:578488/000980844768</t>
  </si>
  <si>
    <t>291AWNV19119004q</t>
  </si>
  <si>
    <t>ATM WDL  @10442918 ACCESS EXP 02 MAITAMA ABUJA FCNG REF:583736/000980912316</t>
  </si>
  <si>
    <t>291AWNV19119004t</t>
  </si>
  <si>
    <t>ATM WDL  @10442918 ACCESS EXP 02 MAITAMA ABUJA FCNG REF:646256/000980914876</t>
  </si>
  <si>
    <t>291AWNV19119001z</t>
  </si>
  <si>
    <t>ATM WDL  @10442918 ACCESS EXP 02 MAITAMA ABUJA FCNG REF:619638/000980310938</t>
  </si>
  <si>
    <t>291AWNV191190027</t>
  </si>
  <si>
    <t>ATM WDL  @10442918 ACCESS EXP 02 MAITAMA ABUJA FCNG REF:541157/000980346719</t>
  </si>
  <si>
    <t>291AWNV19119000T</t>
  </si>
  <si>
    <t>ATM WDL  @10442918 ACCESS EXP 02 MAITAMA ABUJA FCNG REF:595757/000979818414</t>
  </si>
  <si>
    <t>291AWNV19119007j</t>
  </si>
  <si>
    <t>ATM WDL  @10442918 ACCESS EXP 02 MAITAMA ABUJA FCNG REF:648136/000981735286</t>
  </si>
  <si>
    <t>291AWNV19119007d</t>
  </si>
  <si>
    <t>ATM WDL  @10442918 ACCESS EXP 02 MAITAMA ABUJA FCNG REF:646992/000981719711</t>
  </si>
  <si>
    <t>291AWNI191190006</t>
  </si>
  <si>
    <t>ATM WDL  @10442918 ACCESS EXP 02 MAITAMA ABUJA FCNG REF:000003/000980165699</t>
  </si>
  <si>
    <t>291AWNV19119007S</t>
  </si>
  <si>
    <t>ATM WDL  @10442918 ACCESS EXP 02 MAITAMA ABUJA FCNG REF:643841/000981675036</t>
  </si>
  <si>
    <t>291AWNV19119005H</t>
  </si>
  <si>
    <t>ATM WDL  @10442918 ACCESS EXP 02 MAITAMA ABUJA FCNG REF:592368/000981019018</t>
  </si>
  <si>
    <t>291AWNV1911900JM</t>
  </si>
  <si>
    <t>ATM WDL  @10442918 ACCESS EXP 02 MAITAMA ABUJA FCNG REF:707980/000982615168</t>
  </si>
  <si>
    <t>291AWNV19119000a</t>
  </si>
  <si>
    <t>ATM WDL  @10442918 ACCESS EXP 02 MAITAMA ABUJA FCNG REF:599361/000979900268</t>
  </si>
  <si>
    <t>291AWNV19119000j</t>
  </si>
  <si>
    <t>ATM WDL  @10442918 ACCESS EXP 02 MAITAMA ABUJA FCNG REF:508495/000979926432</t>
  </si>
  <si>
    <t>291AWNI19119000Q</t>
  </si>
  <si>
    <t>ATM WDL  @10442918 ACCESS EXP 02 MAITAMA ABUJA FCNG REF:000148/000980664978</t>
  </si>
  <si>
    <t>291AWNV19119000b</t>
  </si>
  <si>
    <t>ATM WDL  @10442918 ACCESS EXP 02 MAITAMA ABUJA FCNG REF:507183/000979909411</t>
  </si>
  <si>
    <t>291AWNI191190007</t>
  </si>
  <si>
    <t>ATM WDL  @10442918 ACCESS EXP 02 MAITAMA ABUJA FCNG REF:000008/000980172678</t>
  </si>
  <si>
    <t>291AWNV19119004h</t>
  </si>
  <si>
    <t>ATM WDL  @10442918 ACCESS EXP 02 MAITAMA ABUJA FCNG REF:644081/000980863447</t>
  </si>
  <si>
    <t>291AWNV19119006g</t>
  </si>
  <si>
    <t>ATM WDL  @10442918 ACCESS EXP 02 MAITAMA ABUJA FCNG REF:667804/000981426991</t>
  </si>
  <si>
    <t>291AWNV19119006U</t>
  </si>
  <si>
    <t>ATM WDL  @10442918 ACCESS EXP 02 MAITAMA ABUJA FCNG REF:620243/000981369628</t>
  </si>
  <si>
    <t>291AWNV1911900IV</t>
  </si>
  <si>
    <t>ATM WDL  @10442918 ACCESS EXP 02 MAITAMA ABUJA FCNG REF:704117/000982303526</t>
  </si>
  <si>
    <t>291AWNV19119002g</t>
  </si>
  <si>
    <t>ATM WDL  @10442918 ACCESS EXP 02 MAITAMA ABUJA FCNG REF:550230/000980463798</t>
  </si>
  <si>
    <t>291AWNV19119005z</t>
  </si>
  <si>
    <t>ATM WDL  @10442918 ACCESS EXP 02 MAITAMA ABUJA FCNG REF:604799/000981176005</t>
  </si>
  <si>
    <t>291AWNI19119000P</t>
  </si>
  <si>
    <t>ATM WDL  @10442918 ACCESS EXP 02 MAITAMA ABUJA FCNG REF:000136/000980649340</t>
  </si>
  <si>
    <t>291AWNV19119000d</t>
  </si>
  <si>
    <t>ATM WDL  @10442918 ACCESS EXP 02 MAITAMA ABUJA FCNG REF:507632/000979915481</t>
  </si>
  <si>
    <t>291AWNV19116005F</t>
  </si>
  <si>
    <t>ATM WDL  @10442918 ACCESS EXP 02 MAITAMA ABUJA FCNG REF:476597/000979517664</t>
  </si>
  <si>
    <t>291AWNV19119004y</t>
  </si>
  <si>
    <t>ATM WDL  @10442918 ACCESS EXP 02 MAITAMA ABUJA FCNG REF:646930/000980931925</t>
  </si>
  <si>
    <t>291AWNV19119005W</t>
  </si>
  <si>
    <t>ATM WDL  @10442918 ACCESS EXP 02 MAITAMA ABUJA FCNG REF:597039/000981079635</t>
  </si>
  <si>
    <t>291AWNV19116005E</t>
  </si>
  <si>
    <t>ATM WDL  @10442918 ACCESS EXP 02 MAITAMA ABUJA FCNG REF:476594/000979517581</t>
  </si>
  <si>
    <t>291AWNV19116005G</t>
  </si>
  <si>
    <t>ATM WDL  @10442918 ACCESS EXP 02 MAITAMA ABUJA FCNG REF:582268/000979518357</t>
  </si>
  <si>
    <t>291AWNV19119005P</t>
  </si>
  <si>
    <t>ATM WDL  @10442918 ACCESS EXP 02 MAITAMA ABUJA FCNG REF:593966/000981041066</t>
  </si>
  <si>
    <t>291AWNV19119005T</t>
  </si>
  <si>
    <t>ATM WDL  @10442918 ACCESS EXP 02 MAITAMA ABUJA FCNG REF:651677/000981045259</t>
  </si>
  <si>
    <t>291AWNV19119007e</t>
  </si>
  <si>
    <t>ATM WDL  @10442918 ACCESS EXP 02 MAITAMA ABUJA FCNG REF:647099/000981721134</t>
  </si>
  <si>
    <t>291AWNV19119000i</t>
  </si>
  <si>
    <t>ATM WDL  @10442918 ACCESS EXP 02 MAITAMA ABUJA FCNG REF:508316/000979924506</t>
  </si>
  <si>
    <t>291AWNV19119005I</t>
  </si>
  <si>
    <t>ATM WDL  @10442918 ACCESS EXP 02 MAITAMA ABUJA FCNG REF:592543/000981021393</t>
  </si>
  <si>
    <t>291AWNI19119000z</t>
  </si>
  <si>
    <t>ATM WDL  @10442918 ACCESS EXP 02 MAITAMA ABUJA FCNG REF:000417/000981428356</t>
  </si>
  <si>
    <t>291AWNV1911900HK</t>
  </si>
  <si>
    <t>ATM WDL  @10442918 ACCESS EXP 02 MAITAMA ABUJA FCNG REF:660969/000981943114</t>
  </si>
  <si>
    <t>291AWNV19119003k</t>
  </si>
  <si>
    <t>ATM WDL  @10442918 ACCESS EXP 02 MAITAMA ABUJA FCNG REF:572990/000980760029</t>
  </si>
  <si>
    <t>291AWNI19119000V</t>
  </si>
  <si>
    <t>ATM WDL  @10442918 ACCESS EXP 02 MAITAMA ABUJA FCNG REF:000205/000980808909</t>
  </si>
  <si>
    <t>291AWNV19119005v</t>
  </si>
  <si>
    <t>ATM WDL  @10442918 ACCESS EXP 02 MAITAMA ABUJA FCNG REF:604185/000981169139</t>
  </si>
  <si>
    <t>291AWNI19119000R</t>
  </si>
  <si>
    <t>ATM WDL  @10442918 ACCESS EXP 02 MAITAMA ABUJA FCNG REF:000158/000980688179</t>
  </si>
  <si>
    <t>291AWNV19119005S</t>
  </si>
  <si>
    <t>ATM WDL  @10442918 ACCESS EXP 02 MAITAMA ABUJA FCNG REF:651608/000981043361</t>
  </si>
  <si>
    <t>291AWNV19119006n</t>
  </si>
  <si>
    <t>ATM WDL  @10442918 ACCESS EXP 02 MAITAMA ABUJA FCNG REF:626606/000981447912</t>
  </si>
  <si>
    <t>291AWNV19119000h</t>
  </si>
  <si>
    <t>ATM WDL  @10442918 ACCESS EXP 02 MAITAMA ABUJA FCNG REF:508180/000979922899</t>
  </si>
  <si>
    <t>291AWNV19119000q</t>
  </si>
  <si>
    <t>ATM WDL  @10442918 ACCESS EXP 02 MAITAMA ABUJA FCNG REF:601779/000979949728</t>
  </si>
  <si>
    <t>291AWNV191190056</t>
  </si>
  <si>
    <t>ATM WDL  @10442918 ACCESS EXP 02 MAITAMA ABUJA FCNG REF:648961/000980979460</t>
  </si>
  <si>
    <t>291AWNV191190059</t>
  </si>
  <si>
    <t>ATM WDL  @10442918 ACCESS EXP 02 MAITAMA ABUJA FCNG REF:589557/000980982652</t>
  </si>
  <si>
    <t>291AWNV19119004n</t>
  </si>
  <si>
    <t>ATM WDL  @10442918 ACCESS EXP 02 MAITAMA ABUJA FCNG REF:645887/000980906232</t>
  </si>
  <si>
    <t>291AWNV191190061</t>
  </si>
  <si>
    <t>ATM WDL  @10442918 ACCESS EXP 02 MAITAMA ABUJA FCNG REF:604958/000981178080</t>
  </si>
  <si>
    <t>291AWNV1911900IL</t>
  </si>
  <si>
    <t>ATM WDL  @10442918 ACCESS EXP 02 MAITAMA ABUJA FCNG REF:681947/000982250011</t>
  </si>
  <si>
    <t>291AWNV1911900IT</t>
  </si>
  <si>
    <t>ATM WDL  @10442918 ACCESS EXP 02 MAITAMA ABUJA FCNG REF:685384/000982298223</t>
  </si>
  <si>
    <t>291AWNV191190068</t>
  </si>
  <si>
    <t>ATM WDL  @10442918 ACCESS EXP 02 MAITAMA ABUJA FCNG REF:609785/000981236232</t>
  </si>
  <si>
    <t>291AWNI19119000n</t>
  </si>
  <si>
    <t>ATM WDL  @10442918 ACCESS EXP 02 MAITAMA ABUJA FCNG REF:000321/000981077293</t>
  </si>
  <si>
    <t>291AWNV19119005Y</t>
  </si>
  <si>
    <t>ATM WDL  @10442918 ACCESS EXP 02 MAITAMA ABUJA FCNG REF:597123/000981080634</t>
  </si>
  <si>
    <t>291AWNV19119004o</t>
  </si>
  <si>
    <t>ATM WDL  @10442918 ACCESS EXP 02 MAITAMA ABUJA FCNG REF:583572/000980910054</t>
  </si>
  <si>
    <t>291AWNV19119003y</t>
  </si>
  <si>
    <t>ATM WDL  @10442918 ACCESS EXP 02 MAITAMA ABUJA FCNG REF:642863/000980814183</t>
  </si>
  <si>
    <t>291AWNV19119006s</t>
  </si>
  <si>
    <t>ATM WDL  @10442918 ACCESS EXP 02 MAITAMA ABUJA FCNG REF:629117/000981482461</t>
  </si>
  <si>
    <t>291AWNI191190011</t>
  </si>
  <si>
    <t>ATM WDL  @10442918 ACCESS EXP 02 MAITAMA ABUJA FCNG REF:000435/000981491828</t>
  </si>
  <si>
    <t>291AWNV19119005R</t>
  </si>
  <si>
    <t>ATM WDL  @10442918 ACCESS EXP 02 MAITAMA ABUJA FCNG REF:651575/000981042416</t>
  </si>
  <si>
    <t>291AWNV19119004S</t>
  </si>
  <si>
    <t>ATM WDL  @10442918 ACCESS EXP 02 MAITAMA ABUJA FCNG REF:578486/000980844680</t>
  </si>
  <si>
    <t>291AWNV19119001g</t>
  </si>
  <si>
    <t>ATM WDL  @10442918 ACCESS EXP 02 MAITAMA ABUJA FCNG REF:612838/000980176074</t>
  </si>
  <si>
    <t>291AWNV19119001h</t>
  </si>
  <si>
    <t>ATM WDL  @10442918 ACCESS EXP 02 MAITAMA ABUJA FCNG REF:613469/000980190192</t>
  </si>
  <si>
    <t>291AWNV19119007b</t>
  </si>
  <si>
    <t>ATM WDL  @10442918 ACCESS EXP 02 MAITAMA ABUJA FCNG REF:646566/000981714014</t>
  </si>
  <si>
    <t>291AWNV19119002W</t>
  </si>
  <si>
    <t>ATM WDL  @10442918 ACCESS EXP 02 MAITAMA ABUJA FCNG REF:546280/000980413476</t>
  </si>
  <si>
    <t>291AWNV19119001K</t>
  </si>
  <si>
    <t>ATM WDL  @10442918 ACCESS EXP 02 MAITAMA ABUJA FCNG REF:607121/000980062402</t>
  </si>
  <si>
    <t>291AWNV19119005w</t>
  </si>
  <si>
    <t>ATM WDL  @10442918 ACCESS EXP 02 MAITAMA ABUJA FCNG REF:604309/000981170574</t>
  </si>
  <si>
    <t>291AWNV19119005x</t>
  </si>
  <si>
    <t>ATM WDL  @10442918 ACCESS EXP 02 MAITAMA ABUJA FCNG REF:604690/000981174781</t>
  </si>
  <si>
    <t>291AWNV191190060</t>
  </si>
  <si>
    <t>ATM WDL  @10442918 ACCESS EXP 02 MAITAMA ABUJA FCNG REF:604872/000981177024</t>
  </si>
  <si>
    <t>291AWNV19119006y</t>
  </si>
  <si>
    <t>ATM WDL  @10442918 ACCESS EXP 02 MAITAMA ABUJA FCNG REF:632403/000981524059</t>
  </si>
  <si>
    <t>291AWNV191190019</t>
  </si>
  <si>
    <t>ATM WDL  @10442918 ACCESS EXP 02 MAITAMA ABUJA FCNG REF:513871/000979995108</t>
  </si>
  <si>
    <t>291AWNV19119002e</t>
  </si>
  <si>
    <t>ATM WDL  @10442918 ACCESS EXP 02 MAITAMA ABUJA FCNG REF:550039/000980461422</t>
  </si>
  <si>
    <t>291AWNV19119003f</t>
  </si>
  <si>
    <t>ATM WDL  @10442918 ACCESS EXP 02 MAITAMA ABUJA FCNG REF:571832/000980743372</t>
  </si>
  <si>
    <t>291AWNV19119003j</t>
  </si>
  <si>
    <t>ATM WDL  @10442918 ACCESS EXP 02 MAITAMA ABUJA FCNG REF:572715/000980756234</t>
  </si>
  <si>
    <t>291AWNI19119000g</t>
  </si>
  <si>
    <t>ATM WDL  @10442918 ACCESS EXP 02 MAITAMA ABUJA FCNG REF:000254/000980911240</t>
  </si>
  <si>
    <t>291AWNV19119004w</t>
  </si>
  <si>
    <t>ATM WDL  @10442918 ACCESS EXP 02 MAITAMA ABUJA FCNG REF:646868/000980930249</t>
  </si>
  <si>
    <t>291AWNI19119000m</t>
  </si>
  <si>
    <t>ATM WDL  @10442918 ACCESS EXP 02 MAITAMA ABUJA FCNG REF:000319/000981075985</t>
  </si>
  <si>
    <t>291AWNV19119006G</t>
  </si>
  <si>
    <t>ATM WDL  @10442918 ACCESS EXP 02 MAITAMA ABUJA FCNG REF:614941/000981301388</t>
  </si>
  <si>
    <t>291AWNV19119006F</t>
  </si>
  <si>
    <t>ATM WDL  @10442918 ACCESS EXP 02 MAITAMA ABUJA FCNG REF:614855/000981300367</t>
  </si>
  <si>
    <t>291AWNV19119006E</t>
  </si>
  <si>
    <t>ATM WDL  @10442918 ACCESS EXP 02 MAITAMA ABUJA FCNG REF:614449/000981294750</t>
  </si>
  <si>
    <t>291AWNV19119001y</t>
  </si>
  <si>
    <t>ATM WDL  @10442918 ACCESS EXP 02 MAITAMA ABUJA FCNG REF:619556/000980309542</t>
  </si>
  <si>
    <t>291AWNV191190021</t>
  </si>
  <si>
    <t>ATM WDL  @10442918 ACCESS EXP 02 MAITAMA ABUJA FCNG REF:539931/000980331084</t>
  </si>
  <si>
    <t>291AWNV191190022</t>
  </si>
  <si>
    <t>ATM WDL  @10442918 ACCESS EXP 02 MAITAMA ABUJA FCNG REF:540070/000980332836</t>
  </si>
  <si>
    <t>291AWNV19119003z</t>
  </si>
  <si>
    <t>ATM WDL  @10442918 ACCESS EXP 02 MAITAMA ABUJA FCNG REF:577375/000980818360</t>
  </si>
  <si>
    <t>291AWNV191190042</t>
  </si>
  <si>
    <t>ATM WDL  @10442918 ACCESS EXP 02 MAITAMA ABUJA FCNG REF:577524/000980820135</t>
  </si>
  <si>
    <t>291AWNV1911900JL</t>
  </si>
  <si>
    <t>ATM WDL  @10442918 ACCESS EXP 02 MAITAMA ABUJA FCNG REF:707591/000982609906</t>
  </si>
  <si>
    <t>291AWNV19119002D</t>
  </si>
  <si>
    <t>ATM WDL  @10442918 ACCESS EXP 02 MAITAMA ABUJA FCNG REF:622434/000980371217</t>
  </si>
  <si>
    <t>291AWNV19119002t</t>
  </si>
  <si>
    <t>ATM WDL  @10442918 ACCESS EXP 02 MAITAMA ABUJA FCNG REF:552573/000980493068</t>
  </si>
  <si>
    <t>291AWNV191160057</t>
  </si>
  <si>
    <t>ATM WDL  @10442918 ACCESS EXP 02 MAITAMA ABUJA FCNG REF:582153/000979505648</t>
  </si>
  <si>
    <t>291AWNV19119001p</t>
  </si>
  <si>
    <t>ATM WDL  @10442918 ACCESS EXP 02 MAITAMA ABUJA FCNG REF:532974/000980243706</t>
  </si>
  <si>
    <t>291AWNV19119003J</t>
  </si>
  <si>
    <t>ATM WDL  @10442918 ACCESS EXP 02 MAITAMA ABUJA FCNG REF:632288/000980589468</t>
  </si>
  <si>
    <t>291AWNV19119005B</t>
  </si>
  <si>
    <t>ATM WDL  @10442918 ACCESS EXP 02 MAITAMA ABUJA FCNG REF:649624/000980995690</t>
  </si>
  <si>
    <t>291AWNV19119000H</t>
  </si>
  <si>
    <t>ATM WDL  @10442918 ACCESS EXP 02 MAITAMA ABUJA FCNG REF:589844/000979693777</t>
  </si>
  <si>
    <t>291AWNV19119003L</t>
  </si>
  <si>
    <t>ATM WDL  @10442918 ACCESS EXP 02 MAITAMA ABUJA FCNG REF:632403/000980592478</t>
  </si>
  <si>
    <t>291AWNI19119000L</t>
  </si>
  <si>
    <t>ATM WDL  @10442918 ACCESS EXP 02 MAITAMA ABUJA FCNG REF:000119/000980613367</t>
  </si>
  <si>
    <t>291AWNI19119000O</t>
  </si>
  <si>
    <t>ATM WDL  @10442918 ACCESS EXP 02 MAITAMA ABUJA FCNG REF:000130/000980633349</t>
  </si>
  <si>
    <t>291AWNV19119003g</t>
  </si>
  <si>
    <t>ATM WDL  @10442918 ACCESS EXP 02 MAITAMA ABUJA FCNG REF:572058/000980746439</t>
  </si>
  <si>
    <t>291AWNV1911900AM</t>
  </si>
  <si>
    <t>ATM WDL  @10442918 ACCESS EXP 02 MAITAMA ABUJA FCNG REF:554620/000980519428</t>
  </si>
  <si>
    <t>291AWNI191190085</t>
  </si>
  <si>
    <t>ATM WDL  @10442918 ACCESS EXP 02 MAITAMA ABUJA FCNG REF:008793/000979566246</t>
  </si>
  <si>
    <t>291AWNI191190086</t>
  </si>
  <si>
    <t>ATM WDL  @10442918 ACCESS EXP 02 MAITAMA ABUJA FCNG REF:008794/000979567101</t>
  </si>
  <si>
    <t>291AWNI19116008u</t>
  </si>
  <si>
    <t>ATM WDL  @10442918 ACCESS EXP 02 MAITAMA ABUJA FCNG REF:008760/000979506324</t>
  </si>
  <si>
    <t>291AWNV19119008k</t>
  </si>
  <si>
    <t>ATM WDL  @10442918 ACCESS EXP 02 MAITAMA ABUJA FCNG REF:589924/000979695151</t>
  </si>
  <si>
    <t>291AWNV1911900AY</t>
  </si>
  <si>
    <t>ATM WDL  @10442918 ACCESS EXP 02 MAITAMA ABUJA FCNG REF:561164/000980606116</t>
  </si>
  <si>
    <t>291AWNV1911900AZ</t>
  </si>
  <si>
    <t>ATM WDL  @10442918 ACCESS EXP 02 MAITAMA ABUJA FCNG REF:633082/000980609772</t>
  </si>
  <si>
    <t>291AWNV1911900Ai</t>
  </si>
  <si>
    <t>ATM WDL  @10442918 ACCESS EXP 02 MAITAMA ABUJA FCNG REF:637302/000980711310</t>
  </si>
  <si>
    <t>291AWNV1911900Am</t>
  </si>
  <si>
    <t>ATM WDL  @10442918 ACCESS EXP 02 MAITAMA ABUJA FCNG REF:572130/000980747478</t>
  </si>
  <si>
    <t>291AWNV1911900BR</t>
  </si>
  <si>
    <t>ATM WDL  @10442918 ACCESS EXP 02 MAITAMA ABUJA FCNG REF:604594/000981173703</t>
  </si>
  <si>
    <t>291AWNV1911900BC</t>
  </si>
  <si>
    <t>ATM WDL  @10442918 ACCESS EXP 02 MAITAMA ABUJA FCNG REF:588475/000980968937</t>
  </si>
  <si>
    <t>291AWNI19119008d</t>
  </si>
  <si>
    <t>ATM WDL  @10442918 ACCESS EXP 02 MAITAMA ABUJA FCNG REF:000127/000980627707</t>
  </si>
  <si>
    <t>291AWNV1911900Bs</t>
  </si>
  <si>
    <t>ATM WDL  @10442918 ACCESS EXP 02 MAITAMA ABUJA FCNG REF:622096/000981393563</t>
  </si>
  <si>
    <t>291AWNV191190002</t>
  </si>
  <si>
    <t>ATM WDL  @10442918 ACCESS EXP 02 MAITAMA ABUJA FCNG REF:477155/000979537169</t>
  </si>
  <si>
    <t>291AWNV191190005</t>
  </si>
  <si>
    <t>ATM WDL  @10442918 ACCESS EXP 02 MAITAMA ABUJA FCNG REF:478284/000979550704</t>
  </si>
  <si>
    <t>291AWNV1911600Cc</t>
  </si>
  <si>
    <t>ATM WDL  @10442918 ACCESS EXP 02 MAITAMA ABUJA FCNG REF:476109/000979497223</t>
  </si>
  <si>
    <t>291AWNI191190002</t>
  </si>
  <si>
    <t>ATM WDL  @10442918 ACCESS EXP 02 MAITAMA ABUJA FCNG REF:008791/000979559361</t>
  </si>
  <si>
    <t>291AWNV191190009</t>
  </si>
  <si>
    <t>ATM WDL  @10442918 ACCESS EXP 02 MAITAMA ABUJA FCNG REF:481086/000979582584</t>
  </si>
  <si>
    <t>291AWNV19119000G</t>
  </si>
  <si>
    <t>ATM WDL  @10442918 ACCESS EXP 02 MAITAMA ABUJA FCNG REF:490550/000979692277</t>
  </si>
  <si>
    <t>291AWNV19119000J</t>
  </si>
  <si>
    <t>ATM WDL  @10442918 ACCESS EXP 02 MAITAMA ABUJA FCNG REF:492197/000979713125</t>
  </si>
  <si>
    <t>291AWNV19119000K</t>
  </si>
  <si>
    <t>ATM WDL  @10442918 ACCESS EXP 02 MAITAMA ABUJA FCNG REF:492301/000979714371</t>
  </si>
  <si>
    <t>291AWNV19119000L</t>
  </si>
  <si>
    <t>ATM WDL  @10442918 ACCESS EXP 02 MAITAMA ABUJA FCNG REF:492405/000979715553</t>
  </si>
  <si>
    <t>291AWNV1911900F5</t>
  </si>
  <si>
    <t>ATM WDL  @10442918 ACCESS EXP 02 MAITAMA ABUJA FCNG REF:707842/000982613374</t>
  </si>
  <si>
    <t>291AWNV19119000S</t>
  </si>
  <si>
    <t>ATM WDL  @10442918 ACCESS EXP 02 MAITAMA ABUJA FCNG REF:593589/000979771108</t>
  </si>
  <si>
    <t>291ACWO1911900OS</t>
  </si>
  <si>
    <t>ATM WDL  @10442918 ACCESS EXP 02 MAITAMA ABUJA FCNG REF:000832/000983192684</t>
  </si>
  <si>
    <t>291ACWO1911900OG</t>
  </si>
  <si>
    <t>ATM WDL  @10442918 ACCESS EXP 02 MAITAMA ABUJA FCNG REF:000803/000983126401</t>
  </si>
  <si>
    <t>291ACWO1911900Fg</t>
  </si>
  <si>
    <t>ATM WDL  @10442918 ACCESS EXP 02 MAITAMA ABUJA FCNG REF:000739/000982954296</t>
  </si>
  <si>
    <t>291ACWO1911900FJ</t>
  </si>
  <si>
    <t>ATM WDL  @10442918 ACCESS EXP 02 MAITAMA ABUJA FCNG REF:000728/000982876509</t>
  </si>
  <si>
    <t>291ACWO1911900FL</t>
  </si>
  <si>
    <t>ATM WDL  @10442918 ACCESS EXP 02 MAITAMA ABUJA FCNG REF:000731/000982881627</t>
  </si>
  <si>
    <t>291ACWO1911900FN</t>
  </si>
  <si>
    <t>ATM WDL  @10442918 ACCESS EXP 02 MAITAMA ABUJA FCNG REF:000733/000982884090</t>
  </si>
  <si>
    <t>291ACWO1911900FK</t>
  </si>
  <si>
    <t>ATM WDL  @10442918 ACCESS EXP 02 MAITAMA ABUJA FCNG REF:000730/000982879465</t>
  </si>
  <si>
    <t>291ACWO1911900E9</t>
  </si>
  <si>
    <t>ATM WDL  @10442918 ACCESS EXP 02 MAITAMA ABUJA FCNG REF:000634/000982492901</t>
  </si>
  <si>
    <t>291ACWO1911900F3</t>
  </si>
  <si>
    <t>ATM WDL  @10442918 ACCESS EXP 02 MAITAMA ABUJA FCNG REF:000709/000982822559</t>
  </si>
  <si>
    <t>291ACWO1911900EQ</t>
  </si>
  <si>
    <t>ATM WDL  @10442918 ACCESS EXP 02 MAITAMA ABUJA FCNG REF:000660/000982547115</t>
  </si>
  <si>
    <t>291ACWO1911900Ek</t>
  </si>
  <si>
    <t>ATM WDL  @10442918 ACCESS EXP 02 MAITAMA ABUJA FCNG REF:000681/000982635135</t>
  </si>
  <si>
    <t>291ACWO1911900F6</t>
  </si>
  <si>
    <t>ATM WDL  @10442918 ACCESS EXP 02 MAITAMA ABUJA FCNG REF:000714/000982832525</t>
  </si>
  <si>
    <t>291ACWO1911900F7</t>
  </si>
  <si>
    <t>ATM WDL  @10442918 ACCESS EXP 02 MAITAMA ABUJA FCNG REF:000717/000982839317</t>
  </si>
  <si>
    <t>291ACWO1911900Ep</t>
  </si>
  <si>
    <t>ATM WDL  @10442918 ACCESS EXP 02 MAITAMA ABUJA FCNG REF:000685/000982641366</t>
  </si>
  <si>
    <t>291ACWO1911900G3</t>
  </si>
  <si>
    <t>ATM WDL  @10442918 ACCESS EXP 02 MAITAMA ABUJA FCNG REF:000775/000983080094</t>
  </si>
  <si>
    <t>291ACWO1911900OM</t>
  </si>
  <si>
    <t>ATM WDL  @10442918 ACCESS EXP 02 MAITAMA ABUJA FCNG REF:000813/000983143659</t>
  </si>
  <si>
    <t>291ACWO1911900Fc</t>
  </si>
  <si>
    <t>ATM WDL  @10442918 ACCESS EXP 02 MAITAMA ABUJA FCNG REF:000737/000982919519</t>
  </si>
  <si>
    <t>291ACWO1911900OJ</t>
  </si>
  <si>
    <t>ATM WDL  @10442918 ACCESS EXP 02 MAITAMA ABUJA FCNG REF:000806/000983130808</t>
  </si>
  <si>
    <t>291ACWO1911900OL</t>
  </si>
  <si>
    <t>ATM WDL  @10442918 ACCESS EXP 02 MAITAMA ABUJA FCNG REF:000807/000983132471</t>
  </si>
  <si>
    <t>291ACWO1911900Od</t>
  </si>
  <si>
    <t>ATM WDL  @10442918 ACCESS EXP 02 MAITAMA ABUJA FCNG REF:000872/000983272311</t>
  </si>
  <si>
    <t>291ACWO1911900G0</t>
  </si>
  <si>
    <t>ATM WDL  @10442918 ACCESS EXP 02 MAITAMA ABUJA FCNG REF:000767/000983069114</t>
  </si>
  <si>
    <t>291ACWO1911900G1</t>
  </si>
  <si>
    <t>ATM WDL  @10442918 ACCESS EXP 02 MAITAMA ABUJA FCNG REF:000768/000983071062</t>
  </si>
  <si>
    <t>291ACWO19119008n</t>
  </si>
  <si>
    <t>ATM WDL  @10442918 ACCESS EXP 02 MAITAMA ABUJA FCNG REF:008846/000979701779</t>
  </si>
  <si>
    <t>291ACWO1911900G9</t>
  </si>
  <si>
    <t>ATM WDL  @10442918 ACCESS EXP 02 MAITAMA ABUJA FCNG REF:000766/000983067313</t>
  </si>
  <si>
    <t>291ACWO19119009h</t>
  </si>
  <si>
    <t>ATM WDL  @10442918 ACCESS EXP 02 MAITAMA ABUJA FCNG REF:000124/000980622247</t>
  </si>
  <si>
    <t>291ACWO1911900AZ</t>
  </si>
  <si>
    <t>ATM WDL  @10442918 ACCESS EXP 02 MAITAMA ABUJA FCNG REF:000329/000981121302</t>
  </si>
  <si>
    <t>291ACWO19119008t</t>
  </si>
  <si>
    <t>ATM WDL  @10442918 ACCESS EXP 02 MAITAMA ABUJA FCNG REF:008874/000979748179</t>
  </si>
  <si>
    <t>291ACWO19119004m</t>
  </si>
  <si>
    <t>ATM WDL  @10442918 ACCESS EXP 02 MAITAMA ABUJA FCNG REF:000525/000981864775</t>
  </si>
  <si>
    <t>291ACWO19119004q</t>
  </si>
  <si>
    <t>ATM WDL  @10442918 ACCESS EXP 02 MAITAMA ABUJA FCNG REF:000530/000981869207</t>
  </si>
  <si>
    <t>291ACWO19119006V</t>
  </si>
  <si>
    <t>ATM WDL  @10442918 ACCESS EXP 02 MAITAMA ABUJA FCNG REF:000656/000982540874</t>
  </si>
  <si>
    <t>291ACWO1911900A7</t>
  </si>
  <si>
    <t>ATM WDL  @10442918 ACCESS EXP 02 MAITAMA ABUJA FCNG REF:000244/000980876050</t>
  </si>
  <si>
    <t>291ACWO191190090</t>
  </si>
  <si>
    <t>ATM WDL  @10442918 ACCESS EXP 02 MAITAMA ABUJA FCNG REF:008901/000979825439</t>
  </si>
  <si>
    <t>291ACWO1911900Gf</t>
  </si>
  <si>
    <t>ATM WDL  @10442918 ACCESS EXP 02 MAITAMA ABUJA FCNG REF:000866/000983237447</t>
  </si>
  <si>
    <t>291ACWO19119009t</t>
  </si>
  <si>
    <t>ATM WDL  @10442918 ACCESS EXP 02 MAITAMA ABUJA FCNG REF:000200/000980802934</t>
  </si>
  <si>
    <t>291ACWO1911900Ax</t>
  </si>
  <si>
    <t>ATM WDL  @10442918 ACCESS EXP 02 MAITAMA ABUJA FCNG REF:000412/000981417439</t>
  </si>
  <si>
    <t>291ACWO19119008N</t>
  </si>
  <si>
    <t>ATM WDL  @10442918 ACCESS EXP 02 MAITAMA ABUJA FCNG REF:008796/000979576136</t>
  </si>
  <si>
    <t>291ACWO191190060</t>
  </si>
  <si>
    <t>ATM WDL  @10442918 ACCESS EXP 02 MAITAMA ABUJA FCNG REF:000596/000982279876</t>
  </si>
  <si>
    <t>291ACWO1911900GL</t>
  </si>
  <si>
    <t>ATM WDL  @10442918 ACCESS EXP 02 MAITAMA ABUJA FCNG REF:000786/000983095190</t>
  </si>
  <si>
    <t>291ACWO1911900GR</t>
  </si>
  <si>
    <t>ATM WDL  @10442918 ACCESS EXP 02 MAITAMA ABUJA FCNG REF:000804/000983127992</t>
  </si>
  <si>
    <t>291ACWO19119008m</t>
  </si>
  <si>
    <t>ATM WDL  @10442918 ACCESS EXP 02 MAITAMA ABUJA FCNG REF:008845/000979700559</t>
  </si>
  <si>
    <t>291ACWO1911900FC</t>
  </si>
  <si>
    <t>ATM WDL  @10442918 ACCESS EXP 02 MAITAMA ABUJA FCNG REF:000719/000982844830</t>
  </si>
  <si>
    <t>291ACWO1911900Dc</t>
  </si>
  <si>
    <t>ATM WDL  @10442918 ACCESS EXP 02 MAITAMA ABUJA FCNG REF:000612/000982306747</t>
  </si>
  <si>
    <t>291ACWO1911900GG</t>
  </si>
  <si>
    <t>ATM WDL  @10442918 ACCESS EXP 02 MAITAMA ABUJA FCNG REF:000777/000983082460</t>
  </si>
  <si>
    <t>291ACWO191190095</t>
  </si>
  <si>
    <t>ATM WDL  @10442918 ACCESS EXP 02 MAITAMA ABUJA FCNG REF:008947/000979971119</t>
  </si>
  <si>
    <t>291ACWO1911900CZ</t>
  </si>
  <si>
    <t>ATM WDL RVSL- @10442918 ACCESS EXP 02 MAITAMA ABUJA FCNG REF:000552/000981954786</t>
  </si>
  <si>
    <t>291ACWO1911900Eb</t>
  </si>
  <si>
    <t>ATM WDL  @10442918 ACCESS EXP 02 MAITAMA ABUJA FCNG REF:000666/000982581939</t>
  </si>
  <si>
    <t>291ACWO19119008Q</t>
  </si>
  <si>
    <t>ATM WDL  @10442918 ACCESS EXP 02 MAITAMA ABUJA FCNG REF:008810/000979588768</t>
  </si>
  <si>
    <t>291ACWO1911900Ab</t>
  </si>
  <si>
    <t>ATM WDL  @10442918 ACCESS EXP 02 MAITAMA ABUJA FCNG REF:000335/000981129129</t>
  </si>
  <si>
    <t>291ACWO1911900DP</t>
  </si>
  <si>
    <t>ATM WDL  @10442918 ACCESS EXP 02 MAITAMA ABUJA FCNG REF:000584/000982245099</t>
  </si>
  <si>
    <t>291ACWO1911900Da</t>
  </si>
  <si>
    <t>ATM WDL  @10442918 ACCESS EXP 02 MAITAMA ABUJA FCNG REF:000600/000982284818</t>
  </si>
  <si>
    <t>291ACWO19119004n</t>
  </si>
  <si>
    <t>ATM WDL  @10442918 ACCESS EXP 02 MAITAMA ABUJA FCNG REF:000526/000981865502</t>
  </si>
  <si>
    <t>291ACWO19119009g</t>
  </si>
  <si>
    <t>ATM WDL  @10442918 ACCESS EXP 02 MAITAMA ABUJA FCNG REF:000122/000980617885</t>
  </si>
  <si>
    <t>291ACWO19119007a</t>
  </si>
  <si>
    <t>ATM WDL  @10442918 ACCESS EXP 02 MAITAMA ABUJA FCNG REF:000735/000982895714</t>
  </si>
  <si>
    <t>291ACWO1911900BL</t>
  </si>
  <si>
    <t>ATM WDL  @10442918 ACCESS EXP 02 MAITAMA ABUJA FCNG REF:000464/000981651348</t>
  </si>
  <si>
    <t>291ACWO1911900Av</t>
  </si>
  <si>
    <t>ATM WDL  @10442918 ACCESS EXP 02 MAITAMA ABUJA FCNG REF:000411/000981416170</t>
  </si>
  <si>
    <t>291ACWO1911900OT</t>
  </si>
  <si>
    <t>ATM WDL  @10442918 ACCESS EXP 02 MAITAMA ABUJA FCNG REF:000833/000983193827</t>
  </si>
  <si>
    <t>291ACWO1911900Bu</t>
  </si>
  <si>
    <t>ATM WDL  @10442918 ACCESS EXP 02 MAITAMA ABUJA FCNG REF:000507/000981834370</t>
  </si>
  <si>
    <t>291ACWO1911900CA</t>
  </si>
  <si>
    <t>ATM WDL  @10442918 ACCESS EXP 02 MAITAMA ABUJA FCNG REF:000527/000981866328</t>
  </si>
  <si>
    <t>291ACWO19119009l</t>
  </si>
  <si>
    <t>ATM WDL  @10442918 ACCESS EXP 02 MAITAMA ABUJA FCNG REF:000153/000980675819</t>
  </si>
  <si>
    <t>291ACWO19119009e</t>
  </si>
  <si>
    <t>ATM WDL  @10442918 ACCESS EXP 02 MAITAMA ABUJA FCNG REF:000107/000980595604</t>
  </si>
  <si>
    <t>291ACWO1911900OI</t>
  </si>
  <si>
    <t>ATM WDL  @10442918 ACCESS EXP 02 MAITAMA ABUJA FCNG REF:000805/000983129409</t>
  </si>
  <si>
    <t>291ACWO1911900GT</t>
  </si>
  <si>
    <t>ATM WDL  @10442918 ACCESS EXP 02 MAITAMA ABUJA FCNG REF:000809/000983135345</t>
  </si>
  <si>
    <t>291ACWO19119007N</t>
  </si>
  <si>
    <t>ATM WDL  @10442918 ACCESS EXP 02 MAITAMA ABUJA FCNG REF:000720/000982846951</t>
  </si>
  <si>
    <t>291ACWO1911900BH</t>
  </si>
  <si>
    <t>ATM WDL  @10442918 ACCESS EXP 02 MAITAMA ABUJA FCNG REF:000456/000981620904</t>
  </si>
  <si>
    <t>291ACWO1911900AG</t>
  </si>
  <si>
    <t>ATM WDL  @10442918 ACCESS EXP 02 MAITAMA ABUJA FCNG REF:000273/000980953760</t>
  </si>
  <si>
    <t>291ACWO19119005B</t>
  </si>
  <si>
    <t>ATM WDL  @10442918 ACCESS EXP 02 MAITAMA ABUJA FCNG REF:000547/000981937383</t>
  </si>
  <si>
    <t>291ACWO1911900BF</t>
  </si>
  <si>
    <t>ATM WDL  @10442918 ACCESS EXP 02 MAITAMA ABUJA FCNG REF:000452/000981601754</t>
  </si>
  <si>
    <t>291ACWO1911900BG</t>
  </si>
  <si>
    <t>ATM WDL  @10442918 ACCESS EXP 02 MAITAMA ABUJA FCNG REF:000455/000981619683</t>
  </si>
  <si>
    <t>291ACWO19119009B</t>
  </si>
  <si>
    <t>ATM WDL  @10442918 ACCESS EXP 02 MAITAMA ABUJA FCNG REF:008977/000980105852</t>
  </si>
  <si>
    <t>291ACWO1911900AB</t>
  </si>
  <si>
    <t>ATM WDL  @10442918 ACCESS EXP 02 MAITAMA ABUJA FCNG REF:000248/000980907290</t>
  </si>
  <si>
    <t>291ACWO1911900FG</t>
  </si>
  <si>
    <t>ATM WDL  @10442918 ACCESS EXP 02 MAITAMA ABUJA FCNG REF:000721/000982849143</t>
  </si>
  <si>
    <t>291ACWO19119009D</t>
  </si>
  <si>
    <t>ATM WDL  @10442918 ACCESS EXP 02 MAITAMA ABUJA FCNG REF:008988/000980119404</t>
  </si>
  <si>
    <t>291ACWO19119008u</t>
  </si>
  <si>
    <t>ATM WDL  @10442918 ACCESS EXP 02 MAITAMA ABUJA FCNG REF:008875/000979749490</t>
  </si>
  <si>
    <t>291ACWO1911900B4</t>
  </si>
  <si>
    <t>ATM WDL  @10442918 ACCESS EXP 02 MAITAMA ABUJA FCNG REF:000428/000981472323</t>
  </si>
  <si>
    <t>291ACWO1911900GW</t>
  </si>
  <si>
    <t>ATM WDL  @10442918 ACCESS EXP 02 MAITAMA ABUJA FCNG REF:000830/000983190813</t>
  </si>
  <si>
    <t>291ACWO19119009A</t>
  </si>
  <si>
    <t>ATM WDL  @10442918 ACCESS EXP 02 MAITAMA ABUJA FCNG REF:008974/000980103134</t>
  </si>
  <si>
    <t>291ACWO1911900GX</t>
  </si>
  <si>
    <t>ATM WDL  @10442918 ACCESS EXP 02 MAITAMA ABUJA FCNG REF:000834/000983194854</t>
  </si>
  <si>
    <t>291ACWO19119008P</t>
  </si>
  <si>
    <t>ATM WDL  @10442918 ACCESS EXP 02 MAITAMA ABUJA FCNG REF:008807/000979587128</t>
  </si>
  <si>
    <t>ATM WDL  @10442918 ACCESS EXP 02 MAITAMA ABUJA FCNG REF:000552/000981954786</t>
  </si>
  <si>
    <t>291ACWO1911900GK</t>
  </si>
  <si>
    <t>ATM WDL  @10442918 ACCESS EXP 02 MAITAMA ABUJA FCNG REF:000784/000983091703</t>
  </si>
  <si>
    <t>291ACWO1911900Ga</t>
  </si>
  <si>
    <t>ATM WDL  @10442918 ACCESS EXP 02 MAITAMA ABUJA FCNG REF:000860/000983231105</t>
  </si>
  <si>
    <t>291ACWO1911900GQ</t>
  </si>
  <si>
    <t>ATM WDL  @10442918 ACCESS EXP 02 MAITAMA ABUJA FCNG REF:000794/000983116297</t>
  </si>
  <si>
    <t>291ACWO1911900Gb</t>
  </si>
  <si>
    <t>ATM WDL  @10442918 ACCESS EXP 02 MAITAMA ABUJA FCNG REF:000861/000983231892</t>
  </si>
  <si>
    <t>291ACWO1911900EC</t>
  </si>
  <si>
    <t>ATM WDL  @10442918 ACCESS EXP 02 MAITAMA ABUJA FCNG REF:000636/000982499276</t>
  </si>
  <si>
    <t>291ACWO1911900ED</t>
  </si>
  <si>
    <t>ATM WDL  @10442918 ACCESS EXP 02 MAITAMA ABUJA FCNG REF:000638/000982501936</t>
  </si>
  <si>
    <t>291ACWO19119004g</t>
  </si>
  <si>
    <t>ATM WDL  @10442918 ACCESS EXP 02 MAITAMA ABUJA FCNG REF:000514/000981839432</t>
  </si>
  <si>
    <t>291ACWO19119006u</t>
  </si>
  <si>
    <t>ATM WDL  @10442918 ACCESS EXP 02 MAITAMA ABUJA FCNG REF:000683/000982637817</t>
  </si>
  <si>
    <t>291ACWO19119001e</t>
  </si>
  <si>
    <t>ATM WDL  @10442918 ACCESS EXP 02 MAITAMA ABUJA FCNG REF:008989/000980121083</t>
  </si>
  <si>
    <t>291ACWO19119004p</t>
  </si>
  <si>
    <t>ATM WDL  @10442918 ACCESS EXP 02 MAITAMA ABUJA FCNG REF:000529/000981868297</t>
  </si>
  <si>
    <t>291ACWO19119000j</t>
  </si>
  <si>
    <t>ATM WDL  @10442918 ACCESS EXP 02 MAITAMA ABUJA FCNG REF:008887/000979784765</t>
  </si>
  <si>
    <t>291ACWO19119000p</t>
  </si>
  <si>
    <t>ATM WDL  @10442918 ACCESS EXP 02 MAITAMA ABUJA FCNG REF:008893/000979809861</t>
  </si>
  <si>
    <t>291ACWO191190034</t>
  </si>
  <si>
    <t>ATM WDL  @10442918 ACCESS EXP 02 MAITAMA ABUJA FCNG REF:000250/000980908937</t>
  </si>
  <si>
    <t>291ACWO19119000m</t>
  </si>
  <si>
    <t>ATM WDL  @10442918 ACCESS EXP 02 MAITAMA ABUJA FCNG REF:008891/000979798780</t>
  </si>
  <si>
    <t>291ACWO19119003G</t>
  </si>
  <si>
    <t>ATM WDL  @10442918 ACCESS EXP 02 MAITAMA ABUJA FCNG REF:000302/000981013411</t>
  </si>
  <si>
    <t>291ACWO19119003h</t>
  </si>
  <si>
    <t>ATM WDL  @10442918 ACCESS EXP 02 MAITAMA ABUJA FCNG REF:000367/000981257658</t>
  </si>
  <si>
    <t>291ACWO19119001X</t>
  </si>
  <si>
    <t>ATM WDL  @10442918 ACCESS EXP 02 MAITAMA ABUJA FCNG REF:008978/000980108218</t>
  </si>
  <si>
    <t>291ACWO19119004e</t>
  </si>
  <si>
    <t>ATM WDL  @10442918 ACCESS EXP 02 MAITAMA ABUJA FCNG REF:000513/000981838747</t>
  </si>
  <si>
    <t>291ACWO19119000f</t>
  </si>
  <si>
    <t>ATM WDL  @10442918 ACCESS EXP 02 MAITAMA ABUJA FCNG REF:008869/000979741258</t>
  </si>
  <si>
    <t>291ACWO19119001B</t>
  </si>
  <si>
    <t>ATM WDL RVSL- @10442918 ACCESS EXP 02 MAITAMA ABUJA FCNG REF:008942/000979957858</t>
  </si>
  <si>
    <t>291ACWO19119002z</t>
  </si>
  <si>
    <t>ATM WDL  @10442918 ACCESS EXP 02 MAITAMA ABUJA FCNG REF:000238/000980859037</t>
  </si>
  <si>
    <t>291ACWO191190027</t>
  </si>
  <si>
    <t>ATM WDL  @10442918 ACCESS EXP 02 MAITAMA ABUJA FCNG REF:000052/000980409753</t>
  </si>
  <si>
    <t>291ACWO19119001A</t>
  </si>
  <si>
    <t>ATM WDL  @10442918 ACCESS EXP 02 MAITAMA ABUJA FCNG REF:008940/000979954595</t>
  </si>
  <si>
    <t>291ACWO191190024</t>
  </si>
  <si>
    <t>ATM WDL  @10442918 ACCESS EXP 02 MAITAMA ABUJA FCNG REF:000046/000980385667</t>
  </si>
  <si>
    <t>291ACWO19119001S</t>
  </si>
  <si>
    <t>ATM WDL  @10442918 ACCESS EXP 02 MAITAMA ABUJA FCNG REF:008967/000980095501</t>
  </si>
  <si>
    <t>291ACWO19119001L</t>
  </si>
  <si>
    <t>ATM WDL  @10442918 ACCESS EXP 02 MAITAMA ABUJA FCNG REF:008953/000980019883</t>
  </si>
  <si>
    <t>291ACWO19119001m</t>
  </si>
  <si>
    <t>ATM WDL  @10442918 ACCESS EXP 02 MAITAMA ABUJA FCNG REF:008998/000980161150</t>
  </si>
  <si>
    <t>291ACWO19119001Y</t>
  </si>
  <si>
    <t>ATM WDL  @10442918 ACCESS EXP 02 MAITAMA ABUJA FCNG REF:008979/000980109656</t>
  </si>
  <si>
    <t>291ACWO19119002T</t>
  </si>
  <si>
    <t>ATM WDL  @10442918 ACCESS EXP 02 MAITAMA ABUJA FCNG REF:000096/000980548034</t>
  </si>
  <si>
    <t>291ACWO191190008</t>
  </si>
  <si>
    <t>ATM WDL  @10442918 ACCESS EXP 02 MAITAMA ABUJA FCNG REF:008804/000979585637</t>
  </si>
  <si>
    <t>291ACWO191190030</t>
  </si>
  <si>
    <t>ATM WDL  @10442918 ACCESS EXP 02 MAITAMA ABUJA FCNG REF:000240/000980862640</t>
  </si>
  <si>
    <t>291ACWO19119001V</t>
  </si>
  <si>
    <t>ATM WDL  @10442918 ACCESS EXP 02 MAITAMA ABUJA FCNG REF:008973/000980101785</t>
  </si>
  <si>
    <t>291ACWO19119002e</t>
  </si>
  <si>
    <t>ATM WDL  @10442918 ACCESS EXP 02 MAITAMA ABUJA FCNG REF:000146/000980662667</t>
  </si>
  <si>
    <t>291ACWO19119004L</t>
  </si>
  <si>
    <t>ATM WDL  @10442918 ACCESS EXP 02 MAITAMA ABUJA FCNG REF:000491/000981748615</t>
  </si>
  <si>
    <t>291ACWO19119002A</t>
  </si>
  <si>
    <t>ATM WDL  @10442918 ACCESS EXP 02 MAITAMA ABUJA FCNG REF:000053/000980411202</t>
  </si>
  <si>
    <t>291ACWO191190017</t>
  </si>
  <si>
    <t>ATM WDL  @10442918 ACCESS EXP 02 MAITAMA ABUJA FCNG REF:008923/000979917994</t>
  </si>
  <si>
    <t>291ACWO19119003y</t>
  </si>
  <si>
    <t>ATM WDL  @10442918 ACCESS EXP 02 MAITAMA REF:131905/042821500776</t>
  </si>
  <si>
    <t>ATM WDL  @10442918 ACCESS EXP 02 MAITAMA ABUJA FCNG REF:008942/000979957858</t>
  </si>
  <si>
    <t>291ACWO19119003C</t>
  </si>
  <si>
    <t>ATM WDL  @10442918 ACCESS EXP 02 MAITAMA ABUJA FCNG REF:000280/000980972867</t>
  </si>
  <si>
    <t>291ACWO19119002d</t>
  </si>
  <si>
    <t>ATM WDL  @10442918 ACCESS EXP 02 MAITAMA ABUJA FCNG REF:000138/000980653751</t>
  </si>
  <si>
    <t>291ACWO19119002f</t>
  </si>
  <si>
    <t>ATM WDL  @10442918 ACCESS EXP 02 MAITAMA ABUJA FCNG REF:000151/000980673827</t>
  </si>
  <si>
    <t>291ACWO19119002W</t>
  </si>
  <si>
    <t>ATM WDL  @10442918 ACCESS EXP 02 MAITAMA ABUJA FCNG REF:000098/000980551158</t>
  </si>
  <si>
    <t>291ACWO19119004M</t>
  </si>
  <si>
    <t>ATM WDL  @10442918 ACCESS EXP 02 MAITAMA ABUJA FCNG REF:000493/000981749463</t>
  </si>
  <si>
    <t>291ACWO19119003t</t>
  </si>
  <si>
    <t>ATM WDL  @10442918 ACCESS EXP 02 MAITAMA ABUJA FCNG REF:000410/000981415097</t>
  </si>
  <si>
    <t>291ACWO19119001r</t>
  </si>
  <si>
    <t>ATM WDL  @10442918 ACCESS EXP 02 MAITAMA ABUJA FCNG REF:000025/000980290100</t>
  </si>
  <si>
    <t>291ACWO19119002D</t>
  </si>
  <si>
    <t>ATM WDL  @10442918 ACCESS EXP 02 MAITAMA ABUJA FCNG REF:000057/000980416145</t>
  </si>
  <si>
    <t>ATM WDL RVSL- @10442918 ACCESS EXP 02 MAITAMA ABUJA FCNG REF:000057/000980416145</t>
  </si>
  <si>
    <t>291ACWO191190053</t>
  </si>
  <si>
    <t>ATM WDL  @10442918 ACCESS EXP 02 MAITAMA ABUJA FCNG REF:000538/000981902086</t>
  </si>
  <si>
    <t>291ACWO19119000v</t>
  </si>
  <si>
    <t>ATM WDL  @10442918 ACCESS EXP 02 MAITAMA ABUJA FCNG REF:008903/000979827577</t>
  </si>
  <si>
    <t>291ACWO19119002Q</t>
  </si>
  <si>
    <t>ATM WDL  @10442918 ACCESS EXP 02 MAITAMA ABUJA FCNG REF:000092/000980542853</t>
  </si>
  <si>
    <t>291ACWO19119001b</t>
  </si>
  <si>
    <t>ATM WDL  @10442918 ACCESS EXP 02 MAITAMA ABUJA FCNG REF:008981/000980112927</t>
  </si>
  <si>
    <t>291ACWO191190018</t>
  </si>
  <si>
    <t>ATM WDL  @10442918 ACCESS EXP 02 MAITAMA REF:807485/042721561884</t>
  </si>
  <si>
    <t>291ACWO19119001Q</t>
  </si>
  <si>
    <t>ATM WDL  @10442918 ACCESS EXP 02 MAITAMA ABUJA FCNG REF:008959/000980058882</t>
  </si>
  <si>
    <t>291ACWO19119001z</t>
  </si>
  <si>
    <t>ATM WDL  @10442918 ACCESS EXP 02 MAITAMA ABUJA FCNG REF:000034/000980343202</t>
  </si>
  <si>
    <t>291ACWO191190003</t>
  </si>
  <si>
    <t>ATM WDL  @10442918 ACCESS EXP 02 MAITAMA ABUJA FCNG REF:008779/000979546403</t>
  </si>
  <si>
    <t>291ACWO19119000Q</t>
  </si>
  <si>
    <t>ATM WDL  @10442918 ACCESS EXP 02 MAITAMA ABUJA FCNG REF:008828/000979668175</t>
  </si>
  <si>
    <t>291ACWO191190005</t>
  </si>
  <si>
    <t>ATM WDL  @10442918 ACCESS EXP 02 MAITAMA ABUJA FCNG REF:008789/000979556945</t>
  </si>
  <si>
    <t>291ACWO19119006U</t>
  </si>
  <si>
    <t>ATM WDL  @10442918 ACCESS EXP 02 MAITAMA ABUJA FCNG REF:000655/000982539296</t>
  </si>
  <si>
    <t>291ACWO19116005U</t>
  </si>
  <si>
    <t>ATM WDL  @10442918 ACCESS EXP 02 MAITAMA ABUJA FCNG REF:008744/000979496582</t>
  </si>
  <si>
    <t>291ACWO19119002q</t>
  </si>
  <si>
    <t>ATM WDL  @10442918 ACCESS EXP 02 MAITAMA ABUJA FCNG REF:000197/000980801681</t>
  </si>
  <si>
    <t>291ACWO19119002r</t>
  </si>
  <si>
    <t>ATM WDL  @10442918 ACCESS EXP 02 MAITAMA ABUJA FCNG REF:000199/000980802529</t>
  </si>
  <si>
    <t>291ACWO19119000h</t>
  </si>
  <si>
    <t>ATM WDL  @10442918 ACCESS EXP 02 MAITAMA ABUJA FCNG REF:008870/000979743023</t>
  </si>
  <si>
    <t>291ACWO19119002V</t>
  </si>
  <si>
    <t>ATM WDL  @10442918 ACCESS EXP 02 MAITAMA ABUJA FCNG REF:000097/000980549745</t>
  </si>
  <si>
    <t>291ACWO19119000e</t>
  </si>
  <si>
    <t>ATM WDL  @10442918 ACCESS EXP 02 MAITAMA ABUJA FCNG REF:008868/000979740189</t>
  </si>
  <si>
    <t>291ACWO19119000P</t>
  </si>
  <si>
    <t>ATM WDL  @10442918 ACCESS EXP 02 MAITAMA ABUJA FCNG REF:008827/000979666793</t>
  </si>
  <si>
    <t>291ACWO191190025</t>
  </si>
  <si>
    <t>ATM WDL  @10442918 ACCESS EXP 02 MAITAMA ABUJA FCNG REF:000050/000980402508</t>
  </si>
  <si>
    <t>291ACWO19119001T</t>
  </si>
  <si>
    <t>ATM WDL  @10442918 ACCESS EXP 02 MAITAMA ABUJA FCNG REF:008968/000980096925</t>
  </si>
  <si>
    <t>291ACWO19119001Z</t>
  </si>
  <si>
    <t>ATM WDL  @10442918 ACCESS EXP 02 MAITAMA ABUJA FCNG REF:008980/000980111331</t>
  </si>
  <si>
    <t>291ACWO19116005Z</t>
  </si>
  <si>
    <t>ATM WDL  @10442918 ACCESS EXP 02 MAITAMA ABUJA FCNG REF:008765/000979513194</t>
  </si>
  <si>
    <t>291ACWO19119004O</t>
  </si>
  <si>
    <t>ATM WDL  @10442918 ACCESS EXP 02 MAITAMA ABUJA FCNG REF:000495/000981778680</t>
  </si>
  <si>
    <t>291ACWO19119002b</t>
  </si>
  <si>
    <t>ATM WDL  @10442918 ACCESS EXP 02 MAITAMA ABUJA FCNG REF:000121/000980616471</t>
  </si>
  <si>
    <t>291ACWO191190040</t>
  </si>
  <si>
    <t>ATM WDL  @10442918 ACCESS EXP 02 MAITAMA ABUJA FCNG REF:000424/000981441251</t>
  </si>
  <si>
    <t>291ACWO19119000w</t>
  </si>
  <si>
    <t>ATM WDL  @10442918 ACCESS EXP 02 MAITAMA ABUJA FCNG REF:008905/000979829465</t>
  </si>
  <si>
    <t>291ACWO191190099</t>
  </si>
  <si>
    <t>ATM WDL  @10442918 ACCESS EXP 02 MAITAMA ABUJA FCNG REF:008957/000980055413</t>
  </si>
  <si>
    <t>291ACWO1911900Am</t>
  </si>
  <si>
    <t>ATM WDL  @10442918 ACCESS EXP 02 MAITAMA ABUJA FCNG REF:000370/000981262526</t>
  </si>
  <si>
    <t>291ACWO1911900BR</t>
  </si>
  <si>
    <t>ATM WDL  @10442918 ACCESS EXP 02 MAITAMA ABUJA FCNG REF:000477/000981710252</t>
  </si>
  <si>
    <t>291ACWO1911600Bk</t>
  </si>
  <si>
    <t>ATM WDL  @10442918 ACCESS EXP 02 MAITAMA ABUJA FCNG REF:008764/000979512668</t>
  </si>
  <si>
    <t>291ACWO19119009V</t>
  </si>
  <si>
    <t>ATM WDL  @10442918 ACCESS EXP 02 MAITAMA ABUJA FCNG REF:000093/000980544107</t>
  </si>
  <si>
    <t>291ACWO19119009J</t>
  </si>
  <si>
    <t>ATM WDL  @10442918 ACCESS EXP 02 MAITAMA ABUJA FCNG REF:000021/000980248109</t>
  </si>
  <si>
    <t>291ACWO1911600Bl</t>
  </si>
  <si>
    <t>ATM WDL  @10442918 ACCESS EXP 02 MAITAMA REF:688232/042721586281</t>
  </si>
  <si>
    <t>291ACWO19119008O</t>
  </si>
  <si>
    <t>ATM WDL  @10442918 ACCESS EXP 02 MAITAMA ABUJA FCNG REF:008801/000979584523</t>
  </si>
  <si>
    <t>291ACWO19119008s</t>
  </si>
  <si>
    <t>ATM WDL  @10442918 ACCESS EXP 02 MAITAMA ABUJA FCNG REF:008873/000979746827</t>
  </si>
  <si>
    <t>291ACWO1911900AD</t>
  </si>
  <si>
    <t>ATM WDL  @10442918 ACCESS EXP 02 MAITAMA ABUJA FCNG REF:000258/000980913361</t>
  </si>
  <si>
    <t>291ACWO19119009W</t>
  </si>
  <si>
    <t>ATM WDL  @10442918 ACCESS EXP 02 MAITAMA ABUJA FCNG REF:000094/000980545514</t>
  </si>
  <si>
    <t>291ACWO1911900Aa</t>
  </si>
  <si>
    <t>ATM WDL  @10442918 ACCESS EXP 02 MAITAMA ABUJA FCNG REF:000332/000981125765</t>
  </si>
  <si>
    <t>291ACWO19119009w</t>
  </si>
  <si>
    <t>ATM WDL  @10442918 ACCESS EXP 02 MAITAMA ABUJA FCNG REF:000217/000980823353</t>
  </si>
  <si>
    <t>291ACWO1911900C6</t>
  </si>
  <si>
    <t>ATM WDL  @10442918 ACCESS EXP 02 MAITAMA ABUJA FCNG REF:000519/000981850659</t>
  </si>
  <si>
    <t>291ACWO1911900Dy</t>
  </si>
  <si>
    <t>ATM WDL  @10442918 ACCESS EXP 02 MAITAMA ABUJA FCNG REF:000626/000982418502</t>
  </si>
  <si>
    <t>291ACWO1911900E0</t>
  </si>
  <si>
    <t>ATM WDL  @10442918 ACCESS EXP 02 MAITAMA ABUJA FCNG REF:000628/000982422572</t>
  </si>
  <si>
    <t>291ACWO1911900E6</t>
  </si>
  <si>
    <t>ATM WDL  @10442918 ACCESS EXP 02 MAITAMA ABUJA FCNG REF:000632/000982476818</t>
  </si>
  <si>
    <t>291ACWO19119000i</t>
  </si>
  <si>
    <t>ATM WDL  @10442918 ACCESS EXP 02 MAITAMA ABUJA FCNG REF:008872/000979745073</t>
  </si>
  <si>
    <t>291ACWO19119000M</t>
  </si>
  <si>
    <t>ATM WDL  @10442918 ACCESS EXP 02 MAITAMA ABUJA FCNG REF:008823/000979656607</t>
  </si>
  <si>
    <t>291ACWO1911900Bh</t>
  </si>
  <si>
    <t>ATM WDL  @10442918 ACCESS EXP 02 MAITAMA ABUJA FCNG REF:000503/000981811968</t>
  </si>
  <si>
    <t>291ACWO19119000W</t>
  </si>
  <si>
    <t>ATM WDL  @10442918 ACCESS EXP 02 MAITAMA ABUJA FCNG REF:008830/000979673578</t>
  </si>
  <si>
    <t>291ACWO1911900Eo</t>
  </si>
  <si>
    <t>ATM WDL  @10442918 ACCESS EXP 02 MAITAMA ABUJA FCNG REF:000684/000982639587</t>
  </si>
  <si>
    <t>CHRISTICS197</t>
  </si>
  <si>
    <t>291MCGT191190503</t>
  </si>
  <si>
    <t>ATM 10 CASH LOAD/ 29.04.19</t>
  </si>
  <si>
    <t>291MCGT191190502</t>
  </si>
  <si>
    <t>ATM 10 CASH UNLOAD/ 29.04.19</t>
  </si>
  <si>
    <t>291AWNV1912000Ap</t>
  </si>
  <si>
    <t>ATM WDL  @10442918 ACCESS EXP 02 MAITAMA ABUJA FCNG REF:799963/000984438923</t>
  </si>
  <si>
    <t>291AWNV19120005G</t>
  </si>
  <si>
    <t>ATM WDL  @10442918 ACCESS EXP 02 MAITAMA ABUJA FCNG REF:854536/000984582088</t>
  </si>
  <si>
    <t>291AWNV19120000y</t>
  </si>
  <si>
    <t>ATM WDL  @10442918 ACCESS EXP 02 MAITAMA ABUJA FCNG REF:771776/000983534405</t>
  </si>
  <si>
    <t>291AWNV19120000N</t>
  </si>
  <si>
    <t>ATM WDL  @10442918 ACCESS EXP 02 MAITAMA ABUJA FCNG REF:750409/000983400511</t>
  </si>
  <si>
    <t>291AWNV1912000MR</t>
  </si>
  <si>
    <t>ATM WDL  @10442918 ACCESS EXP 02 MAITAMA ABUJA FCNG REF:749395/000983316098</t>
  </si>
  <si>
    <t>291AWNV1912000Be</t>
  </si>
  <si>
    <t>ATM WDL  @10442918 ACCESS EXP 02 MAITAMA ABUJA FCNG REF:806925/000984601810</t>
  </si>
  <si>
    <t>291AWNI19120008f</t>
  </si>
  <si>
    <t>ATM WDL  @10442918 ACCESS EXP 02 MAITAMA ABUJA FCNG REF:002181/000984607152</t>
  </si>
  <si>
    <t>291AWNV1912000Ar</t>
  </si>
  <si>
    <t>ATM WDL  @10442918 ACCESS EXP 02 MAITAMA ABUJA FCNG REF:841266/000984444851</t>
  </si>
  <si>
    <t>291AWNV1912000D8</t>
  </si>
  <si>
    <t>ATM WDL  @10442918 ACCESS EXP 02 MAITAMA ABUJA FCNG REF:881015/000984926804</t>
  </si>
  <si>
    <t>291AWNI19120008i</t>
  </si>
  <si>
    <t>ATM WDL  @10442918 ACCESS EXP 02 MAITAMA ABUJA FCNG REF:002211/000984665269</t>
  </si>
  <si>
    <t>291AWNI19120008V</t>
  </si>
  <si>
    <t>ATM WDL  @10442918 ACCESS EXP 02 MAITAMA ABUJA FCNG REF:002114/000984464092</t>
  </si>
  <si>
    <t>291AWNV191200069</t>
  </si>
  <si>
    <t>ATM WDL  @10442918 ACCESS EXP 02 MAITAMA ABUJA FCNG REF:868328/000984747063</t>
  </si>
  <si>
    <t>291AWNV19120006D</t>
  </si>
  <si>
    <t>ATM WDL  @10442918 ACCESS EXP 02 MAITAMA ABUJA FCNG REF:813282/000984753339</t>
  </si>
  <si>
    <t>291AWNV19120006n</t>
  </si>
  <si>
    <t>ATM WDL  @10442918 ACCESS EXP 02 MAITAMA ABUJA FCNG REF:878612/000984895043</t>
  </si>
  <si>
    <t>291AWNI19120008P</t>
  </si>
  <si>
    <t>ATM WDL  @10442918 ACCESS EXP 02 MAITAMA ABUJA FCNG REF:002060/000984342281</t>
  </si>
  <si>
    <t>291AWNV1911900MK</t>
  </si>
  <si>
    <t>ATM WDL  @10442918 ACCESS EXP 02 MAITAMA ABUJA FCNG REF:759746/000983309943</t>
  </si>
  <si>
    <t>291AWNI19120008u</t>
  </si>
  <si>
    <t>ATM WDL  @10442918 ACCESS EXP 02 MAITAMA ABUJA FCNG REF:002376/000984951421</t>
  </si>
  <si>
    <t>291AWNI19120008v</t>
  </si>
  <si>
    <t>ATM WDL  @10442918 ACCESS EXP 02 MAITAMA ABUJA FCNG REF:002378/000984952238</t>
  </si>
  <si>
    <t>291AWNV1912000CS</t>
  </si>
  <si>
    <t>ATM WDL  @10442918 ACCESS EXP 02 MAITAMA ABUJA FCNG REF:871335/000984793086</t>
  </si>
  <si>
    <t>291AWNV19120006O</t>
  </si>
  <si>
    <t>ATM WDL  @10442918 ACCESS EXP 02 MAITAMA ABUJA FCNG REF:813992/000984772625</t>
  </si>
  <si>
    <t>291AWNI19120000r</t>
  </si>
  <si>
    <t>ATM WDL  @10442918 ACCESS EXP 02 MAITAMA ABUJA FCNG REF:002215/000984672870</t>
  </si>
  <si>
    <t>291AWNV19120000r</t>
  </si>
  <si>
    <t>ATM WDL  @10442918 ACCESS EXP 02 MAITAMA ABUJA FCNG REF:755247/000983496673</t>
  </si>
  <si>
    <t>291AWNV191200048</t>
  </si>
  <si>
    <t>ATM WDL  @10442918 ACCESS EXP 02 MAITAMA ABUJA FCNG REF:832359/000984328956</t>
  </si>
  <si>
    <t>291AWNI19120000W</t>
  </si>
  <si>
    <t>ATM WDL  @10442918 ACCESS EXP 02 MAITAMA ABUJA FCNG REF:002056/000984335259</t>
  </si>
  <si>
    <t>291AWNV19120006r</t>
  </si>
  <si>
    <t>ATM WDL  @10442918 ACCESS EXP 02 MAITAMA ABUJA FCNG REF:881096/000984927919</t>
  </si>
  <si>
    <t>291AWNI19120008O</t>
  </si>
  <si>
    <t>ATM WDL  @10442918 ACCESS EXP 02 MAITAMA ABUJA FCNG REF:002057/000984337290</t>
  </si>
  <si>
    <t>291AWNV19120008k</t>
  </si>
  <si>
    <t>ATM WDL  @10442918 ACCESS EXP 02 MAITAMA ABUJA FCNG REF:762799/000983670295</t>
  </si>
  <si>
    <t>291AWNV1912000Cj</t>
  </si>
  <si>
    <t>ATM WDL  @10442918 ACCESS EXP 02 MAITAMA ABUJA FCNG REF:815973/000984830188</t>
  </si>
  <si>
    <t>291AWNV19120005u</t>
  </si>
  <si>
    <t>ATM WDL  @10442918 ACCESS EXP 02 MAITAMA ABUJA FCNG REF:864154/000984697574</t>
  </si>
  <si>
    <t>291AWNV19120005z</t>
  </si>
  <si>
    <t>ATM WDL  @10442918 ACCESS EXP 02 MAITAMA ABUJA FCNG REF:865127/000984707167</t>
  </si>
  <si>
    <t>291AWNV19120006g</t>
  </si>
  <si>
    <t>ATM WDL  @10442918 ACCESS EXP 02 MAITAMA ABUJA FCNG REF:875398/000984852331</t>
  </si>
  <si>
    <t>291AWNI191200005</t>
  </si>
  <si>
    <t>ATM WDL  @10442918 ACCESS EXP 02 MAITAMA ABUJA FCNG REF:000919/000983425258</t>
  </si>
  <si>
    <t>291AWNV19120006B</t>
  </si>
  <si>
    <t>ATM WDL  @10442918 ACCESS EXP 02 MAITAMA ABUJA FCNG REF:868607/000984750986</t>
  </si>
  <si>
    <t>291AWNV19120006R</t>
  </si>
  <si>
    <t>ATM WDL  @10442918 ACCESS EXP 02 MAITAMA ABUJA FCNG REF:871537/000984795796</t>
  </si>
  <si>
    <t>291AWNV1912000Bh</t>
  </si>
  <si>
    <t>ATM WDL  @10442918 ACCESS EXP 02 MAITAMA ABUJA FCNG REF:858345/000984628129</t>
  </si>
  <si>
    <t>291AWNV1912000BE</t>
  </si>
  <si>
    <t>ATM WDL  @10442918 ACCESS EXP 02 MAITAMA ABUJA FCNG REF:847684/000984518135</t>
  </si>
  <si>
    <t>291AWNV1912000BL</t>
  </si>
  <si>
    <t>ATM WDL  @10442918 ACCESS EXP 02 MAITAMA ABUJA FCNG REF:804496/000984544469</t>
  </si>
  <si>
    <t>291AWNV1912000CU</t>
  </si>
  <si>
    <t>ATM WDL  @10442918 ACCESS EXP 02 MAITAMA ABUJA FCNG REF:871704/000984797951</t>
  </si>
  <si>
    <t>291AWNV19120005r</t>
  </si>
  <si>
    <t>ATM WDL  @10442918 ACCESS EXP 02 MAITAMA ABUJA FCNG REF:863469/000984690424</t>
  </si>
  <si>
    <t>291AWNV19120006p</t>
  </si>
  <si>
    <t>ATM WDL  @10442918 ACCESS EXP 02 MAITAMA ABUJA FCNG REF:819071/000984918004</t>
  </si>
  <si>
    <t>291AWNV191200077</t>
  </si>
  <si>
    <t>ATM WDL  @10442918 ACCESS EXP 02 MAITAMA ABUJA FCNG REF:821095/000984977188</t>
  </si>
  <si>
    <t>291AWNV19120000g</t>
  </si>
  <si>
    <t>ATM WDL  @10442918 ACCESS EXP 02 MAITAMA ABUJA FCNG REF:752728/000983445830</t>
  </si>
  <si>
    <t>291AWNV19120000V</t>
  </si>
  <si>
    <t>ATM WDL  @10442918 ACCESS EXP 02 MAITAMA ABUJA FCNG REF:761957/000983406009</t>
  </si>
  <si>
    <t>291AWNV19120000W</t>
  </si>
  <si>
    <t>ATM WDL  @10442918 ACCESS EXP 02 MAITAMA ABUJA FCNG REF:762219/000983409104</t>
  </si>
  <si>
    <t>291AWNV1912000Bd</t>
  </si>
  <si>
    <t>ATM WDL  @10442918 ACCESS EXP 02 MAITAMA ABUJA FCNG REF:806729/000984597550</t>
  </si>
  <si>
    <t>291AWNV1912000DF</t>
  </si>
  <si>
    <t>ATM WDL  @10442918 ACCESS EXP 02 MAITAMA ABUJA FCNG REF:883869/000984965747</t>
  </si>
  <si>
    <t>291AWNV19120006A</t>
  </si>
  <si>
    <t>ATM WDL  @10442918 ACCESS EXP 02 MAITAMA ABUJA FCNG REF:868488/000984749305</t>
  </si>
  <si>
    <t>291AWNV19120005e</t>
  </si>
  <si>
    <t>ATM WDL  @10442918 ACCESS EXP 02 MAITAMA ABUJA FCNG REF:860412/000984653943</t>
  </si>
  <si>
    <t>291AWNV19120005x</t>
  </si>
  <si>
    <t>ATM WDL  @10442918 ACCESS EXP 02 MAITAMA ABUJA FCNG REF:864902/000984704640</t>
  </si>
  <si>
    <t>291AWNV1912000CR</t>
  </si>
  <si>
    <t>ATM WDL  @10442918 ACCESS EXP 02 MAITAMA ABUJA FCNG REF:871136/000984789903</t>
  </si>
  <si>
    <t>291AWNI19120008Q</t>
  </si>
  <si>
    <t>ATM WDL  @10442918 ACCESS EXP 02 MAITAMA ABUJA FCNG REF:002061/000984344424</t>
  </si>
  <si>
    <t>291AWNV1912000Ad</t>
  </si>
  <si>
    <t>ATM WDL  @10442918 ACCESS EXP 02 MAITAMA ABUJA FCNG REF:834780/000984360174</t>
  </si>
  <si>
    <t>291AWNV1912000Bf</t>
  </si>
  <si>
    <t>ATM WDL  @10442918 ACCESS EXP 02 MAITAMA ABUJA FCNG REF:857617/000984619202</t>
  </si>
  <si>
    <t>291AWNI19120000C</t>
  </si>
  <si>
    <t>ATM WDL  @10442918 ACCESS EXP 02 MAITAMA ABUJA FCNG REF:002011/000983593177</t>
  </si>
  <si>
    <t>291AWNV19120006q</t>
  </si>
  <si>
    <t>ATM WDL  @10442918 ACCESS EXP 02 MAITAMA ABUJA FCNG REF:880588/000984919696</t>
  </si>
  <si>
    <t>291AWNV1912000Ah</t>
  </si>
  <si>
    <t>ATM WDL  @10442918 ACCESS EXP 02 MAITAMA ABUJA FCNG REF:835699/000984372664</t>
  </si>
  <si>
    <t>291AWNV19120008F</t>
  </si>
  <si>
    <t>ATM WDL  @10442918 ACCESS EXP 02 MAITAMA ABUJA FCNG REF:752930/000983449467</t>
  </si>
  <si>
    <t>291AWNV19120008G</t>
  </si>
  <si>
    <t>ATM WDL  @10442918 ACCESS EXP 02 MAITAMA ABUJA FCNG REF:753012/000983451011</t>
  </si>
  <si>
    <t>291AWNV1912000Ck</t>
  </si>
  <si>
    <t>ATM WDL  @10442918 ACCESS EXP 02 MAITAMA ABUJA FCNG REF:816165/000984835464</t>
  </si>
  <si>
    <t>291AWNI19120000V</t>
  </si>
  <si>
    <t>ATM WDL  @10442918 ACCESS EXP 02 MAITAMA ABUJA FCNG REF:002054/000984331599</t>
  </si>
  <si>
    <t>291AWNV19120006c</t>
  </si>
  <si>
    <t>ATM WDL  @10442918 ACCESS EXP 02 MAITAMA ABUJA FCNG REF:874617/000984841008</t>
  </si>
  <si>
    <t>291AWNV19120000u</t>
  </si>
  <si>
    <t>ATM WDL  @10442918 ACCESS EXP 02 MAITAMA ABUJA FCNG REF:769175/000983501104</t>
  </si>
  <si>
    <t>291AWNV19120008P</t>
  </si>
  <si>
    <t>ATM WDL  @10442918 ACCESS EXP 02 MAITAMA ABUJA FCNG REF:770351/000983516580</t>
  </si>
  <si>
    <t>291AWNV1912000C1</t>
  </si>
  <si>
    <t>ATM WDL  @10442918 ACCESS EXP 02 MAITAMA ABUJA FCNG REF:864679/000984702501</t>
  </si>
  <si>
    <t>291AWNI191200088</t>
  </si>
  <si>
    <t>ATM WDL  @10442918 ACCESS EXP 02 MAITAMA ABUJA FCNG REF:002012/000983594880</t>
  </si>
  <si>
    <t>291AWNV1912000CY</t>
  </si>
  <si>
    <t>ATM WDL  @10442918 ACCESS EXP 02 MAITAMA ABUJA FCNG REF:871994/000984801944</t>
  </si>
  <si>
    <t>291AWNV1912000C4</t>
  </si>
  <si>
    <t>ATM WDL  @10442918 ACCESS EXP 02 MAITAMA ABUJA FCNG REF:865516/000984711711</t>
  </si>
  <si>
    <t>291AWNI19120000Y</t>
  </si>
  <si>
    <t>ATM WDL  @10442918 ACCESS EXP 02 MAITAMA ABUJA FCNG REF:002059/000984340562</t>
  </si>
  <si>
    <t>291AWNV19120004D</t>
  </si>
  <si>
    <t>ATM WDL  @10442918 ACCESS EXP 02 MAITAMA ABUJA FCNG REF:835402/000984368695</t>
  </si>
  <si>
    <t>291AWNV19120005v</t>
  </si>
  <si>
    <t>ATM WDL  @10442918 ACCESS EXP 02 MAITAMA ABUJA FCNG REF:864530/000984700676</t>
  </si>
  <si>
    <t>291AWNV19120008Y</t>
  </si>
  <si>
    <t>ATM WDL  @10442918 ACCESS EXP 02 MAITAMA ABUJA FCNG REF:759895/000983597611</t>
  </si>
  <si>
    <t>291AWNV1912000Cr</t>
  </si>
  <si>
    <t>ATM WDL  @10442918 ACCESS EXP 02 MAITAMA ABUJA FCNG REF:816479/000984844161</t>
  </si>
  <si>
    <t>291AWNI19120000X</t>
  </si>
  <si>
    <t>ATM WDL  @10442918 ACCESS EXP 02 MAITAMA ABUJA FCNG REF:002058/000984339039</t>
  </si>
  <si>
    <t>291AWNV191200060</t>
  </si>
  <si>
    <t>ATM WDL  @10442918 ACCESS EXP 02 MAITAMA ABUJA FCNG REF:865333/000984709424</t>
  </si>
  <si>
    <t>291AWNV19120008K</t>
  </si>
  <si>
    <t>ATM WDL  @10442918 ACCESS EXP 02 MAITAMA ABUJA FCNG REF:754489/000983481580</t>
  </si>
  <si>
    <t>291AWNV1912000CH</t>
  </si>
  <si>
    <t>ATM WDL  @10442918 ACCESS EXP 02 MAITAMA ABUJA FCNG REF:813888/000984769640</t>
  </si>
  <si>
    <t>291AWNV1912000Ci</t>
  </si>
  <si>
    <t>ATM WDL  @10442918 ACCESS EXP 02 MAITAMA ABUJA FCNG REF:873227/000984821497</t>
  </si>
  <si>
    <t>291AWNV19120006Q</t>
  </si>
  <si>
    <t>ATM WDL  @10442918 ACCESS EXP 02 MAITAMA ABUJA FCNG REF:870545/000984780248</t>
  </si>
  <si>
    <t>291AWNV19120004d</t>
  </si>
  <si>
    <t>ATM WDL  @10442918 ACCESS EXP 02 MAITAMA ABUJA FCNG REF:801702/000984479716</t>
  </si>
  <si>
    <t>291AWNV19120004p</t>
  </si>
  <si>
    <t>ATM WDL  @10442918 ACCESS EXP 02 MAITAMA ABUJA FCNG REF:802724/000984503916</t>
  </si>
  <si>
    <t>291AWNI19120000x</t>
  </si>
  <si>
    <t>ATM WDL  @10442918 ACCESS EXP 02 MAITAMA ABUJA FCNG REF:002359/000984908609</t>
  </si>
  <si>
    <t>291AWNV191200004</t>
  </si>
  <si>
    <t>ATM WDL  @10442918 ACCESS EXP 02 MAITAMA ABUJA FCNG REF:760112/000983345401</t>
  </si>
  <si>
    <t>291AWNV1912000C7</t>
  </si>
  <si>
    <t>ATM WDL  @10442918 ACCESS EXP 02 MAITAMA ABUJA FCNG REF:866252/000984719964</t>
  </si>
  <si>
    <t>291AWNI19120008U</t>
  </si>
  <si>
    <t>ATM WDL  @10442918 ACCESS EXP 02 MAITAMA ABUJA FCNG REF:002113/000984461778</t>
  </si>
  <si>
    <t>291AWNV1912000B0</t>
  </si>
  <si>
    <t>ATM WDL  @10442918 ACCESS EXP 02 MAITAMA ABUJA FCNG REF:842944/000984466814</t>
  </si>
  <si>
    <t>291AWNV19120001Y</t>
  </si>
  <si>
    <t>ATM WDL  @10442918 ACCESS EXP 02 MAITAMA ABUJA FCNG REF:765417/000983700050</t>
  </si>
  <si>
    <t>291AWNV19120001a</t>
  </si>
  <si>
    <t>ATM WDL  @10442918 ACCESS EXP 02 MAITAMA ABUJA FCNG REF:766119/000983707867</t>
  </si>
  <si>
    <t>291AWNV19120004M</t>
  </si>
  <si>
    <t>ATM WDL  @10442918 ACCESS EXP 02 MAITAMA ABUJA FCNG REF:797740/000984385000</t>
  </si>
  <si>
    <t>291AWNV19120006W</t>
  </si>
  <si>
    <t>ATM WDL  @10442918 ACCESS EXP 02 MAITAMA ABUJA FCNG REF:873088/000984819605</t>
  </si>
  <si>
    <t>291AWNV19120006X</t>
  </si>
  <si>
    <t>ATM WDL  @10442918 ACCESS EXP 02 MAITAMA ABUJA FCNG REF:873543/000984825815</t>
  </si>
  <si>
    <t>291AWNV1912000CE</t>
  </si>
  <si>
    <t>ATM WDL  @10442918 ACCESS EXP 02 MAITAMA ABUJA FCNG REF:869206/000984759900</t>
  </si>
  <si>
    <t>291AWNV1912000C5</t>
  </si>
  <si>
    <t>ATM WDL  @10442918 ACCESS EXP 02 MAITAMA ABUJA FCNG REF:811729/000984714240</t>
  </si>
  <si>
    <t>291AWNI191200086</t>
  </si>
  <si>
    <t>ATM WDL  @10442918 ACCESS EXP 02 MAITAMA ABUJA FCNG REF:000920/000983426722</t>
  </si>
  <si>
    <t>291AWNV19120006S</t>
  </si>
  <si>
    <t>ATM WDL  @10442918 ACCESS EXP 02 MAITAMA ABUJA FCNG REF:871843/000984799954</t>
  </si>
  <si>
    <t>291AWNV19120000q</t>
  </si>
  <si>
    <t>ATM WDL  @10442918 ACCESS EXP 02 MAITAMA ABUJA FCNG REF:768666/000983494445</t>
  </si>
  <si>
    <t>291AWNV19120004A</t>
  </si>
  <si>
    <t>ATM WDL  @10442918 ACCESS EXP 02 MAITAMA ABUJA FCNG REF:834457/000984356209</t>
  </si>
  <si>
    <t>291AWNV19120008M</t>
  </si>
  <si>
    <t>ATM WDL  @10442918 ACCESS EXP 02 MAITAMA ABUJA FCNG REF:769042/000983499609</t>
  </si>
  <si>
    <t>291AWNV19120005J</t>
  </si>
  <si>
    <t>ATM WDL  @10442918 ACCESS EXP 02 MAITAMA ABUJA FCNG REF:806276/000984587091</t>
  </si>
  <si>
    <t>291AWNV19120000D</t>
  </si>
  <si>
    <t>ATM WDL  @10442918 ACCESS EXP 02 MAITAMA ABUJA FCNG REF:749735/000983385541</t>
  </si>
  <si>
    <t>291AWNI191200010</t>
  </si>
  <si>
    <t>ATM WDL  @10442918 ACCESS EXP 02 MAITAMA ABUJA FCNG REF:002375/000984950881</t>
  </si>
  <si>
    <t>291AWNV191200003</t>
  </si>
  <si>
    <t>ATM WDL  @10442918 ACCESS EXP 02 MAITAMA ABUJA FCNG REF:749514/000983344438</t>
  </si>
  <si>
    <t>291AWNV191200005</t>
  </si>
  <si>
    <t>ATM WDL  @10442918 ACCESS EXP 02 MAITAMA ABUJA FCNG REF:749536/000983347015</t>
  </si>
  <si>
    <t>291AWNV19120005p</t>
  </si>
  <si>
    <t>ATM WDL  @10442918 ACCESS EXP 02 MAITAMA ABUJA FCNG REF:810691/000984688242</t>
  </si>
  <si>
    <t>291AWNV1912000CL</t>
  </si>
  <si>
    <t>ATM WDL  @10442918 ACCESS EXP 02 MAITAMA ABUJA FCNG REF:814106/000984775269</t>
  </si>
  <si>
    <t>291AWNV1912000CN</t>
  </si>
  <si>
    <t>ATM WDL  @10442918 ACCESS EXP 02 MAITAMA ABUJA FCNG REF:870433/000984778102</t>
  </si>
  <si>
    <t>291AWNV1912000BH</t>
  </si>
  <si>
    <t>ATM WDL  @10442918 ACCESS EXP 02 MAITAMA ABUJA FCNG REF:847922/000984520584</t>
  </si>
  <si>
    <t>291AWNV1912000Cp</t>
  </si>
  <si>
    <t>ATM WDL  @10442918 ACCESS EXP 02 MAITAMA ABUJA FCNG REF:874706/000984842404</t>
  </si>
  <si>
    <t>291AWNV19120004Y</t>
  </si>
  <si>
    <t>ATM WDL  @10442918 ACCESS EXP 02 MAITAMA ABUJA FCNG REF:841001/000984441982</t>
  </si>
  <si>
    <t>291AWNV19120000h</t>
  </si>
  <si>
    <t>ATM WDL  @10442918 ACCESS EXP 02 MAITAMA ABUJA FCNG REF:765080/000983447552</t>
  </si>
  <si>
    <t>291AWNI19120000d</t>
  </si>
  <si>
    <t>ATM WDL  @10442918 ACCESS EXP 02 MAITAMA ABUJA FCNG REF:002100/000984422990</t>
  </si>
  <si>
    <t>291AWNV19120006Y</t>
  </si>
  <si>
    <t>ATM WDL  @10442918 ACCESS EXP 02 MAITAMA ABUJA FCNG REF:815924/000984828756</t>
  </si>
  <si>
    <t>291AWNV19120006Z</t>
  </si>
  <si>
    <t>ATM WDL  @10442918 ACCESS EXP 02 MAITAMA ABUJA FCNG REF:816023/000984831653</t>
  </si>
  <si>
    <t>291AWNV191200067</t>
  </si>
  <si>
    <t>ATM WDL  @10442918 ACCESS EXP 02 MAITAMA ABUJA FCNG REF:867600/000984737341</t>
  </si>
  <si>
    <t>291AWNV1912000Cx</t>
  </si>
  <si>
    <t>ATM WDL  @10442918 ACCESS EXP 02 MAITAMA ABUJA FCNG REF:875777/000984857634</t>
  </si>
  <si>
    <t>291AWNV1911900M6</t>
  </si>
  <si>
    <t>ATM WDL  @10442918 ACCESS EXP 02 MAITAMA ABUJA FCNG REF:748451/000983279242</t>
  </si>
  <si>
    <t>291AWNV1912000C8</t>
  </si>
  <si>
    <t>ATM WDL  @10442918 ACCESS EXP 02 MAITAMA ABUJA FCNG REF:812359/000984729800</t>
  </si>
  <si>
    <t>291AWNV19120008E</t>
  </si>
  <si>
    <t>ATM WDL  @10442918 ACCESS EXP 02 MAITAMA ABUJA FCNG REF:752666/000983444570</t>
  </si>
  <si>
    <t>291AWNV19120005I</t>
  </si>
  <si>
    <t>ATM WDL  @10442918 ACCESS EXP 02 MAITAMA ABUJA FCNG REF:854743/000984584503</t>
  </si>
  <si>
    <t>291AWNV19120006a</t>
  </si>
  <si>
    <t>ATM WDL  @10442918 ACCESS EXP 02 MAITAMA ABUJA FCNG REF:816220/000984837012</t>
  </si>
  <si>
    <t>291AWNV19120000p</t>
  </si>
  <si>
    <t>ATM WDL  @10442918 ACCESS EXP 02 MAITAMA ABUJA FCNG REF:754932/000983491004</t>
  </si>
  <si>
    <t>291AWNV19120004G</t>
  </si>
  <si>
    <t>ATM WDL  @10442918 ACCESS EXP 02 MAITAMA ABUJA FCNG REF:835573/000984370959</t>
  </si>
  <si>
    <t>291AWNV19120000f</t>
  </si>
  <si>
    <t>ATM WDL  @10442918 ACCESS EXP 02 MAITAMA ABUJA FCNG REF:752609/000983443276</t>
  </si>
  <si>
    <t>291AWNV191200085</t>
  </si>
  <si>
    <t>ATM WDL  @10442918 ACCESS EXP 02 MAITAMA ABUJA FCNG REF:749532/000983346714</t>
  </si>
  <si>
    <t>291AWNV1912000Ca</t>
  </si>
  <si>
    <t>ATM WDL  @10442918 ACCESS EXP 02 MAITAMA ABUJA FCNG REF:872108/000984803959</t>
  </si>
  <si>
    <t>291AWNV1912000Cb</t>
  </si>
  <si>
    <t>ATM WDL  @10442918 ACCESS EXP 02 MAITAMA ABUJA FCNG REF:872289/000984806639</t>
  </si>
  <si>
    <t>291ACWO19120003x</t>
  </si>
  <si>
    <t>ATM WDL  @10442918 ACCESS EXP 02 MAITAMA ABUJA FCNG REF:002342/000984881915</t>
  </si>
  <si>
    <t>291ACWO19120000Q</t>
  </si>
  <si>
    <t>ATM WDL  @10442918 ACCESS EXP 02 MAITAMA ABUJA FCNG REF:000963/000983505290</t>
  </si>
  <si>
    <t>291ACWO19120009L</t>
  </si>
  <si>
    <t>ATM WDL  @10442918 ACCESS EXP 02 MAITAMA ABUJA FCNG REF:002032/000983685953</t>
  </si>
  <si>
    <t>291ACWO19120008E</t>
  </si>
  <si>
    <t>ATM WDL  @10442918 ACCESS EXP 02 MAITAMA ABUJA FCNG REF:000905/000983402336</t>
  </si>
  <si>
    <t>291ACWO1912000Bv</t>
  </si>
  <si>
    <t>ATM WDL  @10442918 ACCESS EXP 02 MAITAMA ABUJA FCNG REF:002252/000984744666</t>
  </si>
  <si>
    <t>291ACWO19120000W</t>
  </si>
  <si>
    <t>ATM WDL  @10442918 ACCESS EXP 02 MAITAMA ABUJA FCNG REF:000980/000983528829</t>
  </si>
  <si>
    <t>291ACWO1912000CN</t>
  </si>
  <si>
    <t>ATM WDL  @10442918 ACCESS EXP 02 MAITAMA ABUJA FCNG REF:002345/000984885311</t>
  </si>
  <si>
    <t>291ACWO19120008g</t>
  </si>
  <si>
    <t>ATM WDL  @10442918 ACCESS EXP 02 MAITAMA ABUJA FCNG REF:000967/000983509792</t>
  </si>
  <si>
    <t>291ACWO19120000H</t>
  </si>
  <si>
    <t>ATM WDL  @10442918 ACCESS EXP 02 MAITAMA ABUJA FCNG REF:000926/000983441673</t>
  </si>
  <si>
    <t>291ACWO19120003g</t>
  </si>
  <si>
    <t>ATM WDL  @10442918 ACCESS EXP 02 MAITAMA ABUJA NG REF:820851/043021594872</t>
  </si>
  <si>
    <t>291ACWO1912000By</t>
  </si>
  <si>
    <t>ATM WDL  @10442918 ACCESS EXP 02 MAITAMA ABUJA FCNG REF:002268/000984764717</t>
  </si>
  <si>
    <t>291ACWO19120003S</t>
  </si>
  <si>
    <t>ATM WDL  @10442918 ACCESS EXP 02 MAITAMA ABUJA FCNG REF:002203/000984651403</t>
  </si>
  <si>
    <t>291ACWO19120000r</t>
  </si>
  <si>
    <t>ATM WDL  @10442918 ACCESS EXP 02 MAITAMA ABUJA FCNG REF:002022/000983610984</t>
  </si>
  <si>
    <t>291ACWO19120001A</t>
  </si>
  <si>
    <t>ATM WDL  @10442918 ACCESS EXP 02 MAITAMA ABUJA FCNG REF:002048/000983711574</t>
  </si>
  <si>
    <t>291ACWO19120003Q</t>
  </si>
  <si>
    <t>ATM WDL  @10442918 ACCESS EXP 02 MAITAMA ABUJA FCNG REF:002198/000984640397</t>
  </si>
  <si>
    <t>291ACWO19120003V</t>
  </si>
  <si>
    <t>ATM WDL  @10442918 ACCESS EXP 02 MAITAMA ABUJA FCNG REF:002217/000984685521</t>
  </si>
  <si>
    <t>291ACWO19120002u</t>
  </si>
  <si>
    <t>ATM WDL  @10442918 ACCESS EXP 02 MAITAMA ABUJA NG REF:748700/043021580934</t>
  </si>
  <si>
    <t>291ACWO1912000C1</t>
  </si>
  <si>
    <t>ATM WDL  @10442918 ACCESS EXP 02 MAITAMA ABUJA NG REF:816574/043021589905</t>
  </si>
  <si>
    <t>291ACWO19120003h</t>
  </si>
  <si>
    <t>ATM WDL  @10442918 ACCESS EXP 02 MAITAMA ABUJA NG REF:830771/043021505237</t>
  </si>
  <si>
    <t>291ACWO19120009I</t>
  </si>
  <si>
    <t>ATM WDL  @10442918 ACCESS EXP 02 MAITAMA ABUJA FCNG REF:002029/000983680082</t>
  </si>
  <si>
    <t>291ACWO19120008i</t>
  </si>
  <si>
    <t>ATM WDL  @10442918 ACCESS EXP 02 MAITAMA ABUJA FCNG REF:000974/000983520479</t>
  </si>
  <si>
    <t>ATM WDL RVSL- @10442918 ACCESS EXP 02 MAITAMA ABUJA FCNG REF:002022/000983610984</t>
  </si>
  <si>
    <t>291ACWO19120008j</t>
  </si>
  <si>
    <t>ATM WDL  @10442918 ACCESS EXP 02 MAITAMA ABUJA FCNG REF:000975/000983522029</t>
  </si>
  <si>
    <t>291ACWO1912000BB</t>
  </si>
  <si>
    <t>ATM WDL  @10442918 ACCESS EXP 02 MAITAMA ABUJA FCNG REF:002123/000984485927</t>
  </si>
  <si>
    <t>291ACWO1912000C2</t>
  </si>
  <si>
    <t>ATM WDL  @10442918 ACCESS EXP 02 MAITAMA ABUJA NG REF:825557/043021599936</t>
  </si>
  <si>
    <t>291ACWO1912000CE</t>
  </si>
  <si>
    <t>ATM WDL  @10442918 ACCESS EXP 02 MAITAMA ABUJA NG REF:926635/043021506133</t>
  </si>
  <si>
    <t>291ACWO19120003P</t>
  </si>
  <si>
    <t>ATM WDL  @10442918 ACCESS EXP 02 MAITAMA ABUJA FCNG REF:002193/000984624120</t>
  </si>
  <si>
    <t>291ACWO19120003e</t>
  </si>
  <si>
    <t>ATM WDL  @10442918 ACCESS EXP 02 MAITAMA ABUJA FCNG REF:002266/000984762239</t>
  </si>
  <si>
    <t>291ACWO1912000Az</t>
  </si>
  <si>
    <t>ATM WDL  @10442918 ACCESS EXP 02 MAITAMA ABUJA FCNG REF:002081/000984388554</t>
  </si>
  <si>
    <t>291ACWO1912000B0</t>
  </si>
  <si>
    <t>ATM WDL  @10442918 ACCESS EXP 02 MAITAMA ABUJA FCNG REF:002090/000984401044</t>
  </si>
  <si>
    <t>291ACWO1912000BE</t>
  </si>
  <si>
    <t>ATM WDL  @10442918 ACCESS EXP 02 MAITAMA ABUJA FCNG REF:002130/000984497151</t>
  </si>
  <si>
    <t>291ACWO1912000C0</t>
  </si>
  <si>
    <t>ATM WDL  @10442918 ACCESS EXP 02 MAITAMA ABUJA FCNG REF:002281/000984786670</t>
  </si>
  <si>
    <t>291ACWO19120000j</t>
  </si>
  <si>
    <t>ATM WDL  @10442918 ACCESS EXP 02 MAITAMA ABUJA FCNG REF:002003/000983578779</t>
  </si>
  <si>
    <t>291ACWO1912000Ar</t>
  </si>
  <si>
    <t>ATM WDL  @10442918 ACCESS EXP 02 MAITAMA ABUJA FCNG REF:002050/000984325844</t>
  </si>
  <si>
    <t>291ACWO19120008e</t>
  </si>
  <si>
    <t>ATM WDL  @10442918 ACCESS EXP 02 MAITAMA ABUJA FCNG REF:000961/000983502981</t>
  </si>
  <si>
    <t>291ACWO19120003p</t>
  </si>
  <si>
    <t>ATM WDL  @10442918 ACCESS EXP 02 MAITAMA ABUJA NG REF:904939/043021587304</t>
  </si>
  <si>
    <t>291ACWO19120003t</t>
  </si>
  <si>
    <t>ATM WDL  @10442918 ACCESS EXP 02 MAITAMA ABUJA FCNG REF:002339/000984876274</t>
  </si>
  <si>
    <t>291ACWO191200040</t>
  </si>
  <si>
    <t>ATM WDL  @10442918 ACCESS EXP 02 MAITAMA ABUJA FCNG REF:002353/000984891660</t>
  </si>
  <si>
    <t>291ACWO19120003y</t>
  </si>
  <si>
    <t>ATM WDL  @10442918 ACCESS EXP 02 MAITAMA ABUJA FCNG REF:002346/000984886354</t>
  </si>
  <si>
    <t>291ACWO1912000Bg</t>
  </si>
  <si>
    <t>ATM WDL  @10442918 ACCESS EXP 02 MAITAMA ABUJA FCNG REF:002197/000984638693</t>
  </si>
  <si>
    <t>291ACWO19120008f</t>
  </si>
  <si>
    <t>ATM WDL  @10442918 ACCESS EXP 02 MAITAMA ABUJA FCNG REF:000966/000983508120</t>
  </si>
  <si>
    <t>291ACWO19120008h</t>
  </si>
  <si>
    <t>ATM WDL  @10442918 ACCESS EXP 02 MAITAMA ABUJA FCNG REF:000968/000983511652</t>
  </si>
  <si>
    <t>291ACWO19120008r</t>
  </si>
  <si>
    <t>ATM WDL  @10442918 ACCESS EXP 02 MAITAMA ABUJA FCNG REF:002008/000983585349</t>
  </si>
  <si>
    <t>291ACWO1912000CM</t>
  </si>
  <si>
    <t>ATM WDL  @10442918 ACCESS EXP 02 MAITAMA ABUJA FCNG REF:002344/000984884262</t>
  </si>
  <si>
    <t>291ACWO1912000Bc</t>
  </si>
  <si>
    <t>ATM WDL  @10442918 ACCESS EXP 02 MAITAMA ABUJA FCNG REF:002192/000984621966</t>
  </si>
  <si>
    <t>291ACWO19120000M</t>
  </si>
  <si>
    <t>ATM WDL  @10442918 ACCESS EXP 02 MAITAMA ABUJA FCNG REF:000944/000983484451</t>
  </si>
  <si>
    <t>291ACWO19120003W</t>
  </si>
  <si>
    <t>ATM WDL  @10442918 ACCESS EXP 02 MAITAMA ABUJA FCNG REF:002223/000984692889</t>
  </si>
  <si>
    <t>291ACWO1912000BG</t>
  </si>
  <si>
    <t>ATM WDL  @10442918 ACCESS EXP 02 MAITAMA ABUJA FCNG REF:002139/000984511337</t>
  </si>
  <si>
    <t>291ACWO1912000C3</t>
  </si>
  <si>
    <t>ATM WDL  @10442918 ACCESS EXP 02 MAITAMA ABUJA FCNG REF:002305/000984823912</t>
  </si>
  <si>
    <t>291ACWO19120003Z</t>
  </si>
  <si>
    <t>ATM WDL  @10442918 ACCESS EXP 02 MAITAMA ABUJA FCNG REF:002238/000984717883</t>
  </si>
  <si>
    <t>291ACWO19120000T</t>
  </si>
  <si>
    <t>ATM WDL  @10442918 ACCESS EXP 02 MAITAMA ABUJA FCNG REF:000977/000983524502</t>
  </si>
  <si>
    <t>291ACWO19120000U</t>
  </si>
  <si>
    <t>ATM WDL  @10442918 ACCESS EXP 02 MAITAMA ABUJA FCNG REF:000978/000983526735</t>
  </si>
  <si>
    <t>291ACWO19120003O</t>
  </si>
  <si>
    <t>ATM WDL  @10442918 ACCESS EXP 02 MAITAMA ABUJA FCNG REF:002183/000984609996</t>
  </si>
  <si>
    <t>291ACWO19120008Z</t>
  </si>
  <si>
    <t>ATM WDL  @10442918 ACCESS EXP 02 MAITAMA ABUJA FCNG REF:000940/000983459178</t>
  </si>
  <si>
    <t>291ACWO1912000BK</t>
  </si>
  <si>
    <t>ATM WDL  @10442918 ACCESS EXP 02 MAITAMA ABUJA FCNG REF:002152/000984541106</t>
  </si>
  <si>
    <t>291ACWO1912000BQ</t>
  </si>
  <si>
    <t>ATM WDL  @10442918 ACCESS EXP 02 MAITAMA ABUJA FCNG REF:002164/000984576640</t>
  </si>
  <si>
    <t>291ACWO191200089</t>
  </si>
  <si>
    <t>ATM WDL  @10442918 ACCESS EXP 02 MAITAMA ABUJA FCNG REF:000898/000983387124</t>
  </si>
  <si>
    <t>291ACWO19120003T</t>
  </si>
  <si>
    <t>ATM WDL  @10442918 ACCESS EXP 02 MAITAMA ABUJA FCNG REF:002213/000984670374</t>
  </si>
  <si>
    <t>291ACWO19120009K</t>
  </si>
  <si>
    <t>ATM WDL  @10442918 ACCESS EXP 02 MAITAMA ABUJA FCNG REF:002031/000983683538</t>
  </si>
  <si>
    <t>291ACWO19120008D</t>
  </si>
  <si>
    <t>ATM WDL  @10442918 ACCESS EXP 02 MAITAMA ABUJA FCNG REF:000901/000983390165</t>
  </si>
  <si>
    <t>291ACWO19120008B</t>
  </si>
  <si>
    <t>ATM WDL  @10442918 ACCESS EXP 02 MAITAMA ABUJA FCNG REF:000899/000983388499</t>
  </si>
  <si>
    <t>291ACWO19120003D</t>
  </si>
  <si>
    <t>ATM WDL  @10442918 ACCESS EXP 02 MAITAMA ABUJA FCNG REF:002131/000984499947</t>
  </si>
  <si>
    <t>291ACWO19120003F</t>
  </si>
  <si>
    <t>ATM WDL  @10442918 ACCESS EXP 02 MAITAMA ABUJA FCNG REF:002138/000984509146</t>
  </si>
  <si>
    <t>291ACWO19120000S</t>
  </si>
  <si>
    <t>ATM WDL  @10442918 ACCESS EXP 02 MAITAMA ABUJA FCNG REF:000973/000983518956</t>
  </si>
  <si>
    <t>291ACWO19120000I</t>
  </si>
  <si>
    <t>ATM WDL  @10442918 ACCESS EXP 02 MAITAMA ABUJA FCNG REF:000938/000983454637</t>
  </si>
  <si>
    <t>291ACWO19120000N</t>
  </si>
  <si>
    <t>ATM WDL  @10442918 ACCESS EXP 02 MAITAMA ABUJA FCNG REF:000948/000983488926</t>
  </si>
  <si>
    <t>291ACWO19120003R</t>
  </si>
  <si>
    <t>ATM WDL  @10442918 ACCESS EXP 02 MAITAMA ABUJA FCNG REF:002201/000984647595</t>
  </si>
  <si>
    <t>291ACWO19120003i</t>
  </si>
  <si>
    <t>ATM WDL  @10442918 ACCESS EXP 02 MAITAMA ABUJA FCNG REF:002300/000984817513</t>
  </si>
  <si>
    <t>291ACWO19120003d</t>
  </si>
  <si>
    <t>ATM WDL  @10442918 ACCESS EXP 02 MAITAMA ABUJA NG REF:694128/043021582013</t>
  </si>
  <si>
    <t>291ACWO1912000CI</t>
  </si>
  <si>
    <t>ATM WDL  @10442918 ACCESS EXP 02 MAITAMA ABUJA FCNG REF:002338/000984874968</t>
  </si>
  <si>
    <t>291ACWO1912000B7</t>
  </si>
  <si>
    <t>ATM WDL  @10442918 ACCESS EXP 02 MAITAMA ABUJA FCNG REF:002108/000984448087</t>
  </si>
  <si>
    <t>291ACWO19120008t</t>
  </si>
  <si>
    <t>ATM WDL  @10442918 ACCESS EXP 02 MAITAMA ABUJA FCNG REF:002021/000983609095</t>
  </si>
  <si>
    <t>291ACWO1912000BS</t>
  </si>
  <si>
    <t>ATM WDL  @10442918 ACCESS EXP 02 MAITAMA ABUJA FCNG REF:002166/000984579708</t>
  </si>
  <si>
    <t>291ACWO19120003a</t>
  </si>
  <si>
    <t>ATM WDL  @10442918 ACCESS EXP 02 MAITAMA ABUJA FCNG REF:002249/000984739915</t>
  </si>
  <si>
    <t>291ACWO1912000Bi</t>
  </si>
  <si>
    <t>ATM WDL  @10442918 ACCESS EXP 02 MAITAMA ABUJA FCNG REF:002199/000984642558</t>
  </si>
  <si>
    <t>291ACWO19120008c</t>
  </si>
  <si>
    <t>ATM WDL  @10442918 ACCESS EXP 02 MAITAMA ABUJA FCNG REF:000946/000983486743</t>
  </si>
  <si>
    <t>291ACWO1912000BU</t>
  </si>
  <si>
    <t>ATM WDL  @10442918 ACCESS EXP 02 MAITAMA ABUJA FCNG REF:002173/000984589501</t>
  </si>
  <si>
    <t>OSARUCS152</t>
  </si>
  <si>
    <t>291MCGT191200503</t>
  </si>
  <si>
    <t>ATM 10 CASH LOAD 30/04/19</t>
  </si>
  <si>
    <t>291MCGT191200502</t>
  </si>
  <si>
    <t>ATM 10CASH UNLOAD 30/04/19</t>
  </si>
  <si>
    <t>DANIEL12269</t>
  </si>
  <si>
    <t>099017e191202058</t>
  </si>
  <si>
    <t>MCNOUDISP-(18/04/19)-10442918  -539983******9948--000967638219-460851653</t>
  </si>
  <si>
    <t>May</t>
  </si>
  <si>
    <t>AM</t>
  </si>
  <si>
    <t>PM</t>
  </si>
  <si>
    <t>Select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</si>
  <si>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</si>
  <si>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</si>
  <si>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</si>
  <si>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</si>
  <si>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</si>
  <si>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</si>
  <si>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</si>
  <si>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</si>
  <si>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</si>
  <si>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</si>
  <si>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</si>
  <si>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Ridwan Bello Salahuddeen {N}</t>
  </si>
  <si>
    <t>Day/Month/Year</t>
  </si>
  <si>
    <t>Hour:Min:00 am/pm</t>
  </si>
  <si>
    <t>0</t>
  </si>
  <si>
    <t>2/Month/Year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</si>
</sst>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_);\(&quot;$&quot;#,##0\)"/>
    <numFmt numFmtId="43" formatCode="_(* #,##0.00_);_(* \(#,##0.00\);_(* &quot;-&quot;??_);_(@_)"/>
    <numFmt numFmtId="164" formatCode="_-* #,##0.00_-;\-* #,##0.00_-;_-* &quot;-&quot;??_-;_-@_-"/>
    <numFmt numFmtId="165" formatCode="[$-10409]#,##0.00;\(#,##0.00\)"/>
    <numFmt numFmtId="166" formatCode="[$-10409]m/d/yyyy\ h:mm:ss\ AM/PM"/>
    <numFmt numFmtId="167" formatCode="d\ mmm\ yy"/>
    <numFmt numFmtId="168" formatCode="#,###.00"/>
    <numFmt numFmtId="169" formatCode="dd\-mmm\-yy\ "/>
    <numFmt numFmtId="170" formatCode="#,##0.00\ ;&quot; (&quot;#,##0.00\);&quot; -&quot;#\ ;@\ "/>
    <numFmt numFmtId="171" formatCode="#,##0.00;[Red]#,##0.00"/>
    <numFmt numFmtId="172" formatCode="[$-10409]dd\-mmm\-yy"/>
    <numFmt numFmtId="173" formatCode="[$-10409]#,##0;\(#,##0\)"/>
    <numFmt numFmtId="174" formatCode="h:mm;@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b/>
      <sz val="12"/>
      <color indexed="8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sz val="10"/>
      <color rgb="FFFF0000"/>
      <name val="Arial"/>
      <family val="2"/>
    </font>
    <font>
      <sz val="11"/>
      <name val="Calibri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1"/>
      <color indexed="12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u/>
      <sz val="11"/>
      <color theme="10"/>
      <name val="Calibri"/>
      <family val="2"/>
    </font>
    <font>
      <b/>
      <u/>
      <sz val="11"/>
      <name val="Calibri"/>
      <family val="2"/>
    </font>
    <font>
      <b/>
      <sz val="11"/>
      <color indexed="16"/>
      <name val="Arial"/>
      <family val="2"/>
    </font>
    <font>
      <b/>
      <u/>
      <sz val="12"/>
      <name val="Arial"/>
      <family val="2"/>
    </font>
    <font>
      <b/>
      <sz val="11"/>
      <color rgb="FFC00000"/>
      <name val="Calibri"/>
      <family val="2"/>
      <scheme val="minor"/>
    </font>
    <font>
      <sz val="12"/>
      <color rgb="FFFF0000"/>
      <name val="Arial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9"/>
      <color rgb="FF000000"/>
      <name val="Tahoma"/>
      <family val="2"/>
    </font>
    <font>
      <sz val="11"/>
      <color rgb="FF000000"/>
      <name val="Calibri"/>
      <family val="2"/>
      <scheme val="minor"/>
    </font>
    <font>
      <sz val="9"/>
      <color rgb="FF000000"/>
      <name val="Arial"/>
      <family val="2"/>
    </font>
    <font>
      <b/>
      <sz val="11"/>
      <color rgb="FFC00000"/>
      <name val="Calibri"/>
      <family val="2"/>
    </font>
    <font>
      <sz val="14"/>
      <color rgb="FF000000"/>
      <name val="Calibri"/>
      <family val="2"/>
    </font>
    <font>
      <sz val="11"/>
      <color rgb="FFC00000"/>
      <name val="Calibri"/>
      <family val="2"/>
    </font>
    <font>
      <sz val="11"/>
      <color rgb="FFFF0000"/>
      <name val="Calibri"/>
      <family val="2"/>
    </font>
    <font>
      <sz val="8"/>
      <color rgb="FF000000"/>
      <name val="Arial"/>
      <family val="2"/>
    </font>
    <font>
      <sz val="8"/>
      <color rgb="FFFFFFFF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indexed="9"/>
        <bgColor indexed="26"/>
      </patternFill>
    </fill>
    <fill>
      <patternFill patternType="solid">
        <fgColor rgb="FFB1A0C7"/>
        <bgColor rgb="FF000000"/>
      </patternFill>
    </fill>
    <fill>
      <patternFill patternType="solid">
        <fgColor rgb="FF0000FF"/>
        <bgColor rgb="FF0000FF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696969"/>
      </left>
      <right style="thin">
        <color rgb="FF696969"/>
      </right>
      <top style="thin">
        <color rgb="FF696969"/>
      </top>
      <bottom style="thin">
        <color rgb="FF696969"/>
      </bottom>
      <diagonal/>
    </border>
    <border>
      <left/>
      <right style="thin">
        <color rgb="FF696969"/>
      </right>
      <top style="thin">
        <color rgb="FF696969"/>
      </top>
      <bottom style="thin">
        <color rgb="FF696969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5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8" fillId="0" borderId="0"/>
  </cellStyleXfs>
  <cellXfs count="237">
    <xf numFmtId="0" fontId="0" fillId="0" borderId="0" xfId="0"/>
    <xf numFmtId="0" fontId="4" fillId="0" borderId="1" xfId="2" applyFont="1" applyBorder="1"/>
    <xf numFmtId="0" fontId="5" fillId="0" borderId="2" xfId="2" applyFont="1" applyBorder="1"/>
    <xf numFmtId="0" fontId="4" fillId="0" borderId="3" xfId="2" applyFont="1" applyBorder="1"/>
    <xf numFmtId="0" fontId="4" fillId="2" borderId="4" xfId="4" applyNumberFormat="1" applyFont="1" applyFill="1" applyBorder="1" applyAlignment="1">
      <alignment horizontal="center"/>
    </xf>
    <xf numFmtId="0" fontId="4" fillId="2" borderId="5" xfId="4" applyNumberFormat="1" applyFont="1" applyFill="1" applyBorder="1" applyAlignment="1">
      <alignment horizontal="center"/>
    </xf>
    <xf numFmtId="0" fontId="4" fillId="0" borderId="7" xfId="2" applyFont="1" applyBorder="1"/>
    <xf numFmtId="15" fontId="0" fillId="0" borderId="0" xfId="0" applyNumberFormat="1"/>
    <xf numFmtId="14" fontId="5" fillId="0" borderId="0" xfId="2" applyNumberFormat="1" applyFont="1"/>
    <xf numFmtId="0" fontId="5" fillId="0" borderId="0" xfId="2" applyFont="1"/>
    <xf numFmtId="43" fontId="5" fillId="0" borderId="0" xfId="3" applyFont="1"/>
    <xf numFmtId="0" fontId="4" fillId="0" borderId="0" xfId="2" applyFont="1"/>
    <xf numFmtId="0" fontId="4" fillId="0" borderId="0" xfId="2" applyFont="1" applyBorder="1"/>
    <xf numFmtId="43" fontId="4" fillId="0" borderId="0" xfId="3" applyFont="1" applyBorder="1"/>
    <xf numFmtId="0" fontId="5" fillId="0" borderId="0" xfId="2" applyFont="1" applyBorder="1"/>
    <xf numFmtId="43" fontId="5" fillId="0" borderId="0" xfId="3" applyFont="1" applyBorder="1"/>
    <xf numFmtId="0" fontId="6" fillId="0" borderId="9" xfId="2" applyFont="1" applyBorder="1" applyAlignment="1">
      <alignment horizontal="center" wrapText="1"/>
    </xf>
    <xf numFmtId="43" fontId="6" fillId="0" borderId="9" xfId="3" applyFont="1" applyBorder="1" applyAlignment="1">
      <alignment horizontal="center" wrapText="1"/>
    </xf>
    <xf numFmtId="43" fontId="5" fillId="0" borderId="0" xfId="3" applyFont="1" applyAlignment="1">
      <alignment wrapText="1"/>
    </xf>
    <xf numFmtId="0" fontId="5" fillId="0" borderId="9" xfId="2" applyFont="1" applyBorder="1" applyAlignment="1">
      <alignment horizontal="left" wrapText="1"/>
    </xf>
    <xf numFmtId="0" fontId="7" fillId="0" borderId="9" xfId="2" applyFont="1" applyBorder="1" applyAlignment="1">
      <alignment horizontal="center" wrapText="1"/>
    </xf>
    <xf numFmtId="43" fontId="7" fillId="3" borderId="9" xfId="3" applyFont="1" applyFill="1" applyBorder="1" applyAlignment="1">
      <alignment horizontal="center" wrapText="1"/>
    </xf>
    <xf numFmtId="0" fontId="5" fillId="0" borderId="9" xfId="2" applyFont="1" applyBorder="1" applyAlignment="1">
      <alignment horizontal="left"/>
    </xf>
    <xf numFmtId="0" fontId="5" fillId="0" borderId="9" xfId="2" applyFont="1" applyBorder="1" applyAlignment="1">
      <alignment horizontal="center"/>
    </xf>
    <xf numFmtId="43" fontId="5" fillId="0" borderId="9" xfId="5" applyNumberFormat="1" applyFont="1" applyBorder="1" applyAlignment="1">
      <alignment horizontal="center"/>
    </xf>
    <xf numFmtId="43" fontId="7" fillId="0" borderId="9" xfId="3" applyFont="1" applyFill="1" applyBorder="1" applyAlignment="1">
      <alignment horizontal="center" wrapText="1"/>
    </xf>
    <xf numFmtId="4" fontId="5" fillId="0" borderId="0" xfId="2" applyNumberFormat="1" applyFont="1"/>
    <xf numFmtId="43" fontId="6" fillId="3" borderId="9" xfId="3" applyFont="1" applyFill="1" applyBorder="1" applyAlignment="1">
      <alignment horizontal="left" wrapText="1"/>
    </xf>
    <xf numFmtId="0" fontId="5" fillId="0" borderId="9" xfId="2" applyFont="1" applyBorder="1"/>
    <xf numFmtId="165" fontId="8" fillId="0" borderId="10" xfId="0" applyNumberFormat="1" applyFont="1" applyBorder="1" applyAlignment="1" applyProtection="1">
      <alignment vertical="top" wrapText="1" readingOrder="1"/>
      <protection locked="0"/>
    </xf>
    <xf numFmtId="43" fontId="4" fillId="3" borderId="9" xfId="3" applyFont="1" applyFill="1" applyBorder="1"/>
    <xf numFmtId="43" fontId="5" fillId="0" borderId="0" xfId="2" applyNumberFormat="1" applyFont="1"/>
    <xf numFmtId="12" fontId="4" fillId="0" borderId="0" xfId="3" applyNumberFormat="1" applyFont="1"/>
    <xf numFmtId="43" fontId="4" fillId="0" borderId="0" xfId="3" applyFont="1"/>
    <xf numFmtId="43" fontId="4" fillId="0" borderId="0" xfId="1" applyFont="1"/>
    <xf numFmtId="43" fontId="5" fillId="0" borderId="0" xfId="1" applyFont="1"/>
    <xf numFmtId="0" fontId="4" fillId="0" borderId="0" xfId="2" applyFont="1" applyBorder="1" applyAlignment="1"/>
    <xf numFmtId="0" fontId="4" fillId="0" borderId="0" xfId="2" applyNumberFormat="1" applyFont="1" applyBorder="1" applyAlignment="1"/>
    <xf numFmtId="0" fontId="4" fillId="0" borderId="0" xfId="2" applyNumberFormat="1" applyFont="1"/>
    <xf numFmtId="0" fontId="5" fillId="0" borderId="0" xfId="3" applyNumberFormat="1" applyFont="1"/>
    <xf numFmtId="43" fontId="4" fillId="0" borderId="0" xfId="3" applyFont="1" applyBorder="1" applyAlignment="1"/>
    <xf numFmtId="43" fontId="5" fillId="0" borderId="0" xfId="3" applyFont="1" applyBorder="1" applyAlignment="1"/>
    <xf numFmtId="43" fontId="5" fillId="0" borderId="0" xfId="6" applyFont="1"/>
    <xf numFmtId="43" fontId="1" fillId="0" borderId="12" xfId="8" applyFont="1" applyBorder="1"/>
    <xf numFmtId="0" fontId="2" fillId="0" borderId="13" xfId="7" applyBorder="1"/>
    <xf numFmtId="0" fontId="2" fillId="0" borderId="0" xfId="7"/>
    <xf numFmtId="0" fontId="2" fillId="0" borderId="14" xfId="7" applyBorder="1"/>
    <xf numFmtId="0" fontId="2" fillId="0" borderId="9" xfId="7" applyBorder="1" applyAlignment="1">
      <alignment horizontal="center"/>
    </xf>
    <xf numFmtId="0" fontId="2" fillId="0" borderId="9" xfId="7" applyBorder="1"/>
    <xf numFmtId="43" fontId="1" fillId="0" borderId="9" xfId="8" applyFont="1" applyBorder="1"/>
    <xf numFmtId="0" fontId="2" fillId="0" borderId="15" xfId="7" applyBorder="1"/>
    <xf numFmtId="0" fontId="9" fillId="0" borderId="14" xfId="7" applyFont="1" applyBorder="1" applyAlignment="1">
      <alignment horizontal="center" vertical="center"/>
    </xf>
    <xf numFmtId="0" fontId="9" fillId="0" borderId="9" xfId="7" applyFont="1" applyBorder="1" applyAlignment="1">
      <alignment horizontal="center" vertical="center"/>
    </xf>
    <xf numFmtId="0" fontId="9" fillId="0" borderId="9" xfId="7" applyFont="1" applyBorder="1" applyAlignment="1">
      <alignment vertical="center"/>
    </xf>
    <xf numFmtId="0" fontId="9" fillId="0" borderId="9" xfId="7" applyFont="1" applyBorder="1" applyAlignment="1">
      <alignment horizontal="center" vertical="center" wrapText="1"/>
    </xf>
    <xf numFmtId="0" fontId="9" fillId="0" borderId="16" xfId="7" applyFont="1" applyBorder="1" applyAlignment="1">
      <alignment horizontal="center" vertical="center" wrapText="1"/>
    </xf>
    <xf numFmtId="0" fontId="9" fillId="0" borderId="9" xfId="7" applyFont="1" applyBorder="1" applyAlignment="1">
      <alignment horizontal="center" wrapText="1"/>
    </xf>
    <xf numFmtId="43" fontId="9" fillId="0" borderId="9" xfId="8" applyFont="1" applyBorder="1" applyAlignment="1">
      <alignment horizontal="center" wrapText="1"/>
    </xf>
    <xf numFmtId="43" fontId="9" fillId="0" borderId="9" xfId="8" applyFont="1" applyBorder="1"/>
    <xf numFmtId="0" fontId="9" fillId="0" borderId="15" xfId="7" applyFont="1" applyBorder="1"/>
    <xf numFmtId="15" fontId="2" fillId="0" borderId="14" xfId="7" applyNumberFormat="1" applyFont="1" applyBorder="1"/>
    <xf numFmtId="0" fontId="2" fillId="0" borderId="9" xfId="7" applyFont="1" applyBorder="1"/>
    <xf numFmtId="4" fontId="2" fillId="0" borderId="17" xfId="7" applyNumberFormat="1" applyFont="1" applyBorder="1"/>
    <xf numFmtId="43" fontId="9" fillId="6" borderId="18" xfId="7" applyNumberFormat="1" applyFont="1" applyFill="1" applyBorder="1" applyAlignment="1">
      <alignment horizontal="right"/>
    </xf>
    <xf numFmtId="164" fontId="2" fillId="0" borderId="19" xfId="7" applyNumberFormat="1" applyBorder="1"/>
    <xf numFmtId="0" fontId="2" fillId="0" borderId="9" xfId="7" applyBorder="1" applyAlignment="1">
      <alignment horizontal="right"/>
    </xf>
    <xf numFmtId="4" fontId="2" fillId="0" borderId="9" xfId="7" applyNumberFormat="1" applyFont="1" applyBorder="1" applyAlignment="1">
      <alignment horizontal="right"/>
    </xf>
    <xf numFmtId="4" fontId="2" fillId="0" borderId="20" xfId="7" applyNumberFormat="1" applyFont="1" applyBorder="1" applyAlignment="1">
      <alignment horizontal="right"/>
    </xf>
    <xf numFmtId="43" fontId="2" fillId="0" borderId="9" xfId="7" applyNumberFormat="1" applyBorder="1"/>
    <xf numFmtId="4" fontId="2" fillId="0" borderId="16" xfId="7" applyNumberFormat="1" applyFont="1" applyBorder="1" applyAlignment="1">
      <alignment horizontal="right"/>
    </xf>
    <xf numFmtId="4" fontId="9" fillId="0" borderId="17" xfId="7" applyNumberFormat="1" applyFont="1" applyBorder="1" applyAlignment="1">
      <alignment horizontal="right"/>
    </xf>
    <xf numFmtId="4" fontId="9" fillId="6" borderId="18" xfId="7" applyNumberFormat="1" applyFont="1" applyFill="1" applyBorder="1" applyAlignment="1">
      <alignment horizontal="right"/>
    </xf>
    <xf numFmtId="4" fontId="2" fillId="0" borderId="19" xfId="7" applyNumberFormat="1" applyBorder="1"/>
    <xf numFmtId="4" fontId="2" fillId="0" borderId="0" xfId="7" applyNumberFormat="1"/>
    <xf numFmtId="0" fontId="2" fillId="0" borderId="9" xfId="7" applyBorder="1" applyAlignment="1">
      <alignment wrapText="1"/>
    </xf>
    <xf numFmtId="4" fontId="2" fillId="0" borderId="21" xfId="7" applyNumberFormat="1" applyFont="1" applyBorder="1"/>
    <xf numFmtId="0" fontId="2" fillId="0" borderId="22" xfId="7" applyBorder="1"/>
    <xf numFmtId="0" fontId="2" fillId="0" borderId="16" xfId="7" applyBorder="1" applyAlignment="1">
      <alignment horizontal="center"/>
    </xf>
    <xf numFmtId="0" fontId="2" fillId="0" borderId="16" xfId="7" applyBorder="1"/>
    <xf numFmtId="4" fontId="9" fillId="0" borderId="23" xfId="7" applyNumberFormat="1" applyFont="1" applyBorder="1" applyAlignment="1">
      <alignment horizontal="right"/>
    </xf>
    <xf numFmtId="4" fontId="2" fillId="0" borderId="24" xfId="7" applyNumberFormat="1" applyFont="1" applyBorder="1"/>
    <xf numFmtId="43" fontId="1" fillId="0" borderId="16" xfId="8" applyFont="1" applyBorder="1"/>
    <xf numFmtId="0" fontId="2" fillId="0" borderId="25" xfId="7" applyBorder="1"/>
    <xf numFmtId="0" fontId="5" fillId="0" borderId="9" xfId="7" applyFont="1" applyFill="1" applyBorder="1" applyAlignment="1">
      <alignment horizontal="center"/>
    </xf>
    <xf numFmtId="0" fontId="11" fillId="0" borderId="9" xfId="7" applyFont="1" applyBorder="1" applyAlignment="1">
      <alignment wrapText="1"/>
    </xf>
    <xf numFmtId="4" fontId="2" fillId="0" borderId="9" xfId="7" applyNumberFormat="1" applyBorder="1"/>
    <xf numFmtId="0" fontId="2" fillId="0" borderId="0" xfId="7" applyFont="1"/>
    <xf numFmtId="43" fontId="1" fillId="0" borderId="0" xfId="8" applyFont="1"/>
    <xf numFmtId="0" fontId="9" fillId="0" borderId="0" xfId="7" applyFont="1"/>
    <xf numFmtId="43" fontId="12" fillId="6" borderId="18" xfId="1" applyFont="1" applyFill="1" applyBorder="1"/>
    <xf numFmtId="0" fontId="2" fillId="0" borderId="0" xfId="7" applyAlignment="1">
      <alignment wrapText="1"/>
    </xf>
    <xf numFmtId="0" fontId="0" fillId="0" borderId="9" xfId="0" applyBorder="1"/>
    <xf numFmtId="167" fontId="15" fillId="0" borderId="26" xfId="0" applyNumberFormat="1" applyFont="1" applyBorder="1"/>
    <xf numFmtId="0" fontId="15" fillId="0" borderId="27" xfId="4" applyNumberFormat="1" applyFont="1" applyFill="1" applyBorder="1" applyAlignment="1">
      <alignment horizontal="center"/>
    </xf>
    <xf numFmtId="168" fontId="15" fillId="0" borderId="27" xfId="4" applyNumberFormat="1" applyFont="1" applyFill="1" applyBorder="1"/>
    <xf numFmtId="0" fontId="11" fillId="0" borderId="2" xfId="0" applyFont="1" applyBorder="1"/>
    <xf numFmtId="167" fontId="15" fillId="0" borderId="28" xfId="0" applyNumberFormat="1" applyFont="1" applyBorder="1"/>
    <xf numFmtId="0" fontId="15" fillId="0" borderId="29" xfId="4" applyNumberFormat="1" applyFont="1" applyFill="1" applyBorder="1" applyAlignment="1">
      <alignment horizontal="center"/>
    </xf>
    <xf numFmtId="168" fontId="15" fillId="0" borderId="29" xfId="4" applyNumberFormat="1" applyFont="1" applyFill="1" applyBorder="1"/>
    <xf numFmtId="0" fontId="11" fillId="0" borderId="6" xfId="0" applyFont="1" applyBorder="1"/>
    <xf numFmtId="169" fontId="15" fillId="0" borderId="29" xfId="0" applyNumberFormat="1" applyFont="1" applyFill="1" applyBorder="1" applyAlignment="1" applyProtection="1">
      <alignment horizontal="center"/>
    </xf>
    <xf numFmtId="0" fontId="15" fillId="0" borderId="29" xfId="4" applyFont="1" applyBorder="1" applyAlignment="1">
      <alignment horizontal="center"/>
    </xf>
    <xf numFmtId="168" fontId="15" fillId="0" borderId="29" xfId="4" applyNumberFormat="1" applyFont="1" applyBorder="1"/>
    <xf numFmtId="15" fontId="15" fillId="0" borderId="29" xfId="4" applyNumberFormat="1" applyFont="1" applyFill="1" applyBorder="1" applyAlignment="1">
      <alignment horizontal="left"/>
    </xf>
    <xf numFmtId="167" fontId="15" fillId="7" borderId="28" xfId="0" applyNumberFormat="1" applyFont="1" applyFill="1" applyBorder="1" applyAlignment="1">
      <alignment horizontal="center"/>
    </xf>
    <xf numFmtId="18" fontId="15" fillId="7" borderId="29" xfId="4" applyNumberFormat="1" applyFont="1" applyFill="1" applyBorder="1"/>
    <xf numFmtId="0" fontId="15" fillId="7" borderId="29" xfId="4" applyFont="1" applyFill="1" applyBorder="1" applyAlignment="1">
      <alignment horizontal="center"/>
    </xf>
    <xf numFmtId="168" fontId="15" fillId="7" borderId="29" xfId="4" applyNumberFormat="1" applyFont="1" applyFill="1" applyBorder="1" applyAlignment="1">
      <alignment horizontal="center"/>
    </xf>
    <xf numFmtId="167" fontId="15" fillId="0" borderId="28" xfId="0" applyNumberFormat="1" applyFont="1" applyBorder="1" applyAlignment="1">
      <alignment horizontal="right"/>
    </xf>
    <xf numFmtId="0" fontId="15" fillId="0" borderId="29" xfId="4" applyFont="1" applyBorder="1"/>
    <xf numFmtId="170" fontId="16" fillId="7" borderId="29" xfId="11" applyFont="1" applyFill="1" applyBorder="1" applyAlignment="1" applyProtection="1"/>
    <xf numFmtId="168" fontId="16" fillId="0" borderId="29" xfId="11" applyNumberFormat="1" applyFont="1" applyFill="1" applyBorder="1" applyAlignment="1" applyProtection="1"/>
    <xf numFmtId="167" fontId="15" fillId="0" borderId="28" xfId="0" applyNumberFormat="1" applyFont="1" applyBorder="1" applyAlignment="1">
      <alignment horizontal="center"/>
    </xf>
    <xf numFmtId="171" fontId="15" fillId="8" borderId="29" xfId="4" applyNumberFormat="1" applyFont="1" applyFill="1" applyBorder="1"/>
    <xf numFmtId="168" fontId="15" fillId="0" borderId="29" xfId="11" applyNumberFormat="1" applyFont="1" applyFill="1" applyBorder="1" applyAlignment="1" applyProtection="1"/>
    <xf numFmtId="170" fontId="15" fillId="0" borderId="29" xfId="11" applyFont="1" applyFill="1" applyBorder="1" applyAlignment="1" applyProtection="1"/>
    <xf numFmtId="43" fontId="15" fillId="6" borderId="29" xfId="1" applyFont="1" applyFill="1" applyBorder="1" applyAlignment="1" applyProtection="1"/>
    <xf numFmtId="0" fontId="11" fillId="0" borderId="29" xfId="4" applyFont="1" applyBorder="1"/>
    <xf numFmtId="4" fontId="17" fillId="0" borderId="29" xfId="0" applyNumberFormat="1" applyFont="1" applyBorder="1"/>
    <xf numFmtId="168" fontId="17" fillId="0" borderId="29" xfId="0" applyNumberFormat="1" applyFont="1" applyBorder="1"/>
    <xf numFmtId="0" fontId="0" fillId="0" borderId="6" xfId="0" applyBorder="1"/>
    <xf numFmtId="0" fontId="15" fillId="0" borderId="29" xfId="0" applyFont="1" applyBorder="1"/>
    <xf numFmtId="4" fontId="15" fillId="0" borderId="29" xfId="0" applyNumberFormat="1" applyFont="1" applyBorder="1"/>
    <xf numFmtId="168" fontId="15" fillId="0" borderId="29" xfId="0" applyNumberFormat="1" applyFont="1" applyBorder="1"/>
    <xf numFmtId="167" fontId="15" fillId="7" borderId="28" xfId="0" applyNumberFormat="1" applyFont="1" applyFill="1" applyBorder="1"/>
    <xf numFmtId="0" fontId="15" fillId="7" borderId="29" xfId="4" applyFont="1" applyFill="1" applyBorder="1"/>
    <xf numFmtId="170" fontId="18" fillId="7" borderId="29" xfId="11" applyFont="1" applyFill="1" applyBorder="1" applyAlignment="1" applyProtection="1"/>
    <xf numFmtId="43" fontId="15" fillId="7" borderId="29" xfId="1" applyFont="1" applyFill="1" applyBorder="1" applyAlignment="1" applyProtection="1"/>
    <xf numFmtId="168" fontId="15" fillId="7" borderId="29" xfId="11" applyNumberFormat="1" applyFont="1" applyFill="1" applyBorder="1" applyAlignment="1" applyProtection="1"/>
    <xf numFmtId="170" fontId="16" fillId="0" borderId="29" xfId="11" applyFont="1" applyFill="1" applyBorder="1" applyAlignment="1" applyProtection="1"/>
    <xf numFmtId="0" fontId="20" fillId="0" borderId="29" xfId="12" applyFont="1" applyBorder="1" applyAlignment="1" applyProtection="1"/>
    <xf numFmtId="0" fontId="15" fillId="0" borderId="6" xfId="0" applyFont="1" applyBorder="1"/>
    <xf numFmtId="168" fontId="21" fillId="0" borderId="29" xfId="11" applyNumberFormat="1" applyFont="1" applyFill="1" applyBorder="1" applyAlignment="1" applyProtection="1"/>
    <xf numFmtId="0" fontId="22" fillId="0" borderId="29" xfId="12" applyFont="1" applyBorder="1" applyAlignment="1" applyProtection="1"/>
    <xf numFmtId="0" fontId="4" fillId="0" borderId="29" xfId="4" applyFont="1" applyBorder="1"/>
    <xf numFmtId="0" fontId="22" fillId="6" borderId="29" xfId="12" applyFont="1" applyFill="1" applyBorder="1" applyAlignment="1" applyProtection="1"/>
    <xf numFmtId="0" fontId="23" fillId="6" borderId="0" xfId="0" applyFont="1" applyFill="1"/>
    <xf numFmtId="170" fontId="15" fillId="6" borderId="29" xfId="11" applyFont="1" applyFill="1" applyBorder="1" applyAlignment="1" applyProtection="1"/>
    <xf numFmtId="170" fontId="15" fillId="0" borderId="6" xfId="1" applyNumberFormat="1" applyFont="1" applyFill="1" applyBorder="1" applyAlignment="1" applyProtection="1"/>
    <xf numFmtId="167" fontId="15" fillId="0" borderId="28" xfId="0" applyNumberFormat="1" applyFont="1" applyFill="1" applyBorder="1"/>
    <xf numFmtId="0" fontId="15" fillId="0" borderId="29" xfId="4" applyFont="1" applyFill="1" applyBorder="1"/>
    <xf numFmtId="170" fontId="11" fillId="0" borderId="6" xfId="0" applyNumberFormat="1" applyFont="1" applyFill="1" applyBorder="1"/>
    <xf numFmtId="0" fontId="15" fillId="8" borderId="29" xfId="4" applyFont="1" applyFill="1" applyBorder="1"/>
    <xf numFmtId="170" fontId="21" fillId="0" borderId="29" xfId="11" applyFont="1" applyFill="1" applyBorder="1" applyAlignment="1" applyProtection="1"/>
    <xf numFmtId="170" fontId="16" fillId="7" borderId="29" xfId="11" applyFont="1" applyFill="1" applyBorder="1" applyAlignment="1" applyProtection="1">
      <alignment horizontal="right"/>
    </xf>
    <xf numFmtId="170" fontId="16" fillId="0" borderId="29" xfId="11" applyFont="1" applyFill="1" applyBorder="1" applyAlignment="1" applyProtection="1">
      <alignment horizontal="right"/>
    </xf>
    <xf numFmtId="170" fontId="15" fillId="7" borderId="29" xfId="11" applyFont="1" applyFill="1" applyBorder="1" applyAlignment="1" applyProtection="1">
      <alignment horizontal="right"/>
    </xf>
    <xf numFmtId="167" fontId="15" fillId="0" borderId="3" xfId="0" applyNumberFormat="1" applyFont="1" applyBorder="1"/>
    <xf numFmtId="0" fontId="15" fillId="0" borderId="0" xfId="4" applyFont="1" applyBorder="1"/>
    <xf numFmtId="170" fontId="16" fillId="0" borderId="0" xfId="11" applyFont="1" applyFill="1" applyBorder="1" applyAlignment="1" applyProtection="1">
      <alignment horizontal="right"/>
    </xf>
    <xf numFmtId="168" fontId="15" fillId="0" borderId="0" xfId="11" applyNumberFormat="1" applyFont="1" applyFill="1" applyBorder="1" applyAlignment="1" applyProtection="1"/>
    <xf numFmtId="168" fontId="15" fillId="0" borderId="0" xfId="4" applyNumberFormat="1" applyFont="1" applyBorder="1"/>
    <xf numFmtId="168" fontId="11" fillId="0" borderId="0" xfId="4" applyNumberFormat="1" applyFont="1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9" fillId="0" borderId="31" xfId="7" applyFont="1" applyBorder="1"/>
    <xf numFmtId="0" fontId="9" fillId="0" borderId="32" xfId="7" applyFont="1" applyBorder="1"/>
    <xf numFmtId="1" fontId="9" fillId="0" borderId="32" xfId="7" applyNumberFormat="1" applyFont="1" applyBorder="1"/>
    <xf numFmtId="43" fontId="9" fillId="0" borderId="32" xfId="13" applyFont="1" applyBorder="1"/>
    <xf numFmtId="15" fontId="2" fillId="0" borderId="32" xfId="7" applyNumberFormat="1" applyBorder="1"/>
    <xf numFmtId="0" fontId="9" fillId="0" borderId="33" xfId="7" applyFont="1" applyBorder="1"/>
    <xf numFmtId="0" fontId="0" fillId="0" borderId="34" xfId="0" applyBorder="1"/>
    <xf numFmtId="0" fontId="0" fillId="0" borderId="20" xfId="0" applyBorder="1"/>
    <xf numFmtId="164" fontId="1" fillId="0" borderId="20" xfId="14" applyFont="1" applyBorder="1"/>
    <xf numFmtId="15" fontId="0" fillId="0" borderId="20" xfId="0" applyNumberFormat="1" applyBorder="1"/>
    <xf numFmtId="0" fontId="0" fillId="0" borderId="14" xfId="0" applyBorder="1"/>
    <xf numFmtId="164" fontId="1" fillId="0" borderId="9" xfId="14" applyFont="1" applyBorder="1"/>
    <xf numFmtId="15" fontId="0" fillId="0" borderId="9" xfId="0" applyNumberFormat="1" applyBorder="1"/>
    <xf numFmtId="0" fontId="0" fillId="0" borderId="35" xfId="0" applyBorder="1"/>
    <xf numFmtId="0" fontId="0" fillId="0" borderId="36" xfId="0" applyBorder="1"/>
    <xf numFmtId="164" fontId="1" fillId="0" borderId="36" xfId="14" applyFont="1" applyBorder="1"/>
    <xf numFmtId="15" fontId="0" fillId="0" borderId="36" xfId="0" applyNumberFormat="1" applyBorder="1"/>
    <xf numFmtId="164" fontId="24" fillId="2" borderId="18" xfId="7" applyNumberFormat="1" applyFont="1" applyFill="1" applyBorder="1"/>
    <xf numFmtId="164" fontId="1" fillId="0" borderId="0" xfId="14" applyFont="1"/>
    <xf numFmtId="1" fontId="0" fillId="0" borderId="0" xfId="0" applyNumberFormat="1"/>
    <xf numFmtId="43" fontId="1" fillId="0" borderId="0" xfId="13" applyFont="1"/>
    <xf numFmtId="1" fontId="2" fillId="0" borderId="0" xfId="7" applyNumberFormat="1"/>
    <xf numFmtId="15" fontId="2" fillId="0" borderId="0" xfId="7" applyNumberFormat="1"/>
    <xf numFmtId="0" fontId="25" fillId="0" borderId="0" xfId="0" applyFont="1" applyFill="1" applyBorder="1"/>
    <xf numFmtId="0" fontId="11" fillId="0" borderId="0" xfId="2" applyFont="1" applyFill="1" applyBorder="1"/>
    <xf numFmtId="166" fontId="27" fillId="0" borderId="40" xfId="15" applyNumberFormat="1" applyFont="1" applyFill="1" applyBorder="1" applyAlignment="1">
      <alignment vertical="top" wrapText="1" readingOrder="1"/>
    </xf>
    <xf numFmtId="0" fontId="27" fillId="0" borderId="40" xfId="15" applyFont="1" applyFill="1" applyBorder="1" applyAlignment="1">
      <alignment vertical="top" wrapText="1" readingOrder="1"/>
    </xf>
    <xf numFmtId="173" fontId="13" fillId="0" borderId="41" xfId="15" applyNumberFormat="1" applyFont="1" applyFill="1" applyBorder="1" applyAlignment="1">
      <alignment vertical="top" wrapText="1"/>
    </xf>
    <xf numFmtId="0" fontId="27" fillId="0" borderId="9" xfId="0" applyFont="1" applyFill="1" applyBorder="1" applyAlignment="1">
      <alignment horizontal="left" vertical="top" wrapText="1" readingOrder="1"/>
    </xf>
    <xf numFmtId="0" fontId="27" fillId="0" borderId="40" xfId="15" applyNumberFormat="1" applyFont="1" applyFill="1" applyBorder="1" applyAlignment="1">
      <alignment vertical="top" wrapText="1" readingOrder="1"/>
    </xf>
    <xf numFmtId="0" fontId="27" fillId="0" borderId="40" xfId="0" applyNumberFormat="1" applyFont="1" applyFill="1" applyBorder="1" applyAlignment="1">
      <alignment horizontal="left" vertical="top" wrapText="1" readingOrder="1"/>
    </xf>
    <xf numFmtId="173" fontId="27" fillId="0" borderId="40" xfId="0" applyNumberFormat="1" applyFont="1" applyFill="1" applyBorder="1" applyAlignment="1">
      <alignment horizontal="left" vertical="top" wrapText="1" readingOrder="1"/>
    </xf>
    <xf numFmtId="0" fontId="14" fillId="0" borderId="40" xfId="0" applyNumberFormat="1" applyFont="1" applyFill="1" applyBorder="1" applyAlignment="1">
      <alignment vertical="top" readingOrder="1"/>
    </xf>
    <xf numFmtId="165" fontId="14" fillId="0" borderId="40" xfId="0" applyNumberFormat="1" applyFont="1" applyFill="1" applyBorder="1" applyAlignment="1">
      <alignment vertical="top" readingOrder="1"/>
    </xf>
    <xf numFmtId="0" fontId="29" fillId="0" borderId="16" xfId="0" applyFont="1" applyFill="1" applyBorder="1" applyAlignment="1">
      <alignment vertical="top" wrapText="1" readingOrder="1"/>
    </xf>
    <xf numFmtId="173" fontId="27" fillId="0" borderId="16" xfId="0" quotePrefix="1" applyNumberFormat="1" applyFont="1" applyFill="1" applyBorder="1" applyAlignment="1">
      <alignment horizontal="left" vertical="top" wrapText="1" readingOrder="1"/>
    </xf>
    <xf numFmtId="0" fontId="30" fillId="5" borderId="0" xfId="0" applyFont="1" applyFill="1" applyBorder="1"/>
    <xf numFmtId="49" fontId="26" fillId="9" borderId="37" xfId="7" applyNumberFormat="1" applyFont="1" applyFill="1" applyBorder="1"/>
    <xf numFmtId="1" fontId="26" fillId="9" borderId="38" xfId="7" applyNumberFormat="1" applyFont="1" applyFill="1" applyBorder="1"/>
    <xf numFmtId="49" fontId="26" fillId="9" borderId="38" xfId="7" applyNumberFormat="1" applyFont="1" applyFill="1" applyBorder="1" applyAlignment="1">
      <alignment horizontal="left"/>
    </xf>
    <xf numFmtId="49" fontId="26" fillId="9" borderId="38" xfId="7" applyNumberFormat="1" applyFont="1" applyFill="1" applyBorder="1"/>
    <xf numFmtId="43" fontId="26" fillId="9" borderId="39" xfId="13" applyFont="1" applyFill="1" applyBorder="1"/>
    <xf numFmtId="164" fontId="27" fillId="0" borderId="40" xfId="1" applyNumberFormat="1" applyFont="1" applyFill="1" applyBorder="1" applyAlignment="1">
      <alignment vertical="top" wrapText="1" readingOrder="1"/>
    </xf>
    <xf numFmtId="173" fontId="25" fillId="0" borderId="0" xfId="0" applyNumberFormat="1" applyFont="1" applyFill="1" applyBorder="1"/>
    <xf numFmtId="166" fontId="25" fillId="0" borderId="0" xfId="0" applyNumberFormat="1" applyFont="1" applyFill="1" applyBorder="1"/>
    <xf numFmtId="0" fontId="25" fillId="0" borderId="9" xfId="0" applyFont="1" applyFill="1" applyBorder="1"/>
    <xf numFmtId="164" fontId="31" fillId="4" borderId="9" xfId="1" applyNumberFormat="1" applyFont="1" applyFill="1" applyBorder="1"/>
    <xf numFmtId="0" fontId="32" fillId="5" borderId="0" xfId="0" applyFont="1" applyFill="1" applyBorder="1"/>
    <xf numFmtId="0" fontId="13" fillId="0" borderId="9" xfId="13" applyNumberFormat="1" applyFont="1" applyFill="1" applyBorder="1"/>
    <xf numFmtId="0" fontId="13" fillId="0" borderId="9" xfId="0" applyFont="1" applyFill="1" applyBorder="1" applyAlignment="1">
      <alignment horizontal="left"/>
    </xf>
    <xf numFmtId="49" fontId="25" fillId="0" borderId="16" xfId="0" applyNumberFormat="1" applyFont="1" applyFill="1" applyBorder="1"/>
    <xf numFmtId="0" fontId="25" fillId="0" borderId="16" xfId="0" applyFont="1" applyFill="1" applyBorder="1" applyAlignment="1">
      <alignment horizontal="left" readingOrder="1"/>
    </xf>
    <xf numFmtId="0" fontId="25" fillId="0" borderId="16" xfId="0" applyFont="1" applyFill="1" applyBorder="1" applyAlignment="1">
      <alignment horizontal="left"/>
    </xf>
    <xf numFmtId="0" fontId="25" fillId="0" borderId="16" xfId="0" applyFont="1" applyFill="1" applyBorder="1"/>
    <xf numFmtId="43" fontId="33" fillId="0" borderId="16" xfId="10" applyFont="1" applyFill="1" applyBorder="1"/>
    <xf numFmtId="164" fontId="31" fillId="4" borderId="16" xfId="1" applyNumberFormat="1" applyFont="1" applyFill="1" applyBorder="1"/>
    <xf numFmtId="0" fontId="14" fillId="0" borderId="9" xfId="0" applyFont="1" applyFill="1" applyBorder="1" applyAlignment="1" applyProtection="1">
      <alignment vertical="top" wrapText="1" readingOrder="1"/>
      <protection locked="0"/>
    </xf>
    <xf numFmtId="0" fontId="14" fillId="0" borderId="9" xfId="0" applyFont="1" applyFill="1" applyBorder="1" applyAlignment="1" applyProtection="1">
      <alignment horizontal="center" vertical="top" wrapText="1" readingOrder="1"/>
      <protection locked="0"/>
    </xf>
    <xf numFmtId="0" fontId="35" fillId="10" borderId="9" xfId="0" applyNumberFormat="1" applyFont="1" applyFill="1" applyBorder="1" applyAlignment="1">
      <alignment vertical="top" wrapText="1" readingOrder="1"/>
    </xf>
    <xf numFmtId="172" fontId="14" fillId="0" borderId="9" xfId="0" applyNumberFormat="1" applyFont="1" applyFill="1" applyBorder="1" applyAlignment="1">
      <alignment vertical="top" wrapText="1" readingOrder="1"/>
    </xf>
    <xf numFmtId="49" fontId="14" fillId="0" borderId="9" xfId="0" applyNumberFormat="1" applyFont="1" applyFill="1" applyBorder="1" applyAlignment="1">
      <alignment vertical="top" wrapText="1" readingOrder="1"/>
    </xf>
    <xf numFmtId="0" fontId="34" fillId="0" borderId="9" xfId="0" applyFont="1" applyFill="1" applyBorder="1" applyAlignment="1">
      <alignment vertical="top" wrapText="1" readingOrder="1"/>
    </xf>
    <xf numFmtId="0" fontId="14" fillId="0" borderId="9" xfId="0" applyFont="1" applyFill="1" applyBorder="1" applyAlignment="1">
      <alignment vertical="top" wrapText="1" readingOrder="1"/>
    </xf>
    <xf numFmtId="0" fontId="34" fillId="0" borderId="9" xfId="0" applyNumberFormat="1" applyFont="1" applyFill="1" applyBorder="1" applyAlignment="1">
      <alignment vertical="top" wrapText="1" readingOrder="1"/>
    </xf>
    <xf numFmtId="172" fontId="34" fillId="0" borderId="9" xfId="0" applyNumberFormat="1" applyFont="1" applyFill="1" applyBorder="1" applyAlignment="1">
      <alignment vertical="top" wrapText="1" readingOrder="1"/>
    </xf>
    <xf numFmtId="43" fontId="26" fillId="9" borderId="38" xfId="13" applyFont="1" applyFill="1" applyBorder="1"/>
    <xf numFmtId="164" fontId="34" fillId="0" borderId="9" xfId="1" applyNumberFormat="1" applyFont="1" applyFill="1" applyBorder="1" applyAlignment="1">
      <alignment vertical="top" wrapText="1" readingOrder="1"/>
    </xf>
    <xf numFmtId="164" fontId="31" fillId="0" borderId="9" xfId="1" applyNumberFormat="1" applyFont="1" applyFill="1" applyBorder="1"/>
    <xf numFmtId="14" fontId="4" fillId="2" borderId="6" xfId="2" applyNumberFormat="1" applyFont="1" applyFill="1" applyBorder="1"/>
    <xf numFmtId="174" fontId="4" fillId="2" borderId="8" xfId="2" applyNumberFormat="1" applyFont="1" applyFill="1" applyBorder="1"/>
    <xf numFmtId="174" fontId="2" fillId="0" borderId="15" xfId="7" applyNumberFormat="1" applyFont="1" applyBorder="1"/>
    <xf numFmtId="0" fontId="14" fillId="0" borderId="0" xfId="0" applyNumberFormat="1" applyFont="1" applyFill="1" applyBorder="1" applyAlignment="1">
      <alignment vertical="top" wrapText="1" readingOrder="1"/>
    </xf>
    <xf numFmtId="166" fontId="14" fillId="0" borderId="0" xfId="0" applyNumberFormat="1" applyFont="1" applyFill="1" applyBorder="1" applyAlignment="1">
      <alignment vertical="top" wrapText="1" readingOrder="1"/>
    </xf>
    <xf numFmtId="4" fontId="0" fillId="0" borderId="0" xfId="0" applyNumberFormat="1"/>
    <xf numFmtId="22" fontId="0" fillId="0" borderId="0" xfId="0" applyNumberFormat="1"/>
    <xf numFmtId="2" fontId="0" fillId="0" borderId="0" xfId="0" applyNumberFormat="1"/>
    <xf numFmtId="11" fontId="0" fillId="0" borderId="0" xfId="0" applyNumberFormat="1"/>
    <xf numFmtId="0" fontId="3" fillId="0" borderId="11" xfId="7" applyFont="1" applyBorder="1" applyAlignment="1">
      <alignment horizontal="center"/>
    </xf>
    <xf numFmtId="0" fontId="3" fillId="0" borderId="12" xfId="7" applyFont="1" applyBorder="1" applyAlignment="1">
      <alignment horizontal="center"/>
    </xf>
    <xf numFmtId="166" fontId="27" fillId="0" borderId="40" xfId="0" applyNumberFormat="1" applyFont="1" applyFill="1" applyBorder="1" applyAlignment="1">
      <alignment horizontal="left" vertical="top" wrapText="1" readingOrder="1"/>
    </xf>
    <xf numFmtId="0" fontId="13" fillId="0" borderId="41" xfId="0" applyNumberFormat="1" applyFont="1" applyFill="1" applyBorder="1" applyAlignment="1">
      <alignment vertical="top" wrapText="1"/>
    </xf>
  </cellXfs>
  <cellStyles count="16">
    <cellStyle name="Comma" xfId="1" builtinId="3"/>
    <cellStyle name="Comma 10 24" xfId="13" xr:uid="{00000000-0005-0000-0000-000001000000}"/>
    <cellStyle name="Comma 11" xfId="10" xr:uid="{00000000-0005-0000-0000-000002000000}"/>
    <cellStyle name="Comma 2 3" xfId="9" xr:uid="{00000000-0005-0000-0000-000003000000}"/>
    <cellStyle name="Comma 2 9" xfId="14" xr:uid="{00000000-0005-0000-0000-000004000000}"/>
    <cellStyle name="Comma 3" xfId="6" xr:uid="{00000000-0005-0000-0000-000005000000}"/>
    <cellStyle name="Comma 6 2" xfId="3" xr:uid="{00000000-0005-0000-0000-000006000000}"/>
    <cellStyle name="Comma 7" xfId="8" xr:uid="{00000000-0005-0000-0000-000007000000}"/>
    <cellStyle name="Comma 9" xfId="5" xr:uid="{00000000-0005-0000-0000-000008000000}"/>
    <cellStyle name="Comma_Sheet1" xfId="11" xr:uid="{00000000-0005-0000-0000-000009000000}"/>
    <cellStyle name="Hyperlink" xfId="12" builtinId="8"/>
    <cellStyle name="Normal" xfId="0" builtinId="0"/>
    <cellStyle name="Normal 13" xfId="7" xr:uid="{00000000-0005-0000-0000-00000C000000}"/>
    <cellStyle name="Normal 2" xfId="2" xr:uid="{00000000-0005-0000-0000-00000D000000}"/>
    <cellStyle name="Normal 5" xfId="15" xr:uid="{00000000-0005-0000-0000-00000E000000}"/>
    <cellStyle name="Normal_Sheet1" xfId="4" xr:uid="{00000000-0005-0000-0000-00000F000000}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952500</xdr:colOff>
          <xdr:row>16</xdr:row>
          <xdr:rowOff>85725</xdr:rowOff>
        </xdr:from>
        <xdr:to>
          <xdr:col>6</xdr:col>
          <xdr:colOff>609600</xdr:colOff>
          <xdr:row>18</xdr:row>
          <xdr:rowOff>76200</xdr:rowOff>
        </xdr:to>
        <xdr:sp macro="" textlink="">
          <xdr:nvSpPr>
            <xdr:cNvPr id="1025" name="initializeRec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19</xdr:row>
          <xdr:rowOff>171450</xdr:rowOff>
        </xdr:from>
        <xdr:to>
          <xdr:col>3</xdr:col>
          <xdr:colOff>923925</xdr:colOff>
          <xdr:row>22</xdr:row>
          <xdr:rowOff>28575</xdr:rowOff>
        </xdr:to>
        <xdr:sp macro="" textlink="">
          <xdr:nvSpPr>
            <xdr:cNvPr id="1027" name="Filter_fe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209550</xdr:colOff>
      <xdr:row>0</xdr:row>
      <xdr:rowOff>0</xdr:rowOff>
    </xdr:from>
    <xdr:to>
      <xdr:col>3</xdr:col>
      <xdr:colOff>1127125</xdr:colOff>
      <xdr:row>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0"/>
          <a:ext cx="2032000" cy="16002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l_9" connectionId="2" xr16:uid="{00000000-0016-0000-04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M_FEP_12" connectionId="1" xr16:uid="{00000000-0016-0000-0500-00000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1"/>
  <sheetViews>
    <sheetView topLeftCell="C1" workbookViewId="0">
      <selection activeCell="P1" sqref="P1:P6"/>
    </sheetView>
  </sheetViews>
  <sheetFormatPr defaultRowHeight="15" x14ac:dyDescent="0.2"/>
  <cols>
    <col min="1" max="1" width="27.85546875" style="9" customWidth="1"/>
    <col min="2" max="2" width="30.7109375" style="9" bestFit="1" customWidth="1"/>
    <col min="3" max="3" width="16.7109375" style="9" customWidth="1"/>
    <col min="4" max="4" width="17.85546875" style="9" customWidth="1"/>
    <col min="5" max="5" width="20" style="10" customWidth="1"/>
    <col min="6" max="7" width="23" style="10" bestFit="1" customWidth="1"/>
    <col min="8" max="8" width="5.28515625" style="9" hidden="1" customWidth="1"/>
    <col min="9" max="9" width="12.42578125" style="9" hidden="1" customWidth="1"/>
    <col min="10" max="10" width="6.42578125" style="9" hidden="1" customWidth="1"/>
    <col min="11" max="13" width="0" style="9" hidden="1" customWidth="1"/>
    <col min="14" max="16384" width="9.140625" style="9"/>
  </cols>
  <sheetData>
    <row r="1" spans="1:13" x14ac:dyDescent="0.2">
      <c r="A1" s="8"/>
      <c r="H1" s="9" t="s">
        <v>1732</v>
      </c>
      <c r="I1" s="9" t="s">
        <v>1732</v>
      </c>
      <c r="J1" s="9" t="s">
        <v>1732</v>
      </c>
      <c r="K1" s="9" t="s">
        <v>1732</v>
      </c>
      <c r="L1" s="9" t="s">
        <v>1732</v>
      </c>
      <c r="M1" s="9" t="s">
        <v>1732</v>
      </c>
    </row>
    <row r="2" spans="1:13" x14ac:dyDescent="0.2">
      <c r="H2" s="9">
        <v>1</v>
      </c>
      <c r="I2" s="9" t="s">
        <v>1733</v>
      </c>
      <c r="J2" s="9">
        <v>2019</v>
      </c>
      <c r="K2" s="9">
        <v>1</v>
      </c>
      <c r="L2" s="9">
        <v>1</v>
      </c>
      <c r="M2" s="9" t="s">
        <v>1730</v>
      </c>
    </row>
    <row r="3" spans="1:13" ht="15.75" thickBot="1" x14ac:dyDescent="0.25">
      <c r="H3" s="9">
        <v>2</v>
      </c>
      <c r="I3" s="9" t="s">
        <v>1734</v>
      </c>
      <c r="J3" s="9">
        <v>2020</v>
      </c>
      <c r="K3" s="9">
        <v>2</v>
      </c>
      <c r="L3" s="9">
        <v>2</v>
      </c>
      <c r="M3" s="9" t="s">
        <v>1731</v>
      </c>
    </row>
    <row r="4" spans="1:13" ht="16.5" thickBot="1" x14ac:dyDescent="0.3">
      <c r="A4" s="1" t="s">
        <v>1</v>
      </c>
      <c r="B4" s="2"/>
      <c r="H4" s="9">
        <v>3</v>
      </c>
      <c r="I4" s="9" t="s">
        <v>1735</v>
      </c>
      <c r="J4" s="9">
        <v>2021</v>
      </c>
      <c r="K4" s="9">
        <v>3</v>
      </c>
      <c r="L4" s="9">
        <v>3</v>
      </c>
    </row>
    <row r="5" spans="1:13" ht="15.75" x14ac:dyDescent="0.25">
      <c r="A5" s="3" t="s">
        <v>2</v>
      </c>
      <c r="B5" s="4" t="s">
        <v>104</v>
      </c>
      <c r="H5" s="9">
        <v>4</v>
      </c>
      <c r="I5" s="9" t="s">
        <v>1736</v>
      </c>
      <c r="J5" s="9">
        <v>2022</v>
      </c>
      <c r="K5" s="9">
        <v>4</v>
      </c>
      <c r="L5" s="9">
        <v>4</v>
      </c>
    </row>
    <row r="6" spans="1:13" ht="15.75" x14ac:dyDescent="0.25">
      <c r="A6" s="3" t="s">
        <v>3</v>
      </c>
      <c r="B6" s="5" t="s">
        <v>104</v>
      </c>
      <c r="H6" s="9">
        <v>5</v>
      </c>
      <c r="I6" s="9" t="s">
        <v>1729</v>
      </c>
      <c r="J6" s="9">
        <v>2023</v>
      </c>
      <c r="K6" s="9">
        <v>5</v>
      </c>
      <c r="L6" s="9">
        <v>5</v>
      </c>
    </row>
    <row r="7" spans="1:13" ht="15.75" x14ac:dyDescent="0.25">
      <c r="A7" s="3" t="s">
        <v>4</v>
      </c>
      <c r="B7" s="224" t="s">
        <v>1745</v>
      </c>
      <c r="D7" s="10"/>
      <c r="H7" s="9">
        <v>6</v>
      </c>
      <c r="I7" s="9" t="s">
        <v>1737</v>
      </c>
      <c r="J7" s="9">
        <v>2024</v>
      </c>
      <c r="K7" s="9">
        <v>6</v>
      </c>
      <c r="L7" s="9">
        <v>6</v>
      </c>
    </row>
    <row r="8" spans="1:13" ht="16.5" thickBot="1" x14ac:dyDescent="0.3">
      <c r="A8" s="6" t="s">
        <v>5</v>
      </c>
      <c r="B8" s="225" t="s">
        <v>1746</v>
      </c>
      <c r="C8" s="12"/>
      <c r="D8" s="12"/>
      <c r="E8" s="13"/>
      <c r="H8" s="9">
        <v>7</v>
      </c>
      <c r="I8" s="9" t="s">
        <v>1738</v>
      </c>
      <c r="J8" s="9">
        <v>2025</v>
      </c>
      <c r="K8" s="9">
        <v>7</v>
      </c>
      <c r="L8" s="9">
        <v>7</v>
      </c>
    </row>
    <row r="9" spans="1:13" x14ac:dyDescent="0.2">
      <c r="A9" s="14" t="s">
        <v>6</v>
      </c>
      <c r="B9" s="14"/>
      <c r="C9" s="14"/>
      <c r="D9" s="14"/>
      <c r="E9" s="15"/>
      <c r="H9" s="9">
        <v>8</v>
      </c>
      <c r="I9" s="9" t="s">
        <v>1739</v>
      </c>
      <c r="J9" s="9">
        <v>2026</v>
      </c>
      <c r="K9" s="9">
        <v>8</v>
      </c>
      <c r="L9" s="9">
        <v>8</v>
      </c>
    </row>
    <row r="10" spans="1:13" ht="17.25" customHeight="1" x14ac:dyDescent="0.2">
      <c r="A10" s="16" t="s">
        <v>7</v>
      </c>
      <c r="B10" s="16" t="s">
        <v>8</v>
      </c>
      <c r="C10" s="16" t="s">
        <v>9</v>
      </c>
      <c r="D10" s="16" t="s">
        <v>10</v>
      </c>
      <c r="E10" s="17" t="s">
        <v>11</v>
      </c>
      <c r="F10" s="18"/>
      <c r="G10" s="18"/>
      <c r="H10" s="9">
        <v>9</v>
      </c>
      <c r="I10" s="9" t="s">
        <v>1740</v>
      </c>
      <c r="J10" s="9">
        <v>2027</v>
      </c>
      <c r="K10" s="9">
        <v>9</v>
      </c>
      <c r="L10" s="9">
        <v>9</v>
      </c>
    </row>
    <row r="11" spans="1:13" x14ac:dyDescent="0.2">
      <c r="A11" s="19">
        <v>1000</v>
      </c>
      <c r="B11" s="20"/>
      <c r="C11" s="20"/>
      <c r="D11" s="20" t="s">
        <v>1747</v>
      </c>
      <c r="E11" s="21">
        <f>((B11*500*1000)+(C11*100*1000)+(1000*D11))</f>
        <v>0</v>
      </c>
      <c r="F11" s="18"/>
      <c r="G11" s="18"/>
      <c r="H11" s="9">
        <v>10</v>
      </c>
      <c r="I11" s="9" t="s">
        <v>1741</v>
      </c>
      <c r="J11" s="9">
        <v>2028</v>
      </c>
      <c r="K11" s="9">
        <v>10</v>
      </c>
      <c r="L11" s="9">
        <v>10</v>
      </c>
    </row>
    <row r="12" spans="1:13" x14ac:dyDescent="0.2">
      <c r="A12" s="22">
        <v>500</v>
      </c>
      <c r="B12" s="23"/>
      <c r="C12" s="23"/>
      <c r="D12" s="23" t="s">
        <v>1747</v>
      </c>
      <c r="E12" s="21">
        <f>((B12*500*500)+(C12*100*500)+(500*D12))</f>
        <v>0</v>
      </c>
      <c r="H12" s="9">
        <v>11</v>
      </c>
      <c r="I12" s="9" t="s">
        <v>1742</v>
      </c>
      <c r="J12" s="9">
        <v>2029</v>
      </c>
      <c r="K12" s="9">
        <v>11</v>
      </c>
      <c r="L12" s="9">
        <v>11</v>
      </c>
    </row>
    <row r="13" spans="1:13" x14ac:dyDescent="0.2">
      <c r="A13" s="22" t="s">
        <v>12</v>
      </c>
      <c r="B13" s="24">
        <v>0</v>
      </c>
      <c r="C13" s="20">
        <v>0</v>
      </c>
      <c r="D13" s="23"/>
      <c r="E13" s="25">
        <f>((B13*500*1000)+(C13*100*1000)+(1000*D13))</f>
        <v>0</v>
      </c>
      <c r="F13" s="26"/>
      <c r="H13" s="9">
        <v>12</v>
      </c>
      <c r="I13" s="9" t="s">
        <v>1743</v>
      </c>
      <c r="J13" s="9">
        <v>2030</v>
      </c>
      <c r="K13" s="9">
        <v>12</v>
      </c>
      <c r="L13" s="9">
        <v>12</v>
      </c>
    </row>
    <row r="14" spans="1:13" x14ac:dyDescent="0.2">
      <c r="A14" s="22" t="s">
        <v>13</v>
      </c>
      <c r="B14" s="24">
        <v>0</v>
      </c>
      <c r="C14" s="24">
        <v>0</v>
      </c>
      <c r="D14" s="23">
        <v>0</v>
      </c>
      <c r="E14" s="21">
        <f>((B14*500*500)+(C14*100*500)+(500*D14))</f>
        <v>0</v>
      </c>
      <c r="H14" s="9">
        <v>13</v>
      </c>
      <c r="L14" s="9">
        <v>13</v>
      </c>
    </row>
    <row r="15" spans="1:13" x14ac:dyDescent="0.2">
      <c r="A15" s="22" t="s">
        <v>14</v>
      </c>
      <c r="B15" s="23"/>
      <c r="C15" s="23"/>
      <c r="D15" s="23"/>
      <c r="E15" s="27">
        <f>SUM(E11:E14)</f>
        <v>0</v>
      </c>
      <c r="H15" s="9">
        <v>14</v>
      </c>
      <c r="L15" s="9">
        <v>14</v>
      </c>
    </row>
    <row r="16" spans="1:13" ht="15.75" x14ac:dyDescent="0.2">
      <c r="A16" s="28" t="s">
        <v>15</v>
      </c>
      <c r="B16" s="28"/>
      <c r="C16" s="28"/>
      <c r="D16" s="28"/>
      <c r="E16" s="29">
        <v>4004500</v>
      </c>
      <c r="F16" s="14"/>
      <c r="H16" s="9">
        <v>15</v>
      </c>
      <c r="L16" s="9">
        <v>15</v>
      </c>
    </row>
    <row r="17" spans="1:12" ht="15.75" x14ac:dyDescent="0.25">
      <c r="A17" s="28" t="s">
        <v>16</v>
      </c>
      <c r="B17" s="28"/>
      <c r="C17" s="28"/>
      <c r="D17" s="28"/>
      <c r="E17" s="30">
        <f>E15-E16</f>
        <v>-4004500</v>
      </c>
      <c r="F17" s="14"/>
      <c r="H17" s="9">
        <v>16</v>
      </c>
      <c r="L17" s="9">
        <v>16</v>
      </c>
    </row>
    <row r="18" spans="1:12" x14ac:dyDescent="0.2">
      <c r="F18" s="14"/>
      <c r="H18" s="9">
        <v>17</v>
      </c>
      <c r="L18" s="9">
        <v>17</v>
      </c>
    </row>
    <row r="19" spans="1:12" ht="15.75" x14ac:dyDescent="0.25">
      <c r="A19" s="9" t="s">
        <v>17</v>
      </c>
      <c r="B19" s="11"/>
      <c r="C19" s="11"/>
      <c r="D19" s="11"/>
      <c r="E19" s="32"/>
      <c r="F19" s="9"/>
      <c r="G19" s="9"/>
      <c r="H19" s="9">
        <v>18</v>
      </c>
      <c r="L19" s="9">
        <v>18</v>
      </c>
    </row>
    <row r="20" spans="1:12" ht="15.75" x14ac:dyDescent="0.25">
      <c r="B20" s="11"/>
      <c r="C20" s="14"/>
      <c r="D20" s="11"/>
      <c r="E20" s="33"/>
      <c r="F20" s="9"/>
      <c r="G20" s="9"/>
      <c r="H20" s="9">
        <v>19</v>
      </c>
      <c r="L20" s="9">
        <v>19</v>
      </c>
    </row>
    <row r="21" spans="1:12" ht="15.75" x14ac:dyDescent="0.25">
      <c r="A21" s="11" t="s">
        <v>18</v>
      </c>
      <c r="B21" s="34">
        <v>0</v>
      </c>
      <c r="C21" s="14"/>
      <c r="D21" s="11"/>
      <c r="E21" s="33"/>
      <c r="F21" s="9"/>
      <c r="G21" s="9"/>
      <c r="H21" s="9">
        <v>20</v>
      </c>
      <c r="L21" s="9">
        <v>20</v>
      </c>
    </row>
    <row r="22" spans="1:12" ht="15.75" x14ac:dyDescent="0.25">
      <c r="A22" s="11" t="s">
        <v>19</v>
      </c>
      <c r="B22" s="35">
        <f>SUM(E11:E12)</f>
        <v>0</v>
      </c>
      <c r="H22" s="9">
        <v>21</v>
      </c>
      <c r="L22" s="9">
        <v>21</v>
      </c>
    </row>
    <row r="23" spans="1:12" x14ac:dyDescent="0.2">
      <c r="H23" s="9">
        <v>22</v>
      </c>
      <c r="L23" s="9">
        <v>22</v>
      </c>
    </row>
    <row r="24" spans="1:12" x14ac:dyDescent="0.2">
      <c r="H24" s="9">
        <v>23</v>
      </c>
      <c r="L24" s="9">
        <v>23</v>
      </c>
    </row>
    <row r="25" spans="1:12" x14ac:dyDescent="0.2">
      <c r="C25" s="14"/>
      <c r="D25" s="10"/>
      <c r="F25" s="9"/>
      <c r="G25" s="9"/>
      <c r="H25" s="9">
        <v>24</v>
      </c>
      <c r="L25" s="9">
        <v>24</v>
      </c>
    </row>
    <row r="26" spans="1:12" ht="15.75" x14ac:dyDescent="0.25">
      <c r="A26" s="36" t="s">
        <v>20</v>
      </c>
      <c r="B26" s="11" t="s">
        <v>21</v>
      </c>
      <c r="C26" s="10"/>
      <c r="E26" s="33" t="s">
        <v>22</v>
      </c>
      <c r="F26" s="9"/>
      <c r="G26" s="9"/>
      <c r="H26" s="9">
        <v>25</v>
      </c>
      <c r="L26" s="9">
        <v>25</v>
      </c>
    </row>
    <row r="27" spans="1:12" ht="15.75" x14ac:dyDescent="0.25">
      <c r="A27" s="37" t="s">
        <v>23</v>
      </c>
      <c r="B27" s="38" t="s">
        <v>24</v>
      </c>
      <c r="C27" s="39"/>
      <c r="E27" s="12" t="s">
        <v>25</v>
      </c>
      <c r="F27" s="9"/>
      <c r="G27" s="9"/>
      <c r="H27" s="9">
        <v>26</v>
      </c>
      <c r="L27" s="9">
        <v>26</v>
      </c>
    </row>
    <row r="28" spans="1:12" ht="15.75" x14ac:dyDescent="0.25">
      <c r="A28" s="36" t="s">
        <v>26</v>
      </c>
      <c r="B28" s="11" t="s">
        <v>26</v>
      </c>
      <c r="C28" s="10"/>
      <c r="E28" s="40" t="s">
        <v>26</v>
      </c>
      <c r="F28" s="9"/>
      <c r="G28" s="9"/>
      <c r="H28" s="9">
        <v>27</v>
      </c>
      <c r="L28" s="9">
        <v>27</v>
      </c>
    </row>
    <row r="29" spans="1:12" ht="15.75" x14ac:dyDescent="0.25">
      <c r="A29" s="36"/>
      <c r="B29" s="41"/>
      <c r="C29" s="10"/>
      <c r="D29" s="10"/>
      <c r="F29" s="9"/>
      <c r="G29" s="9"/>
      <c r="H29" s="9">
        <v>28</v>
      </c>
      <c r="L29" s="9">
        <v>28</v>
      </c>
    </row>
    <row r="30" spans="1:12" x14ac:dyDescent="0.2">
      <c r="B30" s="41"/>
      <c r="C30" s="10"/>
      <c r="D30" s="10"/>
      <c r="F30" s="9"/>
      <c r="G30" s="9"/>
      <c r="H30" s="9">
        <v>29</v>
      </c>
      <c r="L30" s="9">
        <v>29</v>
      </c>
    </row>
    <row r="31" spans="1:12" x14ac:dyDescent="0.2">
      <c r="H31" s="9">
        <v>30</v>
      </c>
      <c r="L31" s="9">
        <v>30</v>
      </c>
    </row>
    <row r="32" spans="1:12" x14ac:dyDescent="0.2">
      <c r="H32" s="9">
        <v>31</v>
      </c>
      <c r="I32" s="42"/>
      <c r="L32" s="9">
        <v>31</v>
      </c>
    </row>
    <row r="33" spans="1:12" x14ac:dyDescent="0.2">
      <c r="L33" s="9">
        <v>32</v>
      </c>
    </row>
    <row r="34" spans="1:12" x14ac:dyDescent="0.2">
      <c r="L34" s="9">
        <v>33</v>
      </c>
    </row>
    <row r="35" spans="1:12" ht="15.75" x14ac:dyDescent="0.25">
      <c r="A35" s="11" t="s">
        <v>27</v>
      </c>
      <c r="E35" s="9"/>
      <c r="F35" s="9"/>
      <c r="G35" s="31"/>
      <c r="L35" s="9">
        <v>34</v>
      </c>
    </row>
    <row r="36" spans="1:12" x14ac:dyDescent="0.2">
      <c r="L36" s="9">
        <v>35</v>
      </c>
    </row>
    <row r="37" spans="1:12" x14ac:dyDescent="0.2">
      <c r="L37" s="9">
        <v>36</v>
      </c>
    </row>
    <row r="38" spans="1:12" x14ac:dyDescent="0.2">
      <c r="L38" s="9">
        <v>37</v>
      </c>
    </row>
    <row r="39" spans="1:12" x14ac:dyDescent="0.2">
      <c r="L39" s="9">
        <v>38</v>
      </c>
    </row>
    <row r="40" spans="1:12" x14ac:dyDescent="0.2">
      <c r="L40" s="9">
        <v>39</v>
      </c>
    </row>
    <row r="41" spans="1:12" x14ac:dyDescent="0.2">
      <c r="L41" s="9">
        <v>40</v>
      </c>
    </row>
    <row r="42" spans="1:12" x14ac:dyDescent="0.2">
      <c r="L42" s="9">
        <v>41</v>
      </c>
    </row>
    <row r="43" spans="1:12" x14ac:dyDescent="0.2">
      <c r="L43" s="9">
        <v>42</v>
      </c>
    </row>
    <row r="44" spans="1:12" x14ac:dyDescent="0.2">
      <c r="L44" s="9">
        <v>43</v>
      </c>
    </row>
    <row r="45" spans="1:12" x14ac:dyDescent="0.2">
      <c r="L45" s="9">
        <v>44</v>
      </c>
    </row>
    <row r="46" spans="1:12" x14ac:dyDescent="0.2">
      <c r="L46" s="9">
        <v>45</v>
      </c>
    </row>
    <row r="47" spans="1:12" x14ac:dyDescent="0.2">
      <c r="L47" s="9">
        <v>46</v>
      </c>
    </row>
    <row r="48" spans="1:12" x14ac:dyDescent="0.2">
      <c r="L48" s="9">
        <v>47</v>
      </c>
    </row>
    <row r="49" spans="12:12" x14ac:dyDescent="0.2">
      <c r="L49" s="9">
        <v>48</v>
      </c>
    </row>
    <row r="50" spans="12:12" x14ac:dyDescent="0.2">
      <c r="L50" s="9">
        <v>49</v>
      </c>
    </row>
    <row r="51" spans="12:12" x14ac:dyDescent="0.2">
      <c r="L51" s="9">
        <v>50</v>
      </c>
    </row>
    <row r="52" spans="12:12" x14ac:dyDescent="0.2">
      <c r="L52" s="9">
        <v>51</v>
      </c>
    </row>
    <row r="53" spans="12:12" x14ac:dyDescent="0.2">
      <c r="L53" s="9">
        <v>52</v>
      </c>
    </row>
    <row r="54" spans="12:12" x14ac:dyDescent="0.2">
      <c r="L54" s="9">
        <v>53</v>
      </c>
    </row>
    <row r="55" spans="12:12" x14ac:dyDescent="0.2">
      <c r="L55" s="9">
        <v>54</v>
      </c>
    </row>
    <row r="56" spans="12:12" x14ac:dyDescent="0.2">
      <c r="L56" s="9">
        <v>55</v>
      </c>
    </row>
    <row r="57" spans="12:12" x14ac:dyDescent="0.2">
      <c r="L57" s="9">
        <v>56</v>
      </c>
    </row>
    <row r="58" spans="12:12" x14ac:dyDescent="0.2">
      <c r="L58" s="9">
        <v>57</v>
      </c>
    </row>
    <row r="59" spans="12:12" x14ac:dyDescent="0.2">
      <c r="L59" s="9">
        <v>58</v>
      </c>
    </row>
    <row r="60" spans="12:12" x14ac:dyDescent="0.2">
      <c r="L60" s="9">
        <v>59</v>
      </c>
    </row>
    <row r="61" spans="12:12" x14ac:dyDescent="0.2">
      <c r="L61" s="9">
        <v>60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Filter_fep">
          <controlPr defaultSize="0" autoLine="0" r:id="rId5">
            <anchor moveWithCells="1">
              <from>
                <xdr:col>2</xdr:col>
                <xdr:colOff>638175</xdr:colOff>
                <xdr:row>19</xdr:row>
                <xdr:rowOff>171450</xdr:rowOff>
              </from>
              <to>
                <xdr:col>3</xdr:col>
                <xdr:colOff>923925</xdr:colOff>
                <xdr:row>22</xdr:row>
                <xdr:rowOff>28575</xdr:rowOff>
              </to>
            </anchor>
          </controlPr>
        </control>
      </mc:Choice>
      <mc:Fallback>
        <control shapeId="1027" r:id="rId4" name="Filter_fep"/>
      </mc:Fallback>
    </mc:AlternateContent>
    <mc:AlternateContent xmlns:mc="http://schemas.openxmlformats.org/markup-compatibility/2006">
      <mc:Choice Requires="x14">
        <control shapeId="1025" r:id="rId6" name="initializeRecon">
          <controlPr defaultSize="0" autoLine="0" autoPict="0" r:id="rId7">
            <anchor moveWithCells="1">
              <from>
                <xdr:col>5</xdr:col>
                <xdr:colOff>952500</xdr:colOff>
                <xdr:row>16</xdr:row>
                <xdr:rowOff>85725</xdr:rowOff>
              </from>
              <to>
                <xdr:col>6</xdr:col>
                <xdr:colOff>609600</xdr:colOff>
                <xdr:row>18</xdr:row>
                <xdr:rowOff>76200</xdr:rowOff>
              </to>
            </anchor>
          </controlPr>
        </control>
      </mc:Choice>
      <mc:Fallback>
        <control shapeId="1025" r:id="rId6" name="initializeRec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6436D-D0A8-4F45-B917-9399DAAE1B3A}">
  <sheetPr codeName="Sheet12"/>
  <dimension ref="A1"/>
  <sheetViews>
    <sheetView tabSelected="1" topLeftCell="A2" workbookViewId="0">
      <selection activeCell="D16" sqref="D16"/>
    </sheetView>
  </sheetViews>
  <sheetFormatPr defaultRowHeight="15" x14ac:dyDescent="0.25"/>
  <cols>
    <col min="1" max="1" width="10" bestFit="1" customWidth="1"/>
    <col min="2" max="2" width="36.28515625" bestFit="1" customWidth="1"/>
    <col min="5" max="5" width="9.71093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D38"/>
  <sheetViews>
    <sheetView topLeftCell="A3" workbookViewId="0">
      <selection activeCell="J4" sqref="J4"/>
    </sheetView>
  </sheetViews>
  <sheetFormatPr defaultRowHeight="15" x14ac:dyDescent="0.25"/>
  <cols>
    <col min="1" max="1" width="9" bestFit="1" customWidth="1"/>
    <col min="3" max="3" width="25.28515625" customWidth="1"/>
    <col min="4" max="4" width="16.5703125" customWidth="1"/>
    <col min="5" max="5" width="24.5703125" customWidth="1"/>
    <col min="6" max="6" width="21.42578125" bestFit="1" customWidth="1"/>
    <col min="7" max="7" width="21.85546875" bestFit="1" customWidth="1"/>
    <col min="8" max="8" width="10" bestFit="1" customWidth="1"/>
    <col min="9" max="9" width="12.5703125" customWidth="1"/>
    <col min="10" max="10" width="13.5703125" customWidth="1"/>
    <col min="11" max="11" width="20.85546875" customWidth="1"/>
  </cols>
  <sheetData>
    <row r="1" spans="1:11" ht="20.25" x14ac:dyDescent="0.3">
      <c r="A1" s="233" t="s">
        <v>28</v>
      </c>
      <c r="B1" s="234"/>
      <c r="C1" s="234"/>
      <c r="D1" s="234"/>
      <c r="E1" s="234"/>
      <c r="F1" s="234"/>
      <c r="G1" s="234"/>
      <c r="H1" s="234"/>
      <c r="I1" s="234"/>
      <c r="J1" s="43"/>
      <c r="K1" s="44"/>
    </row>
    <row r="2" spans="1:11" x14ac:dyDescent="0.25">
      <c r="A2" s="46"/>
      <c r="B2" s="47"/>
      <c r="C2" s="48"/>
      <c r="D2" s="48"/>
      <c r="E2" s="48"/>
      <c r="F2" s="48"/>
      <c r="G2" s="48"/>
      <c r="H2" s="48"/>
      <c r="I2" s="49"/>
      <c r="J2" s="49"/>
      <c r="K2" s="50"/>
    </row>
    <row r="3" spans="1:11" ht="27" thickBot="1" x14ac:dyDescent="0.3">
      <c r="A3" s="51" t="s">
        <v>29</v>
      </c>
      <c r="B3" s="52" t="s">
        <v>30</v>
      </c>
      <c r="C3" s="53" t="s">
        <v>31</v>
      </c>
      <c r="D3" s="53"/>
      <c r="E3" s="52" t="s">
        <v>32</v>
      </c>
      <c r="F3" s="54" t="s">
        <v>33</v>
      </c>
      <c r="G3" s="55" t="s">
        <v>33</v>
      </c>
      <c r="H3" s="56" t="s">
        <v>34</v>
      </c>
      <c r="I3" s="57" t="s">
        <v>35</v>
      </c>
      <c r="J3" s="58" t="s">
        <v>36</v>
      </c>
      <c r="K3" s="59" t="s">
        <v>37</v>
      </c>
    </row>
    <row r="4" spans="1:11" ht="15.75" thickBot="1" x14ac:dyDescent="0.3">
      <c r="A4" s="60" t="s">
        <v>1748</v>
      </c>
      <c r="B4" s="47" t="s">
        <v>38</v>
      </c>
      <c r="C4" s="61" t="s">
        <v>39</v>
      </c>
      <c r="D4" s="48" t="s">
        <v>6</v>
      </c>
      <c r="E4" s="48"/>
      <c r="F4" s="62"/>
      <c r="G4" s="63">
        <v>0</v>
      </c>
      <c r="H4" s="64"/>
      <c r="I4" s="49"/>
      <c r="J4" s="226" t="s">
        <v>1746</v>
      </c>
      <c r="K4" s="226" t="s">
        <v>1746</v>
      </c>
    </row>
    <row r="5" spans="1:11" x14ac:dyDescent="0.25">
      <c r="A5" s="46"/>
      <c r="B5" s="65" t="s">
        <v>40</v>
      </c>
      <c r="C5" s="48" t="s">
        <v>41</v>
      </c>
      <c r="D5" s="48" t="s">
        <v>42</v>
      </c>
      <c r="E5" s="48">
        <v>0</v>
      </c>
      <c r="F5" s="66">
        <f>E5*1000</f>
        <v>0</v>
      </c>
      <c r="G5" s="67" t="s">
        <v>43</v>
      </c>
      <c r="H5" s="48"/>
      <c r="I5" s="49"/>
      <c r="J5" s="49"/>
      <c r="K5" s="50"/>
    </row>
    <row r="6" spans="1:11" x14ac:dyDescent="0.25">
      <c r="A6" s="46"/>
      <c r="B6" s="65" t="s">
        <v>44</v>
      </c>
      <c r="C6" s="61" t="s">
        <v>41</v>
      </c>
      <c r="D6" s="48" t="s">
        <v>45</v>
      </c>
      <c r="E6" s="45">
        <v>0</v>
      </c>
      <c r="F6" s="66">
        <f>E6*1000</f>
        <v>0</v>
      </c>
      <c r="G6" s="66"/>
      <c r="H6" s="48"/>
      <c r="I6" s="49"/>
      <c r="J6" s="49"/>
      <c r="K6" s="50"/>
    </row>
    <row r="7" spans="1:11" x14ac:dyDescent="0.25">
      <c r="A7" s="46"/>
      <c r="B7" s="65" t="s">
        <v>46</v>
      </c>
      <c r="C7" s="48" t="s">
        <v>47</v>
      </c>
      <c r="D7" s="48" t="s">
        <v>42</v>
      </c>
      <c r="E7" s="48">
        <v>0</v>
      </c>
      <c r="F7" s="66">
        <f>E7*1000</f>
        <v>0</v>
      </c>
      <c r="G7" s="66"/>
      <c r="H7" s="48"/>
      <c r="I7" s="49"/>
      <c r="J7" s="49"/>
      <c r="K7" s="50"/>
    </row>
    <row r="8" spans="1:11" x14ac:dyDescent="0.25">
      <c r="A8" s="46"/>
      <c r="B8" s="65" t="s">
        <v>48</v>
      </c>
      <c r="C8" s="48" t="s">
        <v>47</v>
      </c>
      <c r="D8" s="48" t="s">
        <v>45</v>
      </c>
      <c r="E8" s="48">
        <v>0</v>
      </c>
      <c r="F8" s="66">
        <f>E8*500</f>
        <v>0</v>
      </c>
      <c r="G8" s="66"/>
      <c r="H8" s="48"/>
      <c r="I8" s="49"/>
      <c r="J8" s="49"/>
      <c r="K8" s="50"/>
    </row>
    <row r="9" spans="1:11" x14ac:dyDescent="0.25">
      <c r="A9" s="46"/>
      <c r="B9" s="65" t="s">
        <v>49</v>
      </c>
      <c r="C9" s="48" t="s">
        <v>50</v>
      </c>
      <c r="D9" s="48" t="s">
        <v>42</v>
      </c>
      <c r="E9" s="48" t="str">
        <f>CERTIFICATE!D11</f>
        <v>0</v>
      </c>
      <c r="F9" s="66">
        <f>E9*1000</f>
        <v>0</v>
      </c>
      <c r="G9" s="66"/>
      <c r="H9" s="68"/>
      <c r="I9" s="49"/>
      <c r="J9" s="49"/>
      <c r="K9" s="50"/>
    </row>
    <row r="10" spans="1:11" ht="15.75" thickBot="1" x14ac:dyDescent="0.3">
      <c r="A10" s="46"/>
      <c r="B10" s="65" t="s">
        <v>51</v>
      </c>
      <c r="C10" s="48" t="s">
        <v>50</v>
      </c>
      <c r="D10" s="48" t="s">
        <v>45</v>
      </c>
      <c r="E10" s="48" t="str">
        <f>CERTIFICATE!D12</f>
        <v>0</v>
      </c>
      <c r="F10" s="66">
        <f>E10*500</f>
        <v>0</v>
      </c>
      <c r="G10" s="69"/>
      <c r="H10" s="48"/>
      <c r="I10" s="49"/>
      <c r="J10" s="49"/>
      <c r="K10" s="50"/>
    </row>
    <row r="11" spans="1:11" ht="15.75" thickBot="1" x14ac:dyDescent="0.3">
      <c r="A11" s="46"/>
      <c r="B11" s="47" t="s">
        <v>52</v>
      </c>
      <c r="C11" s="48" t="s">
        <v>53</v>
      </c>
      <c r="D11" s="48"/>
      <c r="E11" s="48"/>
      <c r="F11" s="70"/>
      <c r="G11" s="71">
        <f>SUM(F5:F10)</f>
        <v>0</v>
      </c>
      <c r="H11" s="72"/>
      <c r="I11" s="49"/>
      <c r="J11" s="49"/>
      <c r="K11" s="50"/>
    </row>
    <row r="12" spans="1:11" ht="41.25" thickBot="1" x14ac:dyDescent="0.3">
      <c r="A12" s="46"/>
      <c r="B12" s="47" t="s">
        <v>54</v>
      </c>
      <c r="C12" s="74" t="s">
        <v>55</v>
      </c>
      <c r="D12" s="48"/>
      <c r="E12" s="48"/>
      <c r="F12" s="75"/>
      <c r="G12" s="71">
        <f>G4-G11</f>
        <v>0</v>
      </c>
      <c r="H12" s="72"/>
      <c r="I12" s="49"/>
      <c r="J12" s="49"/>
      <c r="K12" s="50"/>
    </row>
    <row r="13" spans="1:11" x14ac:dyDescent="0.25">
      <c r="A13" s="76"/>
      <c r="B13" s="77" t="s">
        <v>56</v>
      </c>
      <c r="C13" s="78" t="s">
        <v>57</v>
      </c>
      <c r="D13" s="79"/>
      <c r="E13" s="79"/>
      <c r="F13" s="79"/>
      <c r="G13" s="80"/>
      <c r="H13" s="78"/>
      <c r="I13" s="81"/>
      <c r="J13" s="81"/>
      <c r="K13" s="82"/>
    </row>
    <row r="14" spans="1:11" ht="15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</row>
    <row r="15" spans="1:11" ht="15.75" x14ac:dyDescent="0.25">
      <c r="A15" s="48"/>
      <c r="B15" s="83"/>
      <c r="C15" s="84"/>
      <c r="D15" s="48"/>
      <c r="E15" s="48"/>
      <c r="F15" s="48"/>
      <c r="G15" s="85"/>
      <c r="H15" s="48"/>
      <c r="I15" s="49"/>
      <c r="J15" s="49"/>
      <c r="K15" s="48"/>
    </row>
    <row r="16" spans="1:11" x14ac:dyDescent="0.25">
      <c r="A16" s="45"/>
      <c r="B16" s="45"/>
      <c r="C16" s="45"/>
      <c r="D16" s="45"/>
      <c r="E16" s="73"/>
      <c r="F16" s="73"/>
      <c r="G16" s="86"/>
      <c r="H16" s="45"/>
      <c r="I16" s="87"/>
      <c r="J16" s="87"/>
      <c r="K16" s="45"/>
    </row>
    <row r="17" spans="1:16384" x14ac:dyDescent="0.25">
      <c r="A17" s="45"/>
      <c r="B17" s="45"/>
      <c r="C17" s="45"/>
      <c r="D17" s="45"/>
      <c r="E17" s="45"/>
      <c r="F17" s="45"/>
      <c r="G17" s="73"/>
      <c r="H17" s="45"/>
      <c r="I17" s="87"/>
      <c r="J17" s="87"/>
      <c r="K17" s="45"/>
    </row>
    <row r="18" spans="1:16384" ht="15.75" thickBot="1" x14ac:dyDescent="0.3">
      <c r="A18" s="45"/>
      <c r="B18" s="45"/>
      <c r="C18" s="45"/>
      <c r="D18" s="45"/>
      <c r="E18" s="45"/>
      <c r="F18" s="45"/>
      <c r="G18" s="45"/>
      <c r="H18" s="45"/>
      <c r="I18" s="87"/>
      <c r="J18" s="87"/>
      <c r="K18" s="45"/>
    </row>
    <row r="19" spans="1:16384" ht="15.75" thickBot="1" x14ac:dyDescent="0.3">
      <c r="A19" s="45"/>
      <c r="B19" s="45"/>
      <c r="C19" s="88" t="s">
        <v>58</v>
      </c>
      <c r="D19" s="45"/>
      <c r="E19" s="45"/>
      <c r="F19" s="89">
        <v>1651000</v>
      </c>
      <c r="G19" s="45"/>
      <c r="H19" s="45"/>
      <c r="I19" s="87"/>
      <c r="J19" s="87"/>
      <c r="K19" s="45"/>
    </row>
    <row r="20" spans="1:16384" ht="15.75" thickBot="1" x14ac:dyDescent="0.3">
      <c r="A20" s="45"/>
      <c r="B20" s="45"/>
      <c r="C20" s="45"/>
      <c r="D20" s="45"/>
      <c r="E20" s="45"/>
      <c r="F20" s="45"/>
      <c r="G20" s="45"/>
      <c r="H20" s="45"/>
      <c r="I20" s="87"/>
      <c r="J20" s="87"/>
      <c r="K20" s="45"/>
    </row>
    <row r="21" spans="1:16384" ht="15.75" thickBot="1" x14ac:dyDescent="0.3">
      <c r="A21" s="45"/>
      <c r="B21" s="45"/>
      <c r="C21" s="45" t="s">
        <v>59</v>
      </c>
      <c r="D21" s="45"/>
      <c r="E21" s="45"/>
      <c r="F21" s="89">
        <f>G12-F19</f>
        <v>-1651000</v>
      </c>
      <c r="G21" s="90"/>
      <c r="H21" s="45"/>
      <c r="I21" s="87"/>
      <c r="J21" s="87"/>
      <c r="K21" s="45"/>
    </row>
    <row r="22" spans="1:16384" ht="15.75" thickBot="1" x14ac:dyDescent="0.3">
      <c r="A22" s="45"/>
      <c r="B22" s="45"/>
      <c r="C22" s="45"/>
      <c r="D22" s="45"/>
      <c r="E22" s="45"/>
      <c r="F22" s="45"/>
      <c r="G22" s="45"/>
      <c r="H22" s="45"/>
      <c r="I22" s="87"/>
      <c r="J22" s="87"/>
      <c r="K22" s="45"/>
    </row>
    <row r="23" spans="1:16384" ht="15.75" thickBot="1" x14ac:dyDescent="0.3">
      <c r="A23" s="45"/>
      <c r="B23" s="45"/>
      <c r="C23" s="45" t="s">
        <v>60</v>
      </c>
      <c r="D23" s="45"/>
      <c r="E23" s="45"/>
      <c r="F23" s="89">
        <f>SUM(I26:I580)</f>
        <v>20000</v>
      </c>
      <c r="G23" s="45"/>
      <c r="H23" s="45"/>
      <c r="I23" s="87"/>
      <c r="J23" s="87"/>
      <c r="K23" s="45"/>
    </row>
    <row r="26" spans="1:16384" ht="19.5" customHeight="1" x14ac:dyDescent="0.25"/>
    <row r="27" spans="1:16384" ht="19.5" customHeight="1" x14ac:dyDescent="0.25"/>
    <row r="28" spans="1:16384" ht="19.5" customHeight="1" x14ac:dyDescent="0.25"/>
    <row r="29" spans="1:16384" ht="19.5" customHeight="1" x14ac:dyDescent="0.25"/>
    <row r="30" spans="1:16384" ht="19.5" customHeight="1" x14ac:dyDescent="0.25">
      <c r="A30">
        <v>10442918</v>
      </c>
      <c r="B30" t="s">
        <v>131</v>
      </c>
      <c r="C30" t="s">
        <v>148</v>
      </c>
      <c r="D30">
        <v>552</v>
      </c>
      <c r="E30">
        <v>981954786</v>
      </c>
      <c r="F30" t="s">
        <v>116</v>
      </c>
      <c r="G30" s="230">
        <v>43584.365324074075</v>
      </c>
      <c r="H30">
        <v>20000</v>
      </c>
      <c r="I30">
        <v>20000</v>
      </c>
      <c r="J30">
        <v>777323034</v>
      </c>
      <c r="K30" t="e">
        <v>#N/A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  <c r="Z30" t="e">
        <v>#N/A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 t="e">
        <v>#N/A</v>
      </c>
      <c r="BQ30" t="e">
        <v>#N/A</v>
      </c>
      <c r="BR30" t="e">
        <v>#N/A</v>
      </c>
      <c r="BS30" t="e">
        <v>#N/A</v>
      </c>
      <c r="BT30" t="e">
        <v>#N/A</v>
      </c>
      <c r="BU30" t="e">
        <v>#N/A</v>
      </c>
      <c r="BV30" t="e">
        <v>#N/A</v>
      </c>
      <c r="BW30" t="e">
        <v>#N/A</v>
      </c>
      <c r="BX30" t="e">
        <v>#N/A</v>
      </c>
      <c r="BY30" t="e">
        <v>#N/A</v>
      </c>
      <c r="BZ30" t="e">
        <v>#N/A</v>
      </c>
      <c r="CA30" t="e">
        <v>#N/A</v>
      </c>
      <c r="CB30" t="e">
        <v>#N/A</v>
      </c>
      <c r="CC30" t="e">
        <v>#N/A</v>
      </c>
      <c r="CD30" t="e">
        <v>#N/A</v>
      </c>
      <c r="CE30" t="e">
        <v>#N/A</v>
      </c>
      <c r="CF30" t="e">
        <v>#N/A</v>
      </c>
      <c r="CG30" t="e">
        <v>#N/A</v>
      </c>
      <c r="CH30" t="e">
        <v>#N/A</v>
      </c>
      <c r="CI30" t="e">
        <v>#N/A</v>
      </c>
      <c r="CJ30" t="e">
        <v>#N/A</v>
      </c>
      <c r="CK30" t="e">
        <v>#N/A</v>
      </c>
      <c r="CL30" t="e">
        <v>#N/A</v>
      </c>
      <c r="CM30" t="e">
        <v>#N/A</v>
      </c>
      <c r="CN30" t="e">
        <v>#N/A</v>
      </c>
      <c r="CO30" t="e">
        <v>#N/A</v>
      </c>
      <c r="CP30" t="e">
        <v>#N/A</v>
      </c>
      <c r="CQ30" t="e">
        <v>#N/A</v>
      </c>
      <c r="CR30" t="e">
        <v>#N/A</v>
      </c>
      <c r="CS30" t="e">
        <v>#N/A</v>
      </c>
      <c r="CT30" t="e">
        <v>#N/A</v>
      </c>
      <c r="CU30" t="e">
        <v>#N/A</v>
      </c>
      <c r="CV30" t="e">
        <v>#N/A</v>
      </c>
      <c r="CW30" t="e">
        <v>#N/A</v>
      </c>
      <c r="CX30" t="e">
        <v>#N/A</v>
      </c>
      <c r="CY30" t="e">
        <v>#N/A</v>
      </c>
      <c r="CZ30" t="e">
        <v>#N/A</v>
      </c>
      <c r="DA30" t="e">
        <v>#N/A</v>
      </c>
      <c r="DB30" t="e">
        <v>#N/A</v>
      </c>
      <c r="DC30" t="e">
        <v>#N/A</v>
      </c>
      <c r="DD30" t="e">
        <v>#N/A</v>
      </c>
      <c r="DE30" t="e">
        <v>#N/A</v>
      </c>
      <c r="DF30" t="e">
        <v>#N/A</v>
      </c>
      <c r="DG30" t="e">
        <v>#N/A</v>
      </c>
      <c r="DH30" t="e">
        <v>#N/A</v>
      </c>
      <c r="DI30" t="e">
        <v>#N/A</v>
      </c>
      <c r="DJ30" t="e">
        <v>#N/A</v>
      </c>
      <c r="DK30" t="e">
        <v>#N/A</v>
      </c>
      <c r="DL30" t="e">
        <v>#N/A</v>
      </c>
      <c r="DM30" t="e">
        <v>#N/A</v>
      </c>
      <c r="DN30" t="e">
        <v>#N/A</v>
      </c>
      <c r="DO30" t="e">
        <v>#N/A</v>
      </c>
      <c r="DP30" t="e">
        <v>#N/A</v>
      </c>
      <c r="DQ30" t="e">
        <v>#N/A</v>
      </c>
      <c r="DR30" t="e">
        <v>#N/A</v>
      </c>
      <c r="DS30" t="e">
        <v>#N/A</v>
      </c>
      <c r="DT30" t="e">
        <v>#N/A</v>
      </c>
      <c r="DU30" t="e">
        <v>#N/A</v>
      </c>
      <c r="DV30" t="e">
        <v>#N/A</v>
      </c>
      <c r="DW30" t="e">
        <v>#N/A</v>
      </c>
      <c r="DX30" t="e">
        <v>#N/A</v>
      </c>
      <c r="DY30" t="e">
        <v>#N/A</v>
      </c>
      <c r="DZ30" t="e">
        <v>#N/A</v>
      </c>
      <c r="EA30" t="e">
        <v>#N/A</v>
      </c>
      <c r="EB30" t="e">
        <v>#N/A</v>
      </c>
      <c r="EC30" t="e">
        <v>#N/A</v>
      </c>
      <c r="ED30" t="e">
        <v>#N/A</v>
      </c>
      <c r="EE30" t="e">
        <v>#N/A</v>
      </c>
      <c r="EF30" t="e">
        <v>#N/A</v>
      </c>
      <c r="EG30" t="e">
        <v>#N/A</v>
      </c>
      <c r="EH30" t="e">
        <v>#N/A</v>
      </c>
      <c r="EI30" t="e">
        <v>#N/A</v>
      </c>
      <c r="EJ30" t="e">
        <v>#N/A</v>
      </c>
      <c r="EK30" t="e">
        <v>#N/A</v>
      </c>
      <c r="EL30" t="e">
        <v>#N/A</v>
      </c>
      <c r="EM30" t="e">
        <v>#N/A</v>
      </c>
      <c r="EN30" t="e">
        <v>#N/A</v>
      </c>
      <c r="EO30" t="e">
        <v>#N/A</v>
      </c>
      <c r="EP30" t="e">
        <v>#N/A</v>
      </c>
      <c r="EQ30" t="e">
        <v>#N/A</v>
      </c>
      <c r="ER30" t="e">
        <v>#N/A</v>
      </c>
      <c r="ES30" t="e">
        <v>#N/A</v>
      </c>
      <c r="ET30" t="e">
        <v>#N/A</v>
      </c>
      <c r="EU30" t="e">
        <v>#N/A</v>
      </c>
      <c r="EV30" t="e">
        <v>#N/A</v>
      </c>
      <c r="EW30" t="e">
        <v>#N/A</v>
      </c>
      <c r="EX30" t="e">
        <v>#N/A</v>
      </c>
      <c r="EY30" t="e">
        <v>#N/A</v>
      </c>
      <c r="EZ30" t="e">
        <v>#N/A</v>
      </c>
      <c r="FA30" t="e">
        <v>#N/A</v>
      </c>
      <c r="FB30" t="e">
        <v>#N/A</v>
      </c>
      <c r="FC30" t="e">
        <v>#N/A</v>
      </c>
      <c r="FD30" t="e">
        <v>#N/A</v>
      </c>
      <c r="FE30" t="e">
        <v>#N/A</v>
      </c>
      <c r="FF30" t="e">
        <v>#N/A</v>
      </c>
      <c r="FG30" t="e">
        <v>#N/A</v>
      </c>
      <c r="FH30" t="e">
        <v>#N/A</v>
      </c>
      <c r="FI30" t="e">
        <v>#N/A</v>
      </c>
      <c r="FJ30" t="e">
        <v>#N/A</v>
      </c>
      <c r="FK30" t="e">
        <v>#N/A</v>
      </c>
      <c r="FL30" t="e">
        <v>#N/A</v>
      </c>
      <c r="FM30" t="e">
        <v>#N/A</v>
      </c>
      <c r="FN30" t="e">
        <v>#N/A</v>
      </c>
      <c r="FO30" t="e">
        <v>#N/A</v>
      </c>
      <c r="FP30" t="e">
        <v>#N/A</v>
      </c>
      <c r="FQ30" t="e">
        <v>#N/A</v>
      </c>
      <c r="FR30" t="e">
        <v>#N/A</v>
      </c>
      <c r="FS30" t="e">
        <v>#N/A</v>
      </c>
      <c r="FT30" t="e">
        <v>#N/A</v>
      </c>
      <c r="FU30" t="e">
        <v>#N/A</v>
      </c>
      <c r="FV30" t="e">
        <v>#N/A</v>
      </c>
      <c r="FW30" t="e">
        <v>#N/A</v>
      </c>
      <c r="FX30" t="e">
        <v>#N/A</v>
      </c>
      <c r="FY30" t="e">
        <v>#N/A</v>
      </c>
      <c r="FZ30" t="e">
        <v>#N/A</v>
      </c>
      <c r="GA30" t="e">
        <v>#N/A</v>
      </c>
      <c r="GB30" t="e">
        <v>#N/A</v>
      </c>
      <c r="GC30" t="e">
        <v>#N/A</v>
      </c>
      <c r="GD30" t="e">
        <v>#N/A</v>
      </c>
      <c r="GE30" t="e">
        <v>#N/A</v>
      </c>
      <c r="GF30" t="e">
        <v>#N/A</v>
      </c>
      <c r="GG30" t="e">
        <v>#N/A</v>
      </c>
      <c r="GH30" t="e">
        <v>#N/A</v>
      </c>
      <c r="GI30" t="e">
        <v>#N/A</v>
      </c>
      <c r="GJ30" t="e">
        <v>#N/A</v>
      </c>
      <c r="GK30" t="e">
        <v>#N/A</v>
      </c>
      <c r="GL30" t="e">
        <v>#N/A</v>
      </c>
      <c r="GM30" t="e">
        <v>#N/A</v>
      </c>
      <c r="GN30" t="e">
        <v>#N/A</v>
      </c>
      <c r="GO30" t="e">
        <v>#N/A</v>
      </c>
      <c r="GP30" t="e">
        <v>#N/A</v>
      </c>
      <c r="GQ30" t="e">
        <v>#N/A</v>
      </c>
      <c r="GR30" t="e">
        <v>#N/A</v>
      </c>
      <c r="GS30" t="e">
        <v>#N/A</v>
      </c>
      <c r="GT30" t="e">
        <v>#N/A</v>
      </c>
      <c r="GU30" t="e">
        <v>#N/A</v>
      </c>
      <c r="GV30" t="e">
        <v>#N/A</v>
      </c>
      <c r="GW30" t="e">
        <v>#N/A</v>
      </c>
      <c r="GX30" t="e">
        <v>#N/A</v>
      </c>
      <c r="GY30" t="e">
        <v>#N/A</v>
      </c>
      <c r="GZ30" t="e">
        <v>#N/A</v>
      </c>
      <c r="HA30" t="e">
        <v>#N/A</v>
      </c>
      <c r="HB30" t="e">
        <v>#N/A</v>
      </c>
      <c r="HC30" t="e">
        <v>#N/A</v>
      </c>
      <c r="HD30" t="e">
        <v>#N/A</v>
      </c>
      <c r="HE30" t="e">
        <v>#N/A</v>
      </c>
      <c r="HF30" t="e">
        <v>#N/A</v>
      </c>
      <c r="HG30" t="e">
        <v>#N/A</v>
      </c>
      <c r="HH30" t="e">
        <v>#N/A</v>
      </c>
      <c r="HI30" t="e">
        <v>#N/A</v>
      </c>
      <c r="HJ30" t="e">
        <v>#N/A</v>
      </c>
      <c r="HK30" t="e">
        <v>#N/A</v>
      </c>
      <c r="HL30" t="e">
        <v>#N/A</v>
      </c>
      <c r="HM30" t="e">
        <v>#N/A</v>
      </c>
      <c r="HN30" t="e">
        <v>#N/A</v>
      </c>
      <c r="HO30" t="e">
        <v>#N/A</v>
      </c>
      <c r="HP30" t="e">
        <v>#N/A</v>
      </c>
      <c r="HQ30" t="e">
        <v>#N/A</v>
      </c>
      <c r="HR30" t="e">
        <v>#N/A</v>
      </c>
      <c r="HS30" t="e">
        <v>#N/A</v>
      </c>
      <c r="HT30" t="e">
        <v>#N/A</v>
      </c>
      <c r="HU30" t="e">
        <v>#N/A</v>
      </c>
      <c r="HV30" t="e">
        <v>#N/A</v>
      </c>
      <c r="HW30" t="e">
        <v>#N/A</v>
      </c>
      <c r="HX30" t="e">
        <v>#N/A</v>
      </c>
      <c r="HY30" t="e">
        <v>#N/A</v>
      </c>
      <c r="HZ30" t="e">
        <v>#N/A</v>
      </c>
      <c r="IA30" t="e">
        <v>#N/A</v>
      </c>
      <c r="IB30" t="e">
        <v>#N/A</v>
      </c>
      <c r="IC30" t="e">
        <v>#N/A</v>
      </c>
      <c r="ID30" t="e">
        <v>#N/A</v>
      </c>
      <c r="IE30" t="e">
        <v>#N/A</v>
      </c>
      <c r="IF30" t="e">
        <v>#N/A</v>
      </c>
      <c r="IG30" t="e">
        <v>#N/A</v>
      </c>
      <c r="IH30" t="e">
        <v>#N/A</v>
      </c>
      <c r="II30" t="e">
        <v>#N/A</v>
      </c>
      <c r="IJ30" t="e">
        <v>#N/A</v>
      </c>
      <c r="IK30" t="e">
        <v>#N/A</v>
      </c>
      <c r="IL30" t="e">
        <v>#N/A</v>
      </c>
      <c r="IM30" t="e">
        <v>#N/A</v>
      </c>
      <c r="IN30" t="e">
        <v>#N/A</v>
      </c>
      <c r="IO30" t="e">
        <v>#N/A</v>
      </c>
      <c r="IP30" t="e">
        <v>#N/A</v>
      </c>
      <c r="IQ30" t="e">
        <v>#N/A</v>
      </c>
      <c r="IR30" t="e">
        <v>#N/A</v>
      </c>
      <c r="IS30" t="e">
        <v>#N/A</v>
      </c>
      <c r="IT30" t="e">
        <v>#N/A</v>
      </c>
      <c r="IU30" t="e">
        <v>#N/A</v>
      </c>
      <c r="IV30" t="e">
        <v>#N/A</v>
      </c>
      <c r="IW30" t="e">
        <v>#N/A</v>
      </c>
      <c r="IX30" t="e">
        <v>#N/A</v>
      </c>
      <c r="IY30" t="e">
        <v>#N/A</v>
      </c>
      <c r="IZ30" t="e">
        <v>#N/A</v>
      </c>
      <c r="JA30" t="e">
        <v>#N/A</v>
      </c>
      <c r="JB30" t="e">
        <v>#N/A</v>
      </c>
      <c r="JC30" t="e">
        <v>#N/A</v>
      </c>
      <c r="JD30" t="e">
        <v>#N/A</v>
      </c>
      <c r="JE30" t="e">
        <v>#N/A</v>
      </c>
      <c r="JF30" t="e">
        <v>#N/A</v>
      </c>
      <c r="JG30" t="e">
        <v>#N/A</v>
      </c>
      <c r="JH30" t="e">
        <v>#N/A</v>
      </c>
      <c r="JI30" t="e">
        <v>#N/A</v>
      </c>
      <c r="JJ30" t="e">
        <v>#N/A</v>
      </c>
      <c r="JK30" t="e">
        <v>#N/A</v>
      </c>
      <c r="JL30" t="e">
        <v>#N/A</v>
      </c>
      <c r="JM30" t="e">
        <v>#N/A</v>
      </c>
      <c r="JN30" t="e">
        <v>#N/A</v>
      </c>
      <c r="JO30" t="e">
        <v>#N/A</v>
      </c>
      <c r="JP30" t="e">
        <v>#N/A</v>
      </c>
      <c r="JQ30" t="e">
        <v>#N/A</v>
      </c>
      <c r="JR30" t="e">
        <v>#N/A</v>
      </c>
      <c r="JS30" t="e">
        <v>#N/A</v>
      </c>
      <c r="JT30" t="e">
        <v>#N/A</v>
      </c>
      <c r="JU30" t="e">
        <v>#N/A</v>
      </c>
      <c r="JV30" t="e">
        <v>#N/A</v>
      </c>
      <c r="JW30" t="e">
        <v>#N/A</v>
      </c>
      <c r="JX30" t="e">
        <v>#N/A</v>
      </c>
      <c r="JY30" t="e">
        <v>#N/A</v>
      </c>
      <c r="JZ30" t="e">
        <v>#N/A</v>
      </c>
      <c r="KA30" t="e">
        <v>#N/A</v>
      </c>
      <c r="KB30" t="e">
        <v>#N/A</v>
      </c>
      <c r="KC30" t="e">
        <v>#N/A</v>
      </c>
      <c r="KD30" t="e">
        <v>#N/A</v>
      </c>
      <c r="KE30" t="e">
        <v>#N/A</v>
      </c>
      <c r="KF30" t="e">
        <v>#N/A</v>
      </c>
      <c r="KG30" t="e">
        <v>#N/A</v>
      </c>
      <c r="KH30" t="e">
        <v>#N/A</v>
      </c>
      <c r="KI30" t="e">
        <v>#N/A</v>
      </c>
      <c r="KJ30" t="e">
        <v>#N/A</v>
      </c>
      <c r="KK30" t="e">
        <v>#N/A</v>
      </c>
      <c r="KL30" t="e">
        <v>#N/A</v>
      </c>
      <c r="KM30" t="e">
        <v>#N/A</v>
      </c>
      <c r="KN30" t="e">
        <v>#N/A</v>
      </c>
      <c r="KO30" t="e">
        <v>#N/A</v>
      </c>
      <c r="KP30" t="e">
        <v>#N/A</v>
      </c>
      <c r="KQ30" t="e">
        <v>#N/A</v>
      </c>
      <c r="KR30" t="e">
        <v>#N/A</v>
      </c>
      <c r="KS30" t="e">
        <v>#N/A</v>
      </c>
      <c r="KT30" t="e">
        <v>#N/A</v>
      </c>
      <c r="KU30" t="e">
        <v>#N/A</v>
      </c>
      <c r="KV30" t="e">
        <v>#N/A</v>
      </c>
      <c r="KW30" t="e">
        <v>#N/A</v>
      </c>
      <c r="KX30" t="e">
        <v>#N/A</v>
      </c>
      <c r="KY30" t="e">
        <v>#N/A</v>
      </c>
      <c r="KZ30" t="e">
        <v>#N/A</v>
      </c>
      <c r="LA30" t="e">
        <v>#N/A</v>
      </c>
      <c r="LB30" t="e">
        <v>#N/A</v>
      </c>
      <c r="LC30" t="e">
        <v>#N/A</v>
      </c>
      <c r="LD30" t="e">
        <v>#N/A</v>
      </c>
      <c r="LE30" t="e">
        <v>#N/A</v>
      </c>
      <c r="LF30" t="e">
        <v>#N/A</v>
      </c>
      <c r="LG30" t="e">
        <v>#N/A</v>
      </c>
      <c r="LH30" t="e">
        <v>#N/A</v>
      </c>
      <c r="LI30" t="e">
        <v>#N/A</v>
      </c>
      <c r="LJ30" t="e">
        <v>#N/A</v>
      </c>
      <c r="LK30" t="e">
        <v>#N/A</v>
      </c>
      <c r="LL30" t="e">
        <v>#N/A</v>
      </c>
      <c r="LM30" t="e">
        <v>#N/A</v>
      </c>
      <c r="LN30" t="e">
        <v>#N/A</v>
      </c>
      <c r="LO30" t="e">
        <v>#N/A</v>
      </c>
      <c r="LP30" t="e">
        <v>#N/A</v>
      </c>
      <c r="LQ30" t="e">
        <v>#N/A</v>
      </c>
      <c r="LR30" t="e">
        <v>#N/A</v>
      </c>
      <c r="LS30" t="e">
        <v>#N/A</v>
      </c>
      <c r="LT30" t="e">
        <v>#N/A</v>
      </c>
      <c r="LU30" t="e">
        <v>#N/A</v>
      </c>
      <c r="LV30" t="e">
        <v>#N/A</v>
      </c>
      <c r="LW30" t="e">
        <v>#N/A</v>
      </c>
      <c r="LX30" t="e">
        <v>#N/A</v>
      </c>
      <c r="LY30" t="e">
        <v>#N/A</v>
      </c>
      <c r="LZ30" t="e">
        <v>#N/A</v>
      </c>
      <c r="MA30" t="e">
        <v>#N/A</v>
      </c>
      <c r="MB30" t="e">
        <v>#N/A</v>
      </c>
      <c r="MC30" t="e">
        <v>#N/A</v>
      </c>
      <c r="MD30" t="e">
        <v>#N/A</v>
      </c>
      <c r="ME30" t="e">
        <v>#N/A</v>
      </c>
      <c r="MF30" t="e">
        <v>#N/A</v>
      </c>
      <c r="MG30" t="e">
        <v>#N/A</v>
      </c>
      <c r="MH30" t="e">
        <v>#N/A</v>
      </c>
      <c r="MI30" t="e">
        <v>#N/A</v>
      </c>
      <c r="MJ30" t="e">
        <v>#N/A</v>
      </c>
      <c r="MK30" t="e">
        <v>#N/A</v>
      </c>
      <c r="ML30" t="e">
        <v>#N/A</v>
      </c>
      <c r="MM30" t="e">
        <v>#N/A</v>
      </c>
      <c r="MN30" t="e">
        <v>#N/A</v>
      </c>
      <c r="MO30" t="e">
        <v>#N/A</v>
      </c>
      <c r="MP30" t="e">
        <v>#N/A</v>
      </c>
      <c r="MQ30" t="e">
        <v>#N/A</v>
      </c>
      <c r="MR30" t="e">
        <v>#N/A</v>
      </c>
      <c r="MS30" t="e">
        <v>#N/A</v>
      </c>
      <c r="MT30" t="e">
        <v>#N/A</v>
      </c>
      <c r="MU30" t="e">
        <v>#N/A</v>
      </c>
      <c r="MV30" t="e">
        <v>#N/A</v>
      </c>
      <c r="MW30" t="e">
        <v>#N/A</v>
      </c>
      <c r="MX30" t="e">
        <v>#N/A</v>
      </c>
      <c r="MY30" t="e">
        <v>#N/A</v>
      </c>
      <c r="MZ30" t="e">
        <v>#N/A</v>
      </c>
      <c r="NA30" t="e">
        <v>#N/A</v>
      </c>
      <c r="NB30" t="e">
        <v>#N/A</v>
      </c>
      <c r="NC30" t="e">
        <v>#N/A</v>
      </c>
      <c r="ND30" t="e">
        <v>#N/A</v>
      </c>
      <c r="NE30" t="e">
        <v>#N/A</v>
      </c>
      <c r="NF30" t="e">
        <v>#N/A</v>
      </c>
      <c r="NG30" t="e">
        <v>#N/A</v>
      </c>
      <c r="NH30" t="e">
        <v>#N/A</v>
      </c>
      <c r="NI30" t="e">
        <v>#N/A</v>
      </c>
      <c r="NJ30" t="e">
        <v>#N/A</v>
      </c>
      <c r="NK30" t="e">
        <v>#N/A</v>
      </c>
      <c r="NL30" t="e">
        <v>#N/A</v>
      </c>
      <c r="NM30" t="e">
        <v>#N/A</v>
      </c>
      <c r="NN30" t="e">
        <v>#N/A</v>
      </c>
      <c r="NO30" t="e">
        <v>#N/A</v>
      </c>
      <c r="NP30" t="e">
        <v>#N/A</v>
      </c>
      <c r="NQ30" t="e">
        <v>#N/A</v>
      </c>
      <c r="NR30" t="e">
        <v>#N/A</v>
      </c>
      <c r="NS30" t="e">
        <v>#N/A</v>
      </c>
      <c r="NT30" t="e">
        <v>#N/A</v>
      </c>
      <c r="NU30" t="e">
        <v>#N/A</v>
      </c>
      <c r="NV30" t="e">
        <v>#N/A</v>
      </c>
      <c r="NW30" t="e">
        <v>#N/A</v>
      </c>
      <c r="NX30" t="e">
        <v>#N/A</v>
      </c>
      <c r="NY30" t="e">
        <v>#N/A</v>
      </c>
      <c r="NZ30" t="e">
        <v>#N/A</v>
      </c>
      <c r="OA30" t="e">
        <v>#N/A</v>
      </c>
      <c r="OB30" t="e">
        <v>#N/A</v>
      </c>
      <c r="OC30" t="e">
        <v>#N/A</v>
      </c>
      <c r="OD30" t="e">
        <v>#N/A</v>
      </c>
      <c r="OE30" t="e">
        <v>#N/A</v>
      </c>
      <c r="OF30" t="e">
        <v>#N/A</v>
      </c>
      <c r="OG30" t="e">
        <v>#N/A</v>
      </c>
      <c r="OH30" t="e">
        <v>#N/A</v>
      </c>
      <c r="OI30" t="e">
        <v>#N/A</v>
      </c>
      <c r="OJ30" t="e">
        <v>#N/A</v>
      </c>
      <c r="OK30" t="e">
        <v>#N/A</v>
      </c>
      <c r="OL30" t="e">
        <v>#N/A</v>
      </c>
      <c r="OM30" t="e">
        <v>#N/A</v>
      </c>
      <c r="ON30" t="e">
        <v>#N/A</v>
      </c>
      <c r="OO30" t="e">
        <v>#N/A</v>
      </c>
      <c r="OP30" t="e">
        <v>#N/A</v>
      </c>
      <c r="OQ30" t="e">
        <v>#N/A</v>
      </c>
      <c r="OR30" t="e">
        <v>#N/A</v>
      </c>
      <c r="OS30" t="e">
        <v>#N/A</v>
      </c>
      <c r="OT30" t="e">
        <v>#N/A</v>
      </c>
      <c r="OU30" t="e">
        <v>#N/A</v>
      </c>
      <c r="OV30" t="e">
        <v>#N/A</v>
      </c>
      <c r="OW30" t="e">
        <v>#N/A</v>
      </c>
      <c r="OX30" t="e">
        <v>#N/A</v>
      </c>
      <c r="OY30" t="e">
        <v>#N/A</v>
      </c>
      <c r="OZ30" t="e">
        <v>#N/A</v>
      </c>
      <c r="PA30" t="e">
        <v>#N/A</v>
      </c>
      <c r="PB30" t="e">
        <v>#N/A</v>
      </c>
      <c r="PC30" t="e">
        <v>#N/A</v>
      </c>
      <c r="PD30" t="e">
        <v>#N/A</v>
      </c>
      <c r="PE30" t="e">
        <v>#N/A</v>
      </c>
      <c r="PF30" t="e">
        <v>#N/A</v>
      </c>
      <c r="PG30" t="e">
        <v>#N/A</v>
      </c>
      <c r="PH30" t="e">
        <v>#N/A</v>
      </c>
      <c r="PI30" t="e">
        <v>#N/A</v>
      </c>
      <c r="PJ30" t="e">
        <v>#N/A</v>
      </c>
      <c r="PK30" t="e">
        <v>#N/A</v>
      </c>
      <c r="PL30" t="e">
        <v>#N/A</v>
      </c>
      <c r="PM30" t="e">
        <v>#N/A</v>
      </c>
      <c r="PN30" t="e">
        <v>#N/A</v>
      </c>
      <c r="PO30" t="e">
        <v>#N/A</v>
      </c>
      <c r="PP30" t="e">
        <v>#N/A</v>
      </c>
      <c r="PQ30" t="e">
        <v>#N/A</v>
      </c>
      <c r="PR30" t="e">
        <v>#N/A</v>
      </c>
      <c r="PS30" t="e">
        <v>#N/A</v>
      </c>
      <c r="PT30" t="e">
        <v>#N/A</v>
      </c>
      <c r="PU30" t="e">
        <v>#N/A</v>
      </c>
      <c r="PV30" t="e">
        <v>#N/A</v>
      </c>
      <c r="PW30" t="e">
        <v>#N/A</v>
      </c>
      <c r="PX30" t="e">
        <v>#N/A</v>
      </c>
      <c r="PY30" t="e">
        <v>#N/A</v>
      </c>
      <c r="PZ30" t="e">
        <v>#N/A</v>
      </c>
      <c r="QA30" t="e">
        <v>#N/A</v>
      </c>
      <c r="QB30" t="e">
        <v>#N/A</v>
      </c>
      <c r="QC30" t="e">
        <v>#N/A</v>
      </c>
      <c r="QD30" t="e">
        <v>#N/A</v>
      </c>
      <c r="QE30" t="e">
        <v>#N/A</v>
      </c>
      <c r="QF30" t="e">
        <v>#N/A</v>
      </c>
      <c r="QG30" t="e">
        <v>#N/A</v>
      </c>
      <c r="QH30" t="e">
        <v>#N/A</v>
      </c>
      <c r="QI30" t="e">
        <v>#N/A</v>
      </c>
      <c r="QJ30" t="e">
        <v>#N/A</v>
      </c>
      <c r="QK30" t="e">
        <v>#N/A</v>
      </c>
      <c r="QL30" t="e">
        <v>#N/A</v>
      </c>
      <c r="QM30" t="e">
        <v>#N/A</v>
      </c>
      <c r="QN30" t="e">
        <v>#N/A</v>
      </c>
      <c r="QO30" t="e">
        <v>#N/A</v>
      </c>
      <c r="QP30" t="e">
        <v>#N/A</v>
      </c>
      <c r="QQ30" t="e">
        <v>#N/A</v>
      </c>
      <c r="QR30" t="e">
        <v>#N/A</v>
      </c>
      <c r="QS30" t="e">
        <v>#N/A</v>
      </c>
      <c r="QT30" t="e">
        <v>#N/A</v>
      </c>
      <c r="QU30" t="e">
        <v>#N/A</v>
      </c>
      <c r="QV30" t="e">
        <v>#N/A</v>
      </c>
      <c r="QW30" t="e">
        <v>#N/A</v>
      </c>
      <c r="QX30" t="e">
        <v>#N/A</v>
      </c>
      <c r="QY30" t="e">
        <v>#N/A</v>
      </c>
      <c r="QZ30" t="e">
        <v>#N/A</v>
      </c>
      <c r="RA30" t="e">
        <v>#N/A</v>
      </c>
      <c r="RB30" t="e">
        <v>#N/A</v>
      </c>
      <c r="RC30" t="e">
        <v>#N/A</v>
      </c>
      <c r="RD30" t="e">
        <v>#N/A</v>
      </c>
      <c r="RE30" t="e">
        <v>#N/A</v>
      </c>
      <c r="RF30" t="e">
        <v>#N/A</v>
      </c>
      <c r="RG30" t="e">
        <v>#N/A</v>
      </c>
      <c r="RH30" t="e">
        <v>#N/A</v>
      </c>
      <c r="RI30" t="e">
        <v>#N/A</v>
      </c>
      <c r="RJ30" t="e">
        <v>#N/A</v>
      </c>
      <c r="RK30" t="e">
        <v>#N/A</v>
      </c>
      <c r="RL30" t="e">
        <v>#N/A</v>
      </c>
      <c r="RM30" t="e">
        <v>#N/A</v>
      </c>
      <c r="RN30" t="e">
        <v>#N/A</v>
      </c>
      <c r="RO30" t="e">
        <v>#N/A</v>
      </c>
      <c r="RP30" t="e">
        <v>#N/A</v>
      </c>
      <c r="RQ30" t="e">
        <v>#N/A</v>
      </c>
      <c r="RR30" t="e">
        <v>#N/A</v>
      </c>
      <c r="RS30" t="e">
        <v>#N/A</v>
      </c>
      <c r="RT30" t="e">
        <v>#N/A</v>
      </c>
      <c r="RU30" t="e">
        <v>#N/A</v>
      </c>
      <c r="RV30" t="e">
        <v>#N/A</v>
      </c>
      <c r="RW30" t="e">
        <v>#N/A</v>
      </c>
      <c r="RX30" t="e">
        <v>#N/A</v>
      </c>
      <c r="RY30" t="e">
        <v>#N/A</v>
      </c>
      <c r="RZ30" t="e">
        <v>#N/A</v>
      </c>
      <c r="SA30" t="e">
        <v>#N/A</v>
      </c>
      <c r="SB30" t="e">
        <v>#N/A</v>
      </c>
      <c r="SC30" t="e">
        <v>#N/A</v>
      </c>
      <c r="SD30" t="e">
        <v>#N/A</v>
      </c>
      <c r="SE30" t="e">
        <v>#N/A</v>
      </c>
      <c r="SF30" t="e">
        <v>#N/A</v>
      </c>
      <c r="SG30" t="e">
        <v>#N/A</v>
      </c>
      <c r="SH30" t="e">
        <v>#N/A</v>
      </c>
      <c r="SI30" t="e">
        <v>#N/A</v>
      </c>
      <c r="SJ30" t="e">
        <v>#N/A</v>
      </c>
      <c r="SK30" t="e">
        <v>#N/A</v>
      </c>
      <c r="SL30" t="e">
        <v>#N/A</v>
      </c>
      <c r="SM30" t="e">
        <v>#N/A</v>
      </c>
      <c r="SN30" t="e">
        <v>#N/A</v>
      </c>
      <c r="SO30" t="e">
        <v>#N/A</v>
      </c>
      <c r="SP30" t="e">
        <v>#N/A</v>
      </c>
      <c r="SQ30" t="e">
        <v>#N/A</v>
      </c>
      <c r="SR30" t="e">
        <v>#N/A</v>
      </c>
      <c r="SS30" t="e">
        <v>#N/A</v>
      </c>
      <c r="ST30" t="e">
        <v>#N/A</v>
      </c>
      <c r="SU30" t="e">
        <v>#N/A</v>
      </c>
      <c r="SV30" t="e">
        <v>#N/A</v>
      </c>
      <c r="SW30" t="e">
        <v>#N/A</v>
      </c>
      <c r="SX30" t="e">
        <v>#N/A</v>
      </c>
      <c r="SY30" t="e">
        <v>#N/A</v>
      </c>
      <c r="SZ30" t="e">
        <v>#N/A</v>
      </c>
      <c r="TA30" t="e">
        <v>#N/A</v>
      </c>
      <c r="TB30" t="e">
        <v>#N/A</v>
      </c>
      <c r="TC30" t="e">
        <v>#N/A</v>
      </c>
      <c r="TD30" t="e">
        <v>#N/A</v>
      </c>
      <c r="TE30" t="e">
        <v>#N/A</v>
      </c>
      <c r="TF30" t="e">
        <v>#N/A</v>
      </c>
      <c r="TG30" t="e">
        <v>#N/A</v>
      </c>
      <c r="TH30" t="e">
        <v>#N/A</v>
      </c>
      <c r="TI30" t="e">
        <v>#N/A</v>
      </c>
      <c r="TJ30" t="e">
        <v>#N/A</v>
      </c>
      <c r="TK30" t="e">
        <v>#N/A</v>
      </c>
      <c r="TL30" t="e">
        <v>#N/A</v>
      </c>
      <c r="TM30" t="e">
        <v>#N/A</v>
      </c>
      <c r="TN30" t="e">
        <v>#N/A</v>
      </c>
      <c r="TO30" t="e">
        <v>#N/A</v>
      </c>
      <c r="TP30" t="e">
        <v>#N/A</v>
      </c>
      <c r="TQ30" t="e">
        <v>#N/A</v>
      </c>
      <c r="TR30" t="e">
        <v>#N/A</v>
      </c>
      <c r="TS30" t="e">
        <v>#N/A</v>
      </c>
      <c r="TT30" t="e">
        <v>#N/A</v>
      </c>
      <c r="TU30" t="e">
        <v>#N/A</v>
      </c>
      <c r="TV30" t="e">
        <v>#N/A</v>
      </c>
      <c r="TW30" t="e">
        <v>#N/A</v>
      </c>
      <c r="TX30" t="e">
        <v>#N/A</v>
      </c>
      <c r="TY30" t="e">
        <v>#N/A</v>
      </c>
      <c r="TZ30" t="e">
        <v>#N/A</v>
      </c>
      <c r="UA30" t="e">
        <v>#N/A</v>
      </c>
      <c r="UB30" t="e">
        <v>#N/A</v>
      </c>
      <c r="UC30" t="e">
        <v>#N/A</v>
      </c>
      <c r="UD30" t="e">
        <v>#N/A</v>
      </c>
      <c r="UE30" t="e">
        <v>#N/A</v>
      </c>
      <c r="UF30" t="e">
        <v>#N/A</v>
      </c>
      <c r="UG30" t="e">
        <v>#N/A</v>
      </c>
      <c r="UH30" t="e">
        <v>#N/A</v>
      </c>
      <c r="UI30" t="e">
        <v>#N/A</v>
      </c>
      <c r="UJ30" t="e">
        <v>#N/A</v>
      </c>
      <c r="UK30" t="e">
        <v>#N/A</v>
      </c>
      <c r="UL30" t="e">
        <v>#N/A</v>
      </c>
      <c r="UM30" t="e">
        <v>#N/A</v>
      </c>
      <c r="UN30" t="e">
        <v>#N/A</v>
      </c>
      <c r="UO30" t="e">
        <v>#N/A</v>
      </c>
      <c r="UP30" t="e">
        <v>#N/A</v>
      </c>
      <c r="UQ30" t="e">
        <v>#N/A</v>
      </c>
      <c r="UR30" t="e">
        <v>#N/A</v>
      </c>
      <c r="US30" t="e">
        <v>#N/A</v>
      </c>
      <c r="UT30" t="e">
        <v>#N/A</v>
      </c>
      <c r="UU30" t="e">
        <v>#N/A</v>
      </c>
      <c r="UV30" t="e">
        <v>#N/A</v>
      </c>
      <c r="UW30" t="e">
        <v>#N/A</v>
      </c>
      <c r="UX30" t="e">
        <v>#N/A</v>
      </c>
      <c r="UY30" t="e">
        <v>#N/A</v>
      </c>
      <c r="UZ30" t="e">
        <v>#N/A</v>
      </c>
      <c r="VA30" t="e">
        <v>#N/A</v>
      </c>
      <c r="VB30" t="e">
        <v>#N/A</v>
      </c>
      <c r="VC30" t="e">
        <v>#N/A</v>
      </c>
      <c r="VD30" t="e">
        <v>#N/A</v>
      </c>
      <c r="VE30" t="e">
        <v>#N/A</v>
      </c>
      <c r="VF30" t="e">
        <v>#N/A</v>
      </c>
      <c r="VG30" t="e">
        <v>#N/A</v>
      </c>
      <c r="VH30" t="e">
        <v>#N/A</v>
      </c>
      <c r="VI30" t="e">
        <v>#N/A</v>
      </c>
      <c r="VJ30" t="e">
        <v>#N/A</v>
      </c>
      <c r="VK30" t="e">
        <v>#N/A</v>
      </c>
      <c r="VL30" t="e">
        <v>#N/A</v>
      </c>
      <c r="VM30" t="e">
        <v>#N/A</v>
      </c>
      <c r="VN30" t="e">
        <v>#N/A</v>
      </c>
      <c r="VO30" t="e">
        <v>#N/A</v>
      </c>
      <c r="VP30" t="e">
        <v>#N/A</v>
      </c>
      <c r="VQ30" t="e">
        <v>#N/A</v>
      </c>
      <c r="VR30" t="e">
        <v>#N/A</v>
      </c>
      <c r="VS30" t="e">
        <v>#N/A</v>
      </c>
      <c r="VT30" t="e">
        <v>#N/A</v>
      </c>
      <c r="VU30" t="e">
        <v>#N/A</v>
      </c>
      <c r="VV30" t="e">
        <v>#N/A</v>
      </c>
      <c r="VW30" t="e">
        <v>#N/A</v>
      </c>
      <c r="VX30" t="e">
        <v>#N/A</v>
      </c>
      <c r="VY30" t="e">
        <v>#N/A</v>
      </c>
      <c r="VZ30" t="e">
        <v>#N/A</v>
      </c>
      <c r="WA30" t="e">
        <v>#N/A</v>
      </c>
      <c r="WB30" t="e">
        <v>#N/A</v>
      </c>
      <c r="WC30" t="e">
        <v>#N/A</v>
      </c>
      <c r="WD30" t="e">
        <v>#N/A</v>
      </c>
      <c r="WE30" t="e">
        <v>#N/A</v>
      </c>
      <c r="WF30" t="e">
        <v>#N/A</v>
      </c>
      <c r="WG30" t="e">
        <v>#N/A</v>
      </c>
      <c r="WH30" t="e">
        <v>#N/A</v>
      </c>
      <c r="WI30" t="e">
        <v>#N/A</v>
      </c>
      <c r="WJ30" t="e">
        <v>#N/A</v>
      </c>
      <c r="WK30" t="e">
        <v>#N/A</v>
      </c>
      <c r="WL30" t="e">
        <v>#N/A</v>
      </c>
      <c r="WM30" t="e">
        <v>#N/A</v>
      </c>
      <c r="WN30" t="e">
        <v>#N/A</v>
      </c>
      <c r="WO30" t="e">
        <v>#N/A</v>
      </c>
      <c r="WP30" t="e">
        <v>#N/A</v>
      </c>
      <c r="WQ30" t="e">
        <v>#N/A</v>
      </c>
      <c r="WR30" t="e">
        <v>#N/A</v>
      </c>
      <c r="WS30" t="e">
        <v>#N/A</v>
      </c>
      <c r="WT30" t="e">
        <v>#N/A</v>
      </c>
      <c r="WU30" t="e">
        <v>#N/A</v>
      </c>
      <c r="WV30" t="e">
        <v>#N/A</v>
      </c>
      <c r="WW30" t="e">
        <v>#N/A</v>
      </c>
      <c r="WX30" t="e">
        <v>#N/A</v>
      </c>
      <c r="WY30" t="e">
        <v>#N/A</v>
      </c>
      <c r="WZ30" t="e">
        <v>#N/A</v>
      </c>
      <c r="XA30" t="e">
        <v>#N/A</v>
      </c>
      <c r="XB30" t="e">
        <v>#N/A</v>
      </c>
      <c r="XC30" t="e">
        <v>#N/A</v>
      </c>
      <c r="XD30" t="e">
        <v>#N/A</v>
      </c>
      <c r="XE30" t="e">
        <v>#N/A</v>
      </c>
      <c r="XF30" t="e">
        <v>#N/A</v>
      </c>
      <c r="XG30" t="e">
        <v>#N/A</v>
      </c>
      <c r="XH30" t="e">
        <v>#N/A</v>
      </c>
      <c r="XI30" t="e">
        <v>#N/A</v>
      </c>
      <c r="XJ30" t="e">
        <v>#N/A</v>
      </c>
      <c r="XK30" t="e">
        <v>#N/A</v>
      </c>
      <c r="XL30" t="e">
        <v>#N/A</v>
      </c>
      <c r="XM30" t="e">
        <v>#N/A</v>
      </c>
      <c r="XN30" t="e">
        <v>#N/A</v>
      </c>
      <c r="XO30" t="e">
        <v>#N/A</v>
      </c>
      <c r="XP30" t="e">
        <v>#N/A</v>
      </c>
      <c r="XQ30" t="e">
        <v>#N/A</v>
      </c>
      <c r="XR30" t="e">
        <v>#N/A</v>
      </c>
      <c r="XS30" t="e">
        <v>#N/A</v>
      </c>
      <c r="XT30" t="e">
        <v>#N/A</v>
      </c>
      <c r="XU30" t="e">
        <v>#N/A</v>
      </c>
      <c r="XV30" t="e">
        <v>#N/A</v>
      </c>
      <c r="XW30" t="e">
        <v>#N/A</v>
      </c>
      <c r="XX30" t="e">
        <v>#N/A</v>
      </c>
      <c r="XY30" t="e">
        <v>#N/A</v>
      </c>
      <c r="XZ30" t="e">
        <v>#N/A</v>
      </c>
      <c r="YA30" t="e">
        <v>#N/A</v>
      </c>
      <c r="YB30" t="e">
        <v>#N/A</v>
      </c>
      <c r="YC30" t="e">
        <v>#N/A</v>
      </c>
      <c r="YD30" t="e">
        <v>#N/A</v>
      </c>
      <c r="YE30" t="e">
        <v>#N/A</v>
      </c>
      <c r="YF30" t="e">
        <v>#N/A</v>
      </c>
      <c r="YG30" t="e">
        <v>#N/A</v>
      </c>
      <c r="YH30" t="e">
        <v>#N/A</v>
      </c>
      <c r="YI30" t="e">
        <v>#N/A</v>
      </c>
      <c r="YJ30" t="e">
        <v>#N/A</v>
      </c>
      <c r="YK30" t="e">
        <v>#N/A</v>
      </c>
      <c r="YL30" t="e">
        <v>#N/A</v>
      </c>
      <c r="YM30" t="e">
        <v>#N/A</v>
      </c>
      <c r="YN30" t="e">
        <v>#N/A</v>
      </c>
      <c r="YO30" t="e">
        <v>#N/A</v>
      </c>
      <c r="YP30" t="e">
        <v>#N/A</v>
      </c>
      <c r="YQ30" t="e">
        <v>#N/A</v>
      </c>
      <c r="YR30" t="e">
        <v>#N/A</v>
      </c>
      <c r="YS30" t="e">
        <v>#N/A</v>
      </c>
      <c r="YT30" t="e">
        <v>#N/A</v>
      </c>
      <c r="YU30" t="e">
        <v>#N/A</v>
      </c>
      <c r="YV30" t="e">
        <v>#N/A</v>
      </c>
      <c r="YW30" t="e">
        <v>#N/A</v>
      </c>
      <c r="YX30" t="e">
        <v>#N/A</v>
      </c>
      <c r="YY30" t="e">
        <v>#N/A</v>
      </c>
      <c r="YZ30" t="e">
        <v>#N/A</v>
      </c>
      <c r="ZA30" t="e">
        <v>#N/A</v>
      </c>
      <c r="ZB30" t="e">
        <v>#N/A</v>
      </c>
      <c r="ZC30" t="e">
        <v>#N/A</v>
      </c>
      <c r="ZD30" t="e">
        <v>#N/A</v>
      </c>
      <c r="ZE30" t="e">
        <v>#N/A</v>
      </c>
      <c r="ZF30" t="e">
        <v>#N/A</v>
      </c>
      <c r="ZG30" t="e">
        <v>#N/A</v>
      </c>
      <c r="ZH30" t="e">
        <v>#N/A</v>
      </c>
      <c r="ZI30" t="e">
        <v>#N/A</v>
      </c>
      <c r="ZJ30" t="e">
        <v>#N/A</v>
      </c>
      <c r="ZK30" t="e">
        <v>#N/A</v>
      </c>
      <c r="ZL30" t="e">
        <v>#N/A</v>
      </c>
      <c r="ZM30" t="e">
        <v>#N/A</v>
      </c>
      <c r="ZN30" t="e">
        <v>#N/A</v>
      </c>
      <c r="ZO30" t="e">
        <v>#N/A</v>
      </c>
      <c r="ZP30" t="e">
        <v>#N/A</v>
      </c>
      <c r="ZQ30" t="e">
        <v>#N/A</v>
      </c>
      <c r="ZR30" t="e">
        <v>#N/A</v>
      </c>
      <c r="ZS30" t="e">
        <v>#N/A</v>
      </c>
      <c r="ZT30" t="e">
        <v>#N/A</v>
      </c>
      <c r="ZU30" t="e">
        <v>#N/A</v>
      </c>
      <c r="ZV30" t="e">
        <v>#N/A</v>
      </c>
      <c r="ZW30" t="e">
        <v>#N/A</v>
      </c>
      <c r="ZX30" t="e">
        <v>#N/A</v>
      </c>
      <c r="ZY30" t="e">
        <v>#N/A</v>
      </c>
      <c r="ZZ30" t="e">
        <v>#N/A</v>
      </c>
      <c r="AAA30" t="e">
        <v>#N/A</v>
      </c>
      <c r="AAB30" t="e">
        <v>#N/A</v>
      </c>
      <c r="AAC30" t="e">
        <v>#N/A</v>
      </c>
      <c r="AAD30" t="e">
        <v>#N/A</v>
      </c>
      <c r="AAE30" t="e">
        <v>#N/A</v>
      </c>
      <c r="AAF30" t="e">
        <v>#N/A</v>
      </c>
      <c r="AAG30" t="e">
        <v>#N/A</v>
      </c>
      <c r="AAH30" t="e">
        <v>#N/A</v>
      </c>
      <c r="AAI30" t="e">
        <v>#N/A</v>
      </c>
      <c r="AAJ30" t="e">
        <v>#N/A</v>
      </c>
      <c r="AAK30" t="e">
        <v>#N/A</v>
      </c>
      <c r="AAL30" t="e">
        <v>#N/A</v>
      </c>
      <c r="AAM30" t="e">
        <v>#N/A</v>
      </c>
      <c r="AAN30" t="e">
        <v>#N/A</v>
      </c>
      <c r="AAO30" t="e">
        <v>#N/A</v>
      </c>
      <c r="AAP30" t="e">
        <v>#N/A</v>
      </c>
      <c r="AAQ30" t="e">
        <v>#N/A</v>
      </c>
      <c r="AAR30" t="e">
        <v>#N/A</v>
      </c>
      <c r="AAS30" t="e">
        <v>#N/A</v>
      </c>
      <c r="AAT30" t="e">
        <v>#N/A</v>
      </c>
      <c r="AAU30" t="e">
        <v>#N/A</v>
      </c>
      <c r="AAV30" t="e">
        <v>#N/A</v>
      </c>
      <c r="AAW30" t="e">
        <v>#N/A</v>
      </c>
      <c r="AAX30" t="e">
        <v>#N/A</v>
      </c>
      <c r="AAY30" t="e">
        <v>#N/A</v>
      </c>
      <c r="AAZ30" t="e">
        <v>#N/A</v>
      </c>
      <c r="ABA30" t="e">
        <v>#N/A</v>
      </c>
      <c r="ABB30" t="e">
        <v>#N/A</v>
      </c>
      <c r="ABC30" t="e">
        <v>#N/A</v>
      </c>
      <c r="ABD30" t="e">
        <v>#N/A</v>
      </c>
      <c r="ABE30" t="e">
        <v>#N/A</v>
      </c>
      <c r="ABF30" t="e">
        <v>#N/A</v>
      </c>
      <c r="ABG30" t="e">
        <v>#N/A</v>
      </c>
      <c r="ABH30" t="e">
        <v>#N/A</v>
      </c>
      <c r="ABI30" t="e">
        <v>#N/A</v>
      </c>
      <c r="ABJ30" t="e">
        <v>#N/A</v>
      </c>
      <c r="ABK30" t="e">
        <v>#N/A</v>
      </c>
      <c r="ABL30" t="e">
        <v>#N/A</v>
      </c>
      <c r="ABM30" t="e">
        <v>#N/A</v>
      </c>
      <c r="ABN30" t="e">
        <v>#N/A</v>
      </c>
      <c r="ABO30" t="e">
        <v>#N/A</v>
      </c>
      <c r="ABP30" t="e">
        <v>#N/A</v>
      </c>
      <c r="ABQ30" t="e">
        <v>#N/A</v>
      </c>
      <c r="ABR30" t="e">
        <v>#N/A</v>
      </c>
      <c r="ABS30" t="e">
        <v>#N/A</v>
      </c>
      <c r="ABT30" t="e">
        <v>#N/A</v>
      </c>
      <c r="ABU30" t="e">
        <v>#N/A</v>
      </c>
      <c r="ABV30" t="e">
        <v>#N/A</v>
      </c>
      <c r="ABW30" t="e">
        <v>#N/A</v>
      </c>
      <c r="ABX30" t="e">
        <v>#N/A</v>
      </c>
      <c r="ABY30" t="e">
        <v>#N/A</v>
      </c>
      <c r="ABZ30" t="e">
        <v>#N/A</v>
      </c>
      <c r="ACA30" t="e">
        <v>#N/A</v>
      </c>
      <c r="ACB30" t="e">
        <v>#N/A</v>
      </c>
      <c r="ACC30" t="e">
        <v>#N/A</v>
      </c>
      <c r="ACD30" t="e">
        <v>#N/A</v>
      </c>
      <c r="ACE30" t="e">
        <v>#N/A</v>
      </c>
      <c r="ACF30" t="e">
        <v>#N/A</v>
      </c>
      <c r="ACG30" t="e">
        <v>#N/A</v>
      </c>
      <c r="ACH30" t="e">
        <v>#N/A</v>
      </c>
      <c r="ACI30" t="e">
        <v>#N/A</v>
      </c>
      <c r="ACJ30" t="e">
        <v>#N/A</v>
      </c>
      <c r="ACK30" t="e">
        <v>#N/A</v>
      </c>
      <c r="ACL30" t="e">
        <v>#N/A</v>
      </c>
      <c r="ACM30" t="e">
        <v>#N/A</v>
      </c>
      <c r="ACN30" t="e">
        <v>#N/A</v>
      </c>
      <c r="ACO30" t="e">
        <v>#N/A</v>
      </c>
      <c r="ACP30" t="e">
        <v>#N/A</v>
      </c>
      <c r="ACQ30" t="e">
        <v>#N/A</v>
      </c>
      <c r="ACR30" t="e">
        <v>#N/A</v>
      </c>
      <c r="ACS30" t="e">
        <v>#N/A</v>
      </c>
      <c r="ACT30" t="e">
        <v>#N/A</v>
      </c>
      <c r="ACU30" t="e">
        <v>#N/A</v>
      </c>
      <c r="ACV30" t="e">
        <v>#N/A</v>
      </c>
      <c r="ACW30" t="e">
        <v>#N/A</v>
      </c>
      <c r="ACX30" t="e">
        <v>#N/A</v>
      </c>
      <c r="ACY30" t="e">
        <v>#N/A</v>
      </c>
      <c r="ACZ30" t="e">
        <v>#N/A</v>
      </c>
      <c r="ADA30" t="e">
        <v>#N/A</v>
      </c>
      <c r="ADB30" t="e">
        <v>#N/A</v>
      </c>
      <c r="ADC30" t="e">
        <v>#N/A</v>
      </c>
      <c r="ADD30" t="e">
        <v>#N/A</v>
      </c>
      <c r="ADE30" t="e">
        <v>#N/A</v>
      </c>
      <c r="ADF30" t="e">
        <v>#N/A</v>
      </c>
      <c r="ADG30" t="e">
        <v>#N/A</v>
      </c>
      <c r="ADH30" t="e">
        <v>#N/A</v>
      </c>
      <c r="ADI30" t="e">
        <v>#N/A</v>
      </c>
      <c r="ADJ30" t="e">
        <v>#N/A</v>
      </c>
      <c r="ADK30" t="e">
        <v>#N/A</v>
      </c>
      <c r="ADL30" t="e">
        <v>#N/A</v>
      </c>
      <c r="ADM30" t="e">
        <v>#N/A</v>
      </c>
      <c r="ADN30" t="e">
        <v>#N/A</v>
      </c>
      <c r="ADO30" t="e">
        <v>#N/A</v>
      </c>
      <c r="ADP30" t="e">
        <v>#N/A</v>
      </c>
      <c r="ADQ30" t="e">
        <v>#N/A</v>
      </c>
      <c r="ADR30" t="e">
        <v>#N/A</v>
      </c>
      <c r="ADS30" t="e">
        <v>#N/A</v>
      </c>
      <c r="ADT30" t="e">
        <v>#N/A</v>
      </c>
      <c r="ADU30" t="e">
        <v>#N/A</v>
      </c>
      <c r="ADV30" t="e">
        <v>#N/A</v>
      </c>
      <c r="ADW30" t="e">
        <v>#N/A</v>
      </c>
      <c r="ADX30" t="e">
        <v>#N/A</v>
      </c>
      <c r="ADY30" t="e">
        <v>#N/A</v>
      </c>
      <c r="ADZ30" t="e">
        <v>#N/A</v>
      </c>
      <c r="AEA30" t="e">
        <v>#N/A</v>
      </c>
      <c r="AEB30" t="e">
        <v>#N/A</v>
      </c>
      <c r="AEC30" t="e">
        <v>#N/A</v>
      </c>
      <c r="AED30" t="e">
        <v>#N/A</v>
      </c>
      <c r="AEE30" t="e">
        <v>#N/A</v>
      </c>
      <c r="AEF30" t="e">
        <v>#N/A</v>
      </c>
      <c r="AEG30" t="e">
        <v>#N/A</v>
      </c>
      <c r="AEH30" t="e">
        <v>#N/A</v>
      </c>
      <c r="AEI30" t="e">
        <v>#N/A</v>
      </c>
      <c r="AEJ30" t="e">
        <v>#N/A</v>
      </c>
      <c r="AEK30" t="e">
        <v>#N/A</v>
      </c>
      <c r="AEL30" t="e">
        <v>#N/A</v>
      </c>
      <c r="AEM30" t="e">
        <v>#N/A</v>
      </c>
      <c r="AEN30" t="e">
        <v>#N/A</v>
      </c>
      <c r="AEO30" t="e">
        <v>#N/A</v>
      </c>
      <c r="AEP30" t="e">
        <v>#N/A</v>
      </c>
      <c r="AEQ30" t="e">
        <v>#N/A</v>
      </c>
      <c r="AER30" t="e">
        <v>#N/A</v>
      </c>
      <c r="AES30" t="e">
        <v>#N/A</v>
      </c>
      <c r="AET30" t="e">
        <v>#N/A</v>
      </c>
      <c r="AEU30" t="e">
        <v>#N/A</v>
      </c>
      <c r="AEV30" t="e">
        <v>#N/A</v>
      </c>
      <c r="AEW30" t="e">
        <v>#N/A</v>
      </c>
      <c r="AEX30" t="e">
        <v>#N/A</v>
      </c>
      <c r="AEY30" t="e">
        <v>#N/A</v>
      </c>
      <c r="AEZ30" t="e">
        <v>#N/A</v>
      </c>
      <c r="AFA30" t="e">
        <v>#N/A</v>
      </c>
      <c r="AFB30" t="e">
        <v>#N/A</v>
      </c>
      <c r="AFC30" t="e">
        <v>#N/A</v>
      </c>
      <c r="AFD30" t="e">
        <v>#N/A</v>
      </c>
      <c r="AFE30" t="e">
        <v>#N/A</v>
      </c>
      <c r="AFF30" t="e">
        <v>#N/A</v>
      </c>
      <c r="AFG30" t="e">
        <v>#N/A</v>
      </c>
      <c r="AFH30" t="e">
        <v>#N/A</v>
      </c>
      <c r="AFI30" t="e">
        <v>#N/A</v>
      </c>
      <c r="AFJ30" t="e">
        <v>#N/A</v>
      </c>
      <c r="AFK30" t="e">
        <v>#N/A</v>
      </c>
      <c r="AFL30" t="e">
        <v>#N/A</v>
      </c>
      <c r="AFM30" t="e">
        <v>#N/A</v>
      </c>
      <c r="AFN30" t="e">
        <v>#N/A</v>
      </c>
      <c r="AFO30" t="e">
        <v>#N/A</v>
      </c>
      <c r="AFP30" t="e">
        <v>#N/A</v>
      </c>
      <c r="AFQ30" t="e">
        <v>#N/A</v>
      </c>
      <c r="AFR30" t="e">
        <v>#N/A</v>
      </c>
      <c r="AFS30" t="e">
        <v>#N/A</v>
      </c>
      <c r="AFT30" t="e">
        <v>#N/A</v>
      </c>
      <c r="AFU30" t="e">
        <v>#N/A</v>
      </c>
      <c r="AFV30" t="e">
        <v>#N/A</v>
      </c>
      <c r="AFW30" t="e">
        <v>#N/A</v>
      </c>
      <c r="AFX30" t="e">
        <v>#N/A</v>
      </c>
      <c r="AFY30" t="e">
        <v>#N/A</v>
      </c>
      <c r="AFZ30" t="e">
        <v>#N/A</v>
      </c>
      <c r="AGA30" t="e">
        <v>#N/A</v>
      </c>
      <c r="AGB30" t="e">
        <v>#N/A</v>
      </c>
      <c r="AGC30" t="e">
        <v>#N/A</v>
      </c>
      <c r="AGD30" t="e">
        <v>#N/A</v>
      </c>
      <c r="AGE30" t="e">
        <v>#N/A</v>
      </c>
      <c r="AGF30" t="e">
        <v>#N/A</v>
      </c>
      <c r="AGG30" t="e">
        <v>#N/A</v>
      </c>
      <c r="AGH30" t="e">
        <v>#N/A</v>
      </c>
      <c r="AGI30" t="e">
        <v>#N/A</v>
      </c>
      <c r="AGJ30" t="e">
        <v>#N/A</v>
      </c>
      <c r="AGK30" t="e">
        <v>#N/A</v>
      </c>
      <c r="AGL30" t="e">
        <v>#N/A</v>
      </c>
      <c r="AGM30" t="e">
        <v>#N/A</v>
      </c>
      <c r="AGN30" t="e">
        <v>#N/A</v>
      </c>
      <c r="AGO30" t="e">
        <v>#N/A</v>
      </c>
      <c r="AGP30" t="e">
        <v>#N/A</v>
      </c>
      <c r="AGQ30" t="e">
        <v>#N/A</v>
      </c>
      <c r="AGR30" t="e">
        <v>#N/A</v>
      </c>
      <c r="AGS30" t="e">
        <v>#N/A</v>
      </c>
      <c r="AGT30" t="e">
        <v>#N/A</v>
      </c>
      <c r="AGU30" t="e">
        <v>#N/A</v>
      </c>
      <c r="AGV30" t="e">
        <v>#N/A</v>
      </c>
      <c r="AGW30" t="e">
        <v>#N/A</v>
      </c>
      <c r="AGX30" t="e">
        <v>#N/A</v>
      </c>
      <c r="AGY30" t="e">
        <v>#N/A</v>
      </c>
      <c r="AGZ30" t="e">
        <v>#N/A</v>
      </c>
      <c r="AHA30" t="e">
        <v>#N/A</v>
      </c>
      <c r="AHB30" t="e">
        <v>#N/A</v>
      </c>
      <c r="AHC30" t="e">
        <v>#N/A</v>
      </c>
      <c r="AHD30" t="e">
        <v>#N/A</v>
      </c>
      <c r="AHE30" t="e">
        <v>#N/A</v>
      </c>
      <c r="AHF30" t="e">
        <v>#N/A</v>
      </c>
      <c r="AHG30" t="e">
        <v>#N/A</v>
      </c>
      <c r="AHH30" t="e">
        <v>#N/A</v>
      </c>
      <c r="AHI30" t="e">
        <v>#N/A</v>
      </c>
      <c r="AHJ30" t="e">
        <v>#N/A</v>
      </c>
      <c r="AHK30" t="e">
        <v>#N/A</v>
      </c>
      <c r="AHL30" t="e">
        <v>#N/A</v>
      </c>
      <c r="AHM30" t="e">
        <v>#N/A</v>
      </c>
      <c r="AHN30" t="e">
        <v>#N/A</v>
      </c>
      <c r="AHO30" t="e">
        <v>#N/A</v>
      </c>
      <c r="AHP30" t="e">
        <v>#N/A</v>
      </c>
      <c r="AHQ30" t="e">
        <v>#N/A</v>
      </c>
      <c r="AHR30" t="e">
        <v>#N/A</v>
      </c>
      <c r="AHS30" t="e">
        <v>#N/A</v>
      </c>
      <c r="AHT30" t="e">
        <v>#N/A</v>
      </c>
      <c r="AHU30" t="e">
        <v>#N/A</v>
      </c>
      <c r="AHV30" t="e">
        <v>#N/A</v>
      </c>
      <c r="AHW30" t="e">
        <v>#N/A</v>
      </c>
      <c r="AHX30" t="e">
        <v>#N/A</v>
      </c>
      <c r="AHY30" t="e">
        <v>#N/A</v>
      </c>
      <c r="AHZ30" t="e">
        <v>#N/A</v>
      </c>
      <c r="AIA30" t="e">
        <v>#N/A</v>
      </c>
      <c r="AIB30" t="e">
        <v>#N/A</v>
      </c>
      <c r="AIC30" t="e">
        <v>#N/A</v>
      </c>
      <c r="AID30" t="e">
        <v>#N/A</v>
      </c>
      <c r="AIE30" t="e">
        <v>#N/A</v>
      </c>
      <c r="AIF30" t="e">
        <v>#N/A</v>
      </c>
      <c r="AIG30" t="e">
        <v>#N/A</v>
      </c>
      <c r="AIH30" t="e">
        <v>#N/A</v>
      </c>
      <c r="AII30" t="e">
        <v>#N/A</v>
      </c>
      <c r="AIJ30" t="e">
        <v>#N/A</v>
      </c>
      <c r="AIK30" t="e">
        <v>#N/A</v>
      </c>
      <c r="AIL30" t="e">
        <v>#N/A</v>
      </c>
      <c r="AIM30" t="e">
        <v>#N/A</v>
      </c>
      <c r="AIN30" t="e">
        <v>#N/A</v>
      </c>
      <c r="AIO30" t="e">
        <v>#N/A</v>
      </c>
      <c r="AIP30" t="e">
        <v>#N/A</v>
      </c>
      <c r="AIQ30" t="e">
        <v>#N/A</v>
      </c>
      <c r="AIR30" t="e">
        <v>#N/A</v>
      </c>
      <c r="AIS30" t="e">
        <v>#N/A</v>
      </c>
      <c r="AIT30" t="e">
        <v>#N/A</v>
      </c>
      <c r="AIU30" t="e">
        <v>#N/A</v>
      </c>
      <c r="AIV30" t="e">
        <v>#N/A</v>
      </c>
      <c r="AIW30" t="e">
        <v>#N/A</v>
      </c>
      <c r="AIX30" t="e">
        <v>#N/A</v>
      </c>
      <c r="AIY30" t="e">
        <v>#N/A</v>
      </c>
      <c r="AIZ30" t="e">
        <v>#N/A</v>
      </c>
      <c r="AJA30" t="e">
        <v>#N/A</v>
      </c>
      <c r="AJB30" t="e">
        <v>#N/A</v>
      </c>
      <c r="AJC30" t="e">
        <v>#N/A</v>
      </c>
      <c r="AJD30" t="e">
        <v>#N/A</v>
      </c>
      <c r="AJE30" t="e">
        <v>#N/A</v>
      </c>
      <c r="AJF30" t="e">
        <v>#N/A</v>
      </c>
      <c r="AJG30" t="e">
        <v>#N/A</v>
      </c>
      <c r="AJH30" t="e">
        <v>#N/A</v>
      </c>
      <c r="AJI30" t="e">
        <v>#N/A</v>
      </c>
      <c r="AJJ30" t="e">
        <v>#N/A</v>
      </c>
      <c r="AJK30" t="e">
        <v>#N/A</v>
      </c>
      <c r="AJL30" t="e">
        <v>#N/A</v>
      </c>
      <c r="AJM30" t="e">
        <v>#N/A</v>
      </c>
      <c r="AJN30" t="e">
        <v>#N/A</v>
      </c>
      <c r="AJO30" t="e">
        <v>#N/A</v>
      </c>
      <c r="AJP30" t="e">
        <v>#N/A</v>
      </c>
      <c r="AJQ30" t="e">
        <v>#N/A</v>
      </c>
      <c r="AJR30" t="e">
        <v>#N/A</v>
      </c>
      <c r="AJS30" t="e">
        <v>#N/A</v>
      </c>
      <c r="AJT30" t="e">
        <v>#N/A</v>
      </c>
      <c r="AJU30" t="e">
        <v>#N/A</v>
      </c>
      <c r="AJV30" t="e">
        <v>#N/A</v>
      </c>
      <c r="AJW30" t="e">
        <v>#N/A</v>
      </c>
      <c r="AJX30" t="e">
        <v>#N/A</v>
      </c>
      <c r="AJY30" t="e">
        <v>#N/A</v>
      </c>
      <c r="AJZ30" t="e">
        <v>#N/A</v>
      </c>
      <c r="AKA30" t="e">
        <v>#N/A</v>
      </c>
      <c r="AKB30" t="e">
        <v>#N/A</v>
      </c>
      <c r="AKC30" t="e">
        <v>#N/A</v>
      </c>
      <c r="AKD30" t="e">
        <v>#N/A</v>
      </c>
      <c r="AKE30" t="e">
        <v>#N/A</v>
      </c>
      <c r="AKF30" t="e">
        <v>#N/A</v>
      </c>
      <c r="AKG30" t="e">
        <v>#N/A</v>
      </c>
      <c r="AKH30" t="e">
        <v>#N/A</v>
      </c>
      <c r="AKI30" t="e">
        <v>#N/A</v>
      </c>
      <c r="AKJ30" t="e">
        <v>#N/A</v>
      </c>
      <c r="AKK30" t="e">
        <v>#N/A</v>
      </c>
      <c r="AKL30" t="e">
        <v>#N/A</v>
      </c>
      <c r="AKM30" t="e">
        <v>#N/A</v>
      </c>
      <c r="AKN30" t="e">
        <v>#N/A</v>
      </c>
      <c r="AKO30" t="e">
        <v>#N/A</v>
      </c>
      <c r="AKP30" t="e">
        <v>#N/A</v>
      </c>
      <c r="AKQ30" t="e">
        <v>#N/A</v>
      </c>
      <c r="AKR30" t="e">
        <v>#N/A</v>
      </c>
      <c r="AKS30" t="e">
        <v>#N/A</v>
      </c>
      <c r="AKT30" t="e">
        <v>#N/A</v>
      </c>
      <c r="AKU30" t="e">
        <v>#N/A</v>
      </c>
      <c r="AKV30" t="e">
        <v>#N/A</v>
      </c>
      <c r="AKW30" t="e">
        <v>#N/A</v>
      </c>
      <c r="AKX30" t="e">
        <v>#N/A</v>
      </c>
      <c r="AKY30" t="e">
        <v>#N/A</v>
      </c>
      <c r="AKZ30" t="e">
        <v>#N/A</v>
      </c>
      <c r="ALA30" t="e">
        <v>#N/A</v>
      </c>
      <c r="ALB30" t="e">
        <v>#N/A</v>
      </c>
      <c r="ALC30" t="e">
        <v>#N/A</v>
      </c>
      <c r="ALD30" t="e">
        <v>#N/A</v>
      </c>
      <c r="ALE30" t="e">
        <v>#N/A</v>
      </c>
      <c r="ALF30" t="e">
        <v>#N/A</v>
      </c>
      <c r="ALG30" t="e">
        <v>#N/A</v>
      </c>
      <c r="ALH30" t="e">
        <v>#N/A</v>
      </c>
      <c r="ALI30" t="e">
        <v>#N/A</v>
      </c>
      <c r="ALJ30" t="e">
        <v>#N/A</v>
      </c>
      <c r="ALK30" t="e">
        <v>#N/A</v>
      </c>
      <c r="ALL30" t="e">
        <v>#N/A</v>
      </c>
      <c r="ALM30" t="e">
        <v>#N/A</v>
      </c>
      <c r="ALN30" t="e">
        <v>#N/A</v>
      </c>
      <c r="ALO30" t="e">
        <v>#N/A</v>
      </c>
      <c r="ALP30" t="e">
        <v>#N/A</v>
      </c>
      <c r="ALQ30" t="e">
        <v>#N/A</v>
      </c>
      <c r="ALR30" t="e">
        <v>#N/A</v>
      </c>
      <c r="ALS30" t="e">
        <v>#N/A</v>
      </c>
      <c r="ALT30" t="e">
        <v>#N/A</v>
      </c>
      <c r="ALU30" t="e">
        <v>#N/A</v>
      </c>
      <c r="ALV30" t="e">
        <v>#N/A</v>
      </c>
      <c r="ALW30" t="e">
        <v>#N/A</v>
      </c>
      <c r="ALX30" t="e">
        <v>#N/A</v>
      </c>
      <c r="ALY30" t="e">
        <v>#N/A</v>
      </c>
      <c r="ALZ30" t="e">
        <v>#N/A</v>
      </c>
      <c r="AMA30" t="e">
        <v>#N/A</v>
      </c>
      <c r="AMB30" t="e">
        <v>#N/A</v>
      </c>
      <c r="AMC30" t="e">
        <v>#N/A</v>
      </c>
      <c r="AMD30" t="e">
        <v>#N/A</v>
      </c>
      <c r="AME30" t="e">
        <v>#N/A</v>
      </c>
      <c r="AMF30" t="e">
        <v>#N/A</v>
      </c>
      <c r="AMG30" t="e">
        <v>#N/A</v>
      </c>
      <c r="AMH30" t="e">
        <v>#N/A</v>
      </c>
      <c r="AMI30" t="e">
        <v>#N/A</v>
      </c>
      <c r="AMJ30" t="e">
        <v>#N/A</v>
      </c>
      <c r="AMK30" t="e">
        <v>#N/A</v>
      </c>
      <c r="AML30" t="e">
        <v>#N/A</v>
      </c>
      <c r="AMM30" t="e">
        <v>#N/A</v>
      </c>
      <c r="AMN30" t="e">
        <v>#N/A</v>
      </c>
      <c r="AMO30" t="e">
        <v>#N/A</v>
      </c>
      <c r="AMP30" t="e">
        <v>#N/A</v>
      </c>
      <c r="AMQ30" t="e">
        <v>#N/A</v>
      </c>
      <c r="AMR30" t="e">
        <v>#N/A</v>
      </c>
      <c r="AMS30" t="e">
        <v>#N/A</v>
      </c>
      <c r="AMT30" t="e">
        <v>#N/A</v>
      </c>
      <c r="AMU30" t="e">
        <v>#N/A</v>
      </c>
      <c r="AMV30" t="e">
        <v>#N/A</v>
      </c>
      <c r="AMW30" t="e">
        <v>#N/A</v>
      </c>
      <c r="AMX30" t="e">
        <v>#N/A</v>
      </c>
      <c r="AMY30" t="e">
        <v>#N/A</v>
      </c>
      <c r="AMZ30" t="e">
        <v>#N/A</v>
      </c>
      <c r="ANA30" t="e">
        <v>#N/A</v>
      </c>
      <c r="ANB30" t="e">
        <v>#N/A</v>
      </c>
      <c r="ANC30" t="e">
        <v>#N/A</v>
      </c>
      <c r="AND30" t="e">
        <v>#N/A</v>
      </c>
      <c r="ANE30" t="e">
        <v>#N/A</v>
      </c>
      <c r="ANF30" t="e">
        <v>#N/A</v>
      </c>
      <c r="ANG30" t="e">
        <v>#N/A</v>
      </c>
      <c r="ANH30" t="e">
        <v>#N/A</v>
      </c>
      <c r="ANI30" t="e">
        <v>#N/A</v>
      </c>
      <c r="ANJ30" t="e">
        <v>#N/A</v>
      </c>
      <c r="ANK30" t="e">
        <v>#N/A</v>
      </c>
      <c r="ANL30" t="e">
        <v>#N/A</v>
      </c>
      <c r="ANM30" t="e">
        <v>#N/A</v>
      </c>
      <c r="ANN30" t="e">
        <v>#N/A</v>
      </c>
      <c r="ANO30" t="e">
        <v>#N/A</v>
      </c>
      <c r="ANP30" t="e">
        <v>#N/A</v>
      </c>
      <c r="ANQ30" t="e">
        <v>#N/A</v>
      </c>
      <c r="ANR30" t="e">
        <v>#N/A</v>
      </c>
      <c r="ANS30" t="e">
        <v>#N/A</v>
      </c>
      <c r="ANT30" t="e">
        <v>#N/A</v>
      </c>
      <c r="ANU30" t="e">
        <v>#N/A</v>
      </c>
      <c r="ANV30" t="e">
        <v>#N/A</v>
      </c>
      <c r="ANW30" t="e">
        <v>#N/A</v>
      </c>
      <c r="ANX30" t="e">
        <v>#N/A</v>
      </c>
      <c r="ANY30" t="e">
        <v>#N/A</v>
      </c>
      <c r="ANZ30" t="e">
        <v>#N/A</v>
      </c>
      <c r="AOA30" t="e">
        <v>#N/A</v>
      </c>
      <c r="AOB30" t="e">
        <v>#N/A</v>
      </c>
      <c r="AOC30" t="e">
        <v>#N/A</v>
      </c>
      <c r="AOD30" t="e">
        <v>#N/A</v>
      </c>
      <c r="AOE30" t="e">
        <v>#N/A</v>
      </c>
      <c r="AOF30" t="e">
        <v>#N/A</v>
      </c>
      <c r="AOG30" t="e">
        <v>#N/A</v>
      </c>
      <c r="AOH30" t="e">
        <v>#N/A</v>
      </c>
      <c r="AOI30" t="e">
        <v>#N/A</v>
      </c>
      <c r="AOJ30" t="e">
        <v>#N/A</v>
      </c>
      <c r="AOK30" t="e">
        <v>#N/A</v>
      </c>
      <c r="AOL30" t="e">
        <v>#N/A</v>
      </c>
      <c r="AOM30" t="e">
        <v>#N/A</v>
      </c>
      <c r="AON30" t="e">
        <v>#N/A</v>
      </c>
      <c r="AOO30" t="e">
        <v>#N/A</v>
      </c>
      <c r="AOP30" t="e">
        <v>#N/A</v>
      </c>
      <c r="AOQ30" t="e">
        <v>#N/A</v>
      </c>
      <c r="AOR30" t="e">
        <v>#N/A</v>
      </c>
      <c r="AOS30" t="e">
        <v>#N/A</v>
      </c>
      <c r="AOT30" t="e">
        <v>#N/A</v>
      </c>
      <c r="AOU30" t="e">
        <v>#N/A</v>
      </c>
      <c r="AOV30" t="e">
        <v>#N/A</v>
      </c>
      <c r="AOW30" t="e">
        <v>#N/A</v>
      </c>
      <c r="AOX30" t="e">
        <v>#N/A</v>
      </c>
      <c r="AOY30" t="e">
        <v>#N/A</v>
      </c>
      <c r="AOZ30" t="e">
        <v>#N/A</v>
      </c>
      <c r="APA30" t="e">
        <v>#N/A</v>
      </c>
      <c r="APB30" t="e">
        <v>#N/A</v>
      </c>
      <c r="APC30" t="e">
        <v>#N/A</v>
      </c>
      <c r="APD30" t="e">
        <v>#N/A</v>
      </c>
      <c r="APE30" t="e">
        <v>#N/A</v>
      </c>
      <c r="APF30" t="e">
        <v>#N/A</v>
      </c>
      <c r="APG30" t="e">
        <v>#N/A</v>
      </c>
      <c r="APH30" t="e">
        <v>#N/A</v>
      </c>
      <c r="API30" t="e">
        <v>#N/A</v>
      </c>
      <c r="APJ30" t="e">
        <v>#N/A</v>
      </c>
      <c r="APK30" t="e">
        <v>#N/A</v>
      </c>
      <c r="APL30" t="e">
        <v>#N/A</v>
      </c>
      <c r="APM30" t="e">
        <v>#N/A</v>
      </c>
      <c r="APN30" t="e">
        <v>#N/A</v>
      </c>
      <c r="APO30" t="e">
        <v>#N/A</v>
      </c>
      <c r="APP30" t="e">
        <v>#N/A</v>
      </c>
      <c r="APQ30" t="e">
        <v>#N/A</v>
      </c>
      <c r="APR30" t="e">
        <v>#N/A</v>
      </c>
      <c r="APS30" t="e">
        <v>#N/A</v>
      </c>
      <c r="APT30" t="e">
        <v>#N/A</v>
      </c>
      <c r="APU30" t="e">
        <v>#N/A</v>
      </c>
      <c r="APV30" t="e">
        <v>#N/A</v>
      </c>
      <c r="APW30" t="e">
        <v>#N/A</v>
      </c>
      <c r="APX30" t="e">
        <v>#N/A</v>
      </c>
      <c r="APY30" t="e">
        <v>#N/A</v>
      </c>
      <c r="APZ30" t="e">
        <v>#N/A</v>
      </c>
      <c r="AQA30" t="e">
        <v>#N/A</v>
      </c>
      <c r="AQB30" t="e">
        <v>#N/A</v>
      </c>
      <c r="AQC30" t="e">
        <v>#N/A</v>
      </c>
      <c r="AQD30" t="e">
        <v>#N/A</v>
      </c>
      <c r="AQE30" t="e">
        <v>#N/A</v>
      </c>
      <c r="AQF30" t="e">
        <v>#N/A</v>
      </c>
      <c r="AQG30" t="e">
        <v>#N/A</v>
      </c>
      <c r="AQH30" t="e">
        <v>#N/A</v>
      </c>
      <c r="AQI30" t="e">
        <v>#N/A</v>
      </c>
      <c r="AQJ30" t="e">
        <v>#N/A</v>
      </c>
      <c r="AQK30" t="e">
        <v>#N/A</v>
      </c>
      <c r="AQL30" t="e">
        <v>#N/A</v>
      </c>
      <c r="AQM30" t="e">
        <v>#N/A</v>
      </c>
      <c r="AQN30" t="e">
        <v>#N/A</v>
      </c>
      <c r="AQO30" t="e">
        <v>#N/A</v>
      </c>
      <c r="AQP30" t="e">
        <v>#N/A</v>
      </c>
      <c r="AQQ30" t="e">
        <v>#N/A</v>
      </c>
      <c r="AQR30" t="e">
        <v>#N/A</v>
      </c>
      <c r="AQS30" t="e">
        <v>#N/A</v>
      </c>
      <c r="AQT30" t="e">
        <v>#N/A</v>
      </c>
      <c r="AQU30" t="e">
        <v>#N/A</v>
      </c>
      <c r="AQV30" t="e">
        <v>#N/A</v>
      </c>
      <c r="AQW30" t="e">
        <v>#N/A</v>
      </c>
      <c r="AQX30" t="e">
        <v>#N/A</v>
      </c>
      <c r="AQY30" t="e">
        <v>#N/A</v>
      </c>
      <c r="AQZ30" t="e">
        <v>#N/A</v>
      </c>
      <c r="ARA30" t="e">
        <v>#N/A</v>
      </c>
      <c r="ARB30" t="e">
        <v>#N/A</v>
      </c>
      <c r="ARC30" t="e">
        <v>#N/A</v>
      </c>
      <c r="ARD30" t="e">
        <v>#N/A</v>
      </c>
      <c r="ARE30" t="e">
        <v>#N/A</v>
      </c>
      <c r="ARF30" t="e">
        <v>#N/A</v>
      </c>
      <c r="ARG30" t="e">
        <v>#N/A</v>
      </c>
      <c r="ARH30" t="e">
        <v>#N/A</v>
      </c>
      <c r="ARI30" t="e">
        <v>#N/A</v>
      </c>
      <c r="ARJ30" t="e">
        <v>#N/A</v>
      </c>
      <c r="ARK30" t="e">
        <v>#N/A</v>
      </c>
      <c r="ARL30" t="e">
        <v>#N/A</v>
      </c>
      <c r="ARM30" t="e">
        <v>#N/A</v>
      </c>
      <c r="ARN30" t="e">
        <v>#N/A</v>
      </c>
      <c r="ARO30" t="e">
        <v>#N/A</v>
      </c>
      <c r="ARP30" t="e">
        <v>#N/A</v>
      </c>
      <c r="ARQ30" t="e">
        <v>#N/A</v>
      </c>
      <c r="ARR30" t="e">
        <v>#N/A</v>
      </c>
      <c r="ARS30" t="e">
        <v>#N/A</v>
      </c>
      <c r="ART30" t="e">
        <v>#N/A</v>
      </c>
      <c r="ARU30" t="e">
        <v>#N/A</v>
      </c>
      <c r="ARV30" t="e">
        <v>#N/A</v>
      </c>
      <c r="ARW30" t="e">
        <v>#N/A</v>
      </c>
      <c r="ARX30" t="e">
        <v>#N/A</v>
      </c>
      <c r="ARY30" t="e">
        <v>#N/A</v>
      </c>
      <c r="ARZ30" t="e">
        <v>#N/A</v>
      </c>
      <c r="ASA30" t="e">
        <v>#N/A</v>
      </c>
      <c r="ASB30" t="e">
        <v>#N/A</v>
      </c>
      <c r="ASC30" t="e">
        <v>#N/A</v>
      </c>
      <c r="ASD30" t="e">
        <v>#N/A</v>
      </c>
      <c r="ASE30" t="e">
        <v>#N/A</v>
      </c>
      <c r="ASF30" t="e">
        <v>#N/A</v>
      </c>
      <c r="ASG30" t="e">
        <v>#N/A</v>
      </c>
      <c r="ASH30" t="e">
        <v>#N/A</v>
      </c>
      <c r="ASI30" t="e">
        <v>#N/A</v>
      </c>
      <c r="ASJ30" t="e">
        <v>#N/A</v>
      </c>
      <c r="ASK30" t="e">
        <v>#N/A</v>
      </c>
      <c r="ASL30" t="e">
        <v>#N/A</v>
      </c>
      <c r="ASM30" t="e">
        <v>#N/A</v>
      </c>
      <c r="ASN30" t="e">
        <v>#N/A</v>
      </c>
      <c r="ASO30" t="e">
        <v>#N/A</v>
      </c>
      <c r="ASP30" t="e">
        <v>#N/A</v>
      </c>
      <c r="ASQ30" t="e">
        <v>#N/A</v>
      </c>
      <c r="ASR30" t="e">
        <v>#N/A</v>
      </c>
      <c r="ASS30" t="e">
        <v>#N/A</v>
      </c>
      <c r="AST30" t="e">
        <v>#N/A</v>
      </c>
      <c r="ASU30" t="e">
        <v>#N/A</v>
      </c>
      <c r="ASV30" t="e">
        <v>#N/A</v>
      </c>
      <c r="ASW30" t="e">
        <v>#N/A</v>
      </c>
      <c r="ASX30" t="e">
        <v>#N/A</v>
      </c>
      <c r="ASY30" t="e">
        <v>#N/A</v>
      </c>
      <c r="ASZ30" t="e">
        <v>#N/A</v>
      </c>
      <c r="ATA30" t="e">
        <v>#N/A</v>
      </c>
      <c r="ATB30" t="e">
        <v>#N/A</v>
      </c>
      <c r="ATC30" t="e">
        <v>#N/A</v>
      </c>
      <c r="ATD30" t="e">
        <v>#N/A</v>
      </c>
      <c r="ATE30" t="e">
        <v>#N/A</v>
      </c>
      <c r="ATF30" t="e">
        <v>#N/A</v>
      </c>
      <c r="ATG30" t="e">
        <v>#N/A</v>
      </c>
      <c r="ATH30" t="e">
        <v>#N/A</v>
      </c>
      <c r="ATI30" t="e">
        <v>#N/A</v>
      </c>
      <c r="ATJ30" t="e">
        <v>#N/A</v>
      </c>
      <c r="ATK30" t="e">
        <v>#N/A</v>
      </c>
      <c r="ATL30" t="e">
        <v>#N/A</v>
      </c>
      <c r="ATM30" t="e">
        <v>#N/A</v>
      </c>
      <c r="ATN30" t="e">
        <v>#N/A</v>
      </c>
      <c r="ATO30" t="e">
        <v>#N/A</v>
      </c>
      <c r="ATP30" t="e">
        <v>#N/A</v>
      </c>
      <c r="ATQ30" t="e">
        <v>#N/A</v>
      </c>
      <c r="ATR30" t="e">
        <v>#N/A</v>
      </c>
      <c r="ATS30" t="e">
        <v>#N/A</v>
      </c>
      <c r="ATT30" t="e">
        <v>#N/A</v>
      </c>
      <c r="ATU30" t="e">
        <v>#N/A</v>
      </c>
      <c r="ATV30" t="e">
        <v>#N/A</v>
      </c>
      <c r="ATW30" t="e">
        <v>#N/A</v>
      </c>
      <c r="ATX30" t="e">
        <v>#N/A</v>
      </c>
      <c r="ATY30" t="e">
        <v>#N/A</v>
      </c>
      <c r="ATZ30" t="e">
        <v>#N/A</v>
      </c>
      <c r="AUA30" t="e">
        <v>#N/A</v>
      </c>
      <c r="AUB30" t="e">
        <v>#N/A</v>
      </c>
      <c r="AUC30" t="e">
        <v>#N/A</v>
      </c>
      <c r="AUD30" t="e">
        <v>#N/A</v>
      </c>
      <c r="AUE30" t="e">
        <v>#N/A</v>
      </c>
      <c r="AUF30" t="e">
        <v>#N/A</v>
      </c>
      <c r="AUG30" t="e">
        <v>#N/A</v>
      </c>
      <c r="AUH30" t="e">
        <v>#N/A</v>
      </c>
      <c r="AUI30" t="e">
        <v>#N/A</v>
      </c>
      <c r="AUJ30" t="e">
        <v>#N/A</v>
      </c>
      <c r="AUK30" t="e">
        <v>#N/A</v>
      </c>
      <c r="AUL30" t="e">
        <v>#N/A</v>
      </c>
      <c r="AUM30" t="e">
        <v>#N/A</v>
      </c>
      <c r="AUN30" t="e">
        <v>#N/A</v>
      </c>
      <c r="AUO30" t="e">
        <v>#N/A</v>
      </c>
      <c r="AUP30" t="e">
        <v>#N/A</v>
      </c>
      <c r="AUQ30" t="e">
        <v>#N/A</v>
      </c>
      <c r="AUR30" t="e">
        <v>#N/A</v>
      </c>
      <c r="AUS30" t="e">
        <v>#N/A</v>
      </c>
      <c r="AUT30" t="e">
        <v>#N/A</v>
      </c>
      <c r="AUU30" t="e">
        <v>#N/A</v>
      </c>
      <c r="AUV30" t="e">
        <v>#N/A</v>
      </c>
      <c r="AUW30" t="e">
        <v>#N/A</v>
      </c>
      <c r="AUX30" t="e">
        <v>#N/A</v>
      </c>
      <c r="AUY30" t="e">
        <v>#N/A</v>
      </c>
      <c r="AUZ30" t="e">
        <v>#N/A</v>
      </c>
      <c r="AVA30" t="e">
        <v>#N/A</v>
      </c>
      <c r="AVB30" t="e">
        <v>#N/A</v>
      </c>
      <c r="AVC30" t="e">
        <v>#N/A</v>
      </c>
      <c r="AVD30" t="e">
        <v>#N/A</v>
      </c>
      <c r="AVE30" t="e">
        <v>#N/A</v>
      </c>
      <c r="AVF30" t="e">
        <v>#N/A</v>
      </c>
      <c r="AVG30" t="e">
        <v>#N/A</v>
      </c>
      <c r="AVH30" t="e">
        <v>#N/A</v>
      </c>
      <c r="AVI30" t="e">
        <v>#N/A</v>
      </c>
      <c r="AVJ30" t="e">
        <v>#N/A</v>
      </c>
      <c r="AVK30" t="e">
        <v>#N/A</v>
      </c>
      <c r="AVL30" t="e">
        <v>#N/A</v>
      </c>
      <c r="AVM30" t="e">
        <v>#N/A</v>
      </c>
      <c r="AVN30" t="e">
        <v>#N/A</v>
      </c>
      <c r="AVO30" t="e">
        <v>#N/A</v>
      </c>
      <c r="AVP30" t="e">
        <v>#N/A</v>
      </c>
      <c r="AVQ30" t="e">
        <v>#N/A</v>
      </c>
      <c r="AVR30" t="e">
        <v>#N/A</v>
      </c>
      <c r="AVS30" t="e">
        <v>#N/A</v>
      </c>
      <c r="AVT30" t="e">
        <v>#N/A</v>
      </c>
      <c r="AVU30" t="e">
        <v>#N/A</v>
      </c>
      <c r="AVV30" t="e">
        <v>#N/A</v>
      </c>
      <c r="AVW30" t="e">
        <v>#N/A</v>
      </c>
      <c r="AVX30" t="e">
        <v>#N/A</v>
      </c>
      <c r="AVY30" t="e">
        <v>#N/A</v>
      </c>
      <c r="AVZ30" t="e">
        <v>#N/A</v>
      </c>
      <c r="AWA30" t="e">
        <v>#N/A</v>
      </c>
      <c r="AWB30" t="e">
        <v>#N/A</v>
      </c>
      <c r="AWC30" t="e">
        <v>#N/A</v>
      </c>
      <c r="AWD30" t="e">
        <v>#N/A</v>
      </c>
      <c r="AWE30" t="e">
        <v>#N/A</v>
      </c>
      <c r="AWF30" t="e">
        <v>#N/A</v>
      </c>
      <c r="AWG30" t="e">
        <v>#N/A</v>
      </c>
      <c r="AWH30" t="e">
        <v>#N/A</v>
      </c>
      <c r="AWI30" t="e">
        <v>#N/A</v>
      </c>
      <c r="AWJ30" t="e">
        <v>#N/A</v>
      </c>
      <c r="AWK30" t="e">
        <v>#N/A</v>
      </c>
      <c r="AWL30" t="e">
        <v>#N/A</v>
      </c>
      <c r="AWM30" t="e">
        <v>#N/A</v>
      </c>
      <c r="AWN30" t="e">
        <v>#N/A</v>
      </c>
      <c r="AWO30" t="e">
        <v>#N/A</v>
      </c>
      <c r="AWP30" t="e">
        <v>#N/A</v>
      </c>
      <c r="AWQ30" t="e">
        <v>#N/A</v>
      </c>
      <c r="AWR30" t="e">
        <v>#N/A</v>
      </c>
      <c r="AWS30" t="e">
        <v>#N/A</v>
      </c>
      <c r="AWT30" t="e">
        <v>#N/A</v>
      </c>
      <c r="AWU30" t="e">
        <v>#N/A</v>
      </c>
      <c r="AWV30" t="e">
        <v>#N/A</v>
      </c>
      <c r="AWW30" t="e">
        <v>#N/A</v>
      </c>
      <c r="AWX30" t="e">
        <v>#N/A</v>
      </c>
      <c r="AWY30" t="e">
        <v>#N/A</v>
      </c>
      <c r="AWZ30" t="e">
        <v>#N/A</v>
      </c>
      <c r="AXA30" t="e">
        <v>#N/A</v>
      </c>
      <c r="AXB30" t="e">
        <v>#N/A</v>
      </c>
      <c r="AXC30" t="e">
        <v>#N/A</v>
      </c>
      <c r="AXD30" t="e">
        <v>#N/A</v>
      </c>
      <c r="AXE30" t="e">
        <v>#N/A</v>
      </c>
      <c r="AXF30" t="e">
        <v>#N/A</v>
      </c>
      <c r="AXG30" t="e">
        <v>#N/A</v>
      </c>
      <c r="AXH30" t="e">
        <v>#N/A</v>
      </c>
      <c r="AXI30" t="e">
        <v>#N/A</v>
      </c>
      <c r="AXJ30" t="e">
        <v>#N/A</v>
      </c>
      <c r="AXK30" t="e">
        <v>#N/A</v>
      </c>
      <c r="AXL30" t="e">
        <v>#N/A</v>
      </c>
      <c r="AXM30" t="e">
        <v>#N/A</v>
      </c>
      <c r="AXN30" t="e">
        <v>#N/A</v>
      </c>
      <c r="AXO30" t="e">
        <v>#N/A</v>
      </c>
      <c r="AXP30" t="e">
        <v>#N/A</v>
      </c>
      <c r="AXQ30" t="e">
        <v>#N/A</v>
      </c>
      <c r="AXR30" t="e">
        <v>#N/A</v>
      </c>
      <c r="AXS30" t="e">
        <v>#N/A</v>
      </c>
      <c r="AXT30" t="e">
        <v>#N/A</v>
      </c>
      <c r="AXU30" t="e">
        <v>#N/A</v>
      </c>
      <c r="AXV30" t="e">
        <v>#N/A</v>
      </c>
      <c r="AXW30" t="e">
        <v>#N/A</v>
      </c>
      <c r="AXX30" t="e">
        <v>#N/A</v>
      </c>
      <c r="AXY30" t="e">
        <v>#N/A</v>
      </c>
      <c r="AXZ30" t="e">
        <v>#N/A</v>
      </c>
      <c r="AYA30" t="e">
        <v>#N/A</v>
      </c>
      <c r="AYB30" t="e">
        <v>#N/A</v>
      </c>
      <c r="AYC30" t="e">
        <v>#N/A</v>
      </c>
      <c r="AYD30" t="e">
        <v>#N/A</v>
      </c>
      <c r="AYE30" t="e">
        <v>#N/A</v>
      </c>
      <c r="AYF30" t="e">
        <v>#N/A</v>
      </c>
      <c r="AYG30" t="e">
        <v>#N/A</v>
      </c>
      <c r="AYH30" t="e">
        <v>#N/A</v>
      </c>
      <c r="AYI30" t="e">
        <v>#N/A</v>
      </c>
      <c r="AYJ30" t="e">
        <v>#N/A</v>
      </c>
      <c r="AYK30" t="e">
        <v>#N/A</v>
      </c>
      <c r="AYL30" t="e">
        <v>#N/A</v>
      </c>
      <c r="AYM30" t="e">
        <v>#N/A</v>
      </c>
      <c r="AYN30" t="e">
        <v>#N/A</v>
      </c>
      <c r="AYO30" t="e">
        <v>#N/A</v>
      </c>
      <c r="AYP30" t="e">
        <v>#N/A</v>
      </c>
      <c r="AYQ30" t="e">
        <v>#N/A</v>
      </c>
      <c r="AYR30" t="e">
        <v>#N/A</v>
      </c>
      <c r="AYS30" t="e">
        <v>#N/A</v>
      </c>
      <c r="AYT30" t="e">
        <v>#N/A</v>
      </c>
      <c r="AYU30" t="e">
        <v>#N/A</v>
      </c>
      <c r="AYV30" t="e">
        <v>#N/A</v>
      </c>
      <c r="AYW30" t="e">
        <v>#N/A</v>
      </c>
      <c r="AYX30" t="e">
        <v>#N/A</v>
      </c>
      <c r="AYY30" t="e">
        <v>#N/A</v>
      </c>
      <c r="AYZ30" t="e">
        <v>#N/A</v>
      </c>
      <c r="AZA30" t="e">
        <v>#N/A</v>
      </c>
      <c r="AZB30" t="e">
        <v>#N/A</v>
      </c>
      <c r="AZC30" t="e">
        <v>#N/A</v>
      </c>
      <c r="AZD30" t="e">
        <v>#N/A</v>
      </c>
      <c r="AZE30" t="e">
        <v>#N/A</v>
      </c>
      <c r="AZF30" t="e">
        <v>#N/A</v>
      </c>
      <c r="AZG30" t="e">
        <v>#N/A</v>
      </c>
      <c r="AZH30" t="e">
        <v>#N/A</v>
      </c>
      <c r="AZI30" t="e">
        <v>#N/A</v>
      </c>
      <c r="AZJ30" t="e">
        <v>#N/A</v>
      </c>
      <c r="AZK30" t="e">
        <v>#N/A</v>
      </c>
      <c r="AZL30" t="e">
        <v>#N/A</v>
      </c>
      <c r="AZM30" t="e">
        <v>#N/A</v>
      </c>
      <c r="AZN30" t="e">
        <v>#N/A</v>
      </c>
      <c r="AZO30" t="e">
        <v>#N/A</v>
      </c>
      <c r="AZP30" t="e">
        <v>#N/A</v>
      </c>
      <c r="AZQ30" t="e">
        <v>#N/A</v>
      </c>
      <c r="AZR30" t="e">
        <v>#N/A</v>
      </c>
      <c r="AZS30" t="e">
        <v>#N/A</v>
      </c>
      <c r="AZT30" t="e">
        <v>#N/A</v>
      </c>
      <c r="AZU30" t="e">
        <v>#N/A</v>
      </c>
      <c r="AZV30" t="e">
        <v>#N/A</v>
      </c>
      <c r="AZW30" t="e">
        <v>#N/A</v>
      </c>
      <c r="AZX30" t="e">
        <v>#N/A</v>
      </c>
      <c r="AZY30" t="e">
        <v>#N/A</v>
      </c>
      <c r="AZZ30" t="e">
        <v>#N/A</v>
      </c>
      <c r="BAA30" t="e">
        <v>#N/A</v>
      </c>
      <c r="BAB30" t="e">
        <v>#N/A</v>
      </c>
      <c r="BAC30" t="e">
        <v>#N/A</v>
      </c>
      <c r="BAD30" t="e">
        <v>#N/A</v>
      </c>
      <c r="BAE30" t="e">
        <v>#N/A</v>
      </c>
      <c r="BAF30" t="e">
        <v>#N/A</v>
      </c>
      <c r="BAG30" t="e">
        <v>#N/A</v>
      </c>
      <c r="BAH30" t="e">
        <v>#N/A</v>
      </c>
      <c r="BAI30" t="e">
        <v>#N/A</v>
      </c>
      <c r="BAJ30" t="e">
        <v>#N/A</v>
      </c>
      <c r="BAK30" t="e">
        <v>#N/A</v>
      </c>
      <c r="BAL30" t="e">
        <v>#N/A</v>
      </c>
      <c r="BAM30" t="e">
        <v>#N/A</v>
      </c>
      <c r="BAN30" t="e">
        <v>#N/A</v>
      </c>
      <c r="BAO30" t="e">
        <v>#N/A</v>
      </c>
      <c r="BAP30" t="e">
        <v>#N/A</v>
      </c>
      <c r="BAQ30" t="e">
        <v>#N/A</v>
      </c>
      <c r="BAR30" t="e">
        <v>#N/A</v>
      </c>
      <c r="BAS30" t="e">
        <v>#N/A</v>
      </c>
      <c r="BAT30" t="e">
        <v>#N/A</v>
      </c>
      <c r="BAU30" t="e">
        <v>#N/A</v>
      </c>
      <c r="BAV30" t="e">
        <v>#N/A</v>
      </c>
      <c r="BAW30" t="e">
        <v>#N/A</v>
      </c>
      <c r="BAX30" t="e">
        <v>#N/A</v>
      </c>
      <c r="BAY30" t="e">
        <v>#N/A</v>
      </c>
      <c r="BAZ30" t="e">
        <v>#N/A</v>
      </c>
      <c r="BBA30" t="e">
        <v>#N/A</v>
      </c>
      <c r="BBB30" t="e">
        <v>#N/A</v>
      </c>
      <c r="BBC30" t="e">
        <v>#N/A</v>
      </c>
      <c r="BBD30" t="e">
        <v>#N/A</v>
      </c>
      <c r="BBE30" t="e">
        <v>#N/A</v>
      </c>
      <c r="BBF30" t="e">
        <v>#N/A</v>
      </c>
      <c r="BBG30" t="e">
        <v>#N/A</v>
      </c>
      <c r="BBH30" t="e">
        <v>#N/A</v>
      </c>
      <c r="BBI30" t="e">
        <v>#N/A</v>
      </c>
      <c r="BBJ30" t="e">
        <v>#N/A</v>
      </c>
      <c r="BBK30" t="e">
        <v>#N/A</v>
      </c>
      <c r="BBL30" t="e">
        <v>#N/A</v>
      </c>
      <c r="BBM30" t="e">
        <v>#N/A</v>
      </c>
      <c r="BBN30" t="e">
        <v>#N/A</v>
      </c>
      <c r="BBO30" t="e">
        <v>#N/A</v>
      </c>
      <c r="BBP30" t="e">
        <v>#N/A</v>
      </c>
      <c r="BBQ30" t="e">
        <v>#N/A</v>
      </c>
      <c r="BBR30" t="e">
        <v>#N/A</v>
      </c>
      <c r="BBS30" t="e">
        <v>#N/A</v>
      </c>
      <c r="BBT30" t="e">
        <v>#N/A</v>
      </c>
      <c r="BBU30" t="e">
        <v>#N/A</v>
      </c>
      <c r="BBV30" t="e">
        <v>#N/A</v>
      </c>
      <c r="BBW30" t="e">
        <v>#N/A</v>
      </c>
      <c r="BBX30" t="e">
        <v>#N/A</v>
      </c>
      <c r="BBY30" t="e">
        <v>#N/A</v>
      </c>
      <c r="BBZ30" t="e">
        <v>#N/A</v>
      </c>
      <c r="BCA30" t="e">
        <v>#N/A</v>
      </c>
      <c r="BCB30" t="e">
        <v>#N/A</v>
      </c>
      <c r="BCC30" t="e">
        <v>#N/A</v>
      </c>
      <c r="BCD30" t="e">
        <v>#N/A</v>
      </c>
      <c r="BCE30" t="e">
        <v>#N/A</v>
      </c>
      <c r="BCF30" t="e">
        <v>#N/A</v>
      </c>
      <c r="BCG30" t="e">
        <v>#N/A</v>
      </c>
      <c r="BCH30" t="e">
        <v>#N/A</v>
      </c>
      <c r="BCI30" t="e">
        <v>#N/A</v>
      </c>
      <c r="BCJ30" t="e">
        <v>#N/A</v>
      </c>
      <c r="BCK30" t="e">
        <v>#N/A</v>
      </c>
      <c r="BCL30" t="e">
        <v>#N/A</v>
      </c>
      <c r="BCM30" t="e">
        <v>#N/A</v>
      </c>
      <c r="BCN30" t="e">
        <v>#N/A</v>
      </c>
      <c r="BCO30" t="e">
        <v>#N/A</v>
      </c>
      <c r="BCP30" t="e">
        <v>#N/A</v>
      </c>
      <c r="BCQ30" t="e">
        <v>#N/A</v>
      </c>
      <c r="BCR30" t="e">
        <v>#N/A</v>
      </c>
      <c r="BCS30" t="e">
        <v>#N/A</v>
      </c>
      <c r="BCT30" t="e">
        <v>#N/A</v>
      </c>
      <c r="BCU30" t="e">
        <v>#N/A</v>
      </c>
      <c r="BCV30" t="e">
        <v>#N/A</v>
      </c>
      <c r="BCW30" t="e">
        <v>#N/A</v>
      </c>
      <c r="BCX30" t="e">
        <v>#N/A</v>
      </c>
      <c r="BCY30" t="e">
        <v>#N/A</v>
      </c>
      <c r="BCZ30" t="e">
        <v>#N/A</v>
      </c>
      <c r="BDA30" t="e">
        <v>#N/A</v>
      </c>
      <c r="BDB30" t="e">
        <v>#N/A</v>
      </c>
      <c r="BDC30" t="e">
        <v>#N/A</v>
      </c>
      <c r="BDD30" t="e">
        <v>#N/A</v>
      </c>
      <c r="BDE30" t="e">
        <v>#N/A</v>
      </c>
      <c r="BDF30" t="e">
        <v>#N/A</v>
      </c>
      <c r="BDG30" t="e">
        <v>#N/A</v>
      </c>
      <c r="BDH30" t="e">
        <v>#N/A</v>
      </c>
      <c r="BDI30" t="e">
        <v>#N/A</v>
      </c>
      <c r="BDJ30" t="e">
        <v>#N/A</v>
      </c>
      <c r="BDK30" t="e">
        <v>#N/A</v>
      </c>
      <c r="BDL30" t="e">
        <v>#N/A</v>
      </c>
      <c r="BDM30" t="e">
        <v>#N/A</v>
      </c>
      <c r="BDN30" t="e">
        <v>#N/A</v>
      </c>
      <c r="BDO30" t="e">
        <v>#N/A</v>
      </c>
      <c r="BDP30" t="e">
        <v>#N/A</v>
      </c>
      <c r="BDQ30" t="e">
        <v>#N/A</v>
      </c>
      <c r="BDR30" t="e">
        <v>#N/A</v>
      </c>
      <c r="BDS30" t="e">
        <v>#N/A</v>
      </c>
      <c r="BDT30" t="e">
        <v>#N/A</v>
      </c>
      <c r="BDU30" t="e">
        <v>#N/A</v>
      </c>
      <c r="BDV30" t="e">
        <v>#N/A</v>
      </c>
      <c r="BDW30" t="e">
        <v>#N/A</v>
      </c>
      <c r="BDX30" t="e">
        <v>#N/A</v>
      </c>
      <c r="BDY30" t="e">
        <v>#N/A</v>
      </c>
      <c r="BDZ30" t="e">
        <v>#N/A</v>
      </c>
      <c r="BEA30" t="e">
        <v>#N/A</v>
      </c>
      <c r="BEB30" t="e">
        <v>#N/A</v>
      </c>
      <c r="BEC30" t="e">
        <v>#N/A</v>
      </c>
      <c r="BED30" t="e">
        <v>#N/A</v>
      </c>
      <c r="BEE30" t="e">
        <v>#N/A</v>
      </c>
      <c r="BEF30" t="e">
        <v>#N/A</v>
      </c>
      <c r="BEG30" t="e">
        <v>#N/A</v>
      </c>
      <c r="BEH30" t="e">
        <v>#N/A</v>
      </c>
      <c r="BEI30" t="e">
        <v>#N/A</v>
      </c>
      <c r="BEJ30" t="e">
        <v>#N/A</v>
      </c>
      <c r="BEK30" t="e">
        <v>#N/A</v>
      </c>
      <c r="BEL30" t="e">
        <v>#N/A</v>
      </c>
      <c r="BEM30" t="e">
        <v>#N/A</v>
      </c>
      <c r="BEN30" t="e">
        <v>#N/A</v>
      </c>
      <c r="BEO30" t="e">
        <v>#N/A</v>
      </c>
      <c r="BEP30" t="e">
        <v>#N/A</v>
      </c>
      <c r="BEQ30" t="e">
        <v>#N/A</v>
      </c>
      <c r="BER30" t="e">
        <v>#N/A</v>
      </c>
      <c r="BES30" t="e">
        <v>#N/A</v>
      </c>
      <c r="BET30" t="e">
        <v>#N/A</v>
      </c>
      <c r="BEU30" t="e">
        <v>#N/A</v>
      </c>
      <c r="BEV30" t="e">
        <v>#N/A</v>
      </c>
      <c r="BEW30" t="e">
        <v>#N/A</v>
      </c>
      <c r="BEX30" t="e">
        <v>#N/A</v>
      </c>
      <c r="BEY30" t="e">
        <v>#N/A</v>
      </c>
      <c r="BEZ30" t="e">
        <v>#N/A</v>
      </c>
      <c r="BFA30" t="e">
        <v>#N/A</v>
      </c>
      <c r="BFB30" t="e">
        <v>#N/A</v>
      </c>
      <c r="BFC30" t="e">
        <v>#N/A</v>
      </c>
      <c r="BFD30" t="e">
        <v>#N/A</v>
      </c>
      <c r="BFE30" t="e">
        <v>#N/A</v>
      </c>
      <c r="BFF30" t="e">
        <v>#N/A</v>
      </c>
      <c r="BFG30" t="e">
        <v>#N/A</v>
      </c>
      <c r="BFH30" t="e">
        <v>#N/A</v>
      </c>
      <c r="BFI30" t="e">
        <v>#N/A</v>
      </c>
      <c r="BFJ30" t="e">
        <v>#N/A</v>
      </c>
      <c r="BFK30" t="e">
        <v>#N/A</v>
      </c>
      <c r="BFL30" t="e">
        <v>#N/A</v>
      </c>
      <c r="BFM30" t="e">
        <v>#N/A</v>
      </c>
      <c r="BFN30" t="e">
        <v>#N/A</v>
      </c>
      <c r="BFO30" t="e">
        <v>#N/A</v>
      </c>
      <c r="BFP30" t="e">
        <v>#N/A</v>
      </c>
      <c r="BFQ30" t="e">
        <v>#N/A</v>
      </c>
      <c r="BFR30" t="e">
        <v>#N/A</v>
      </c>
      <c r="BFS30" t="e">
        <v>#N/A</v>
      </c>
      <c r="BFT30" t="e">
        <v>#N/A</v>
      </c>
      <c r="BFU30" t="e">
        <v>#N/A</v>
      </c>
      <c r="BFV30" t="e">
        <v>#N/A</v>
      </c>
      <c r="BFW30" t="e">
        <v>#N/A</v>
      </c>
      <c r="BFX30" t="e">
        <v>#N/A</v>
      </c>
      <c r="BFY30" t="e">
        <v>#N/A</v>
      </c>
      <c r="BFZ30" t="e">
        <v>#N/A</v>
      </c>
      <c r="BGA30" t="e">
        <v>#N/A</v>
      </c>
      <c r="BGB30" t="e">
        <v>#N/A</v>
      </c>
      <c r="BGC30" t="e">
        <v>#N/A</v>
      </c>
      <c r="BGD30" t="e">
        <v>#N/A</v>
      </c>
      <c r="BGE30" t="e">
        <v>#N/A</v>
      </c>
      <c r="BGF30" t="e">
        <v>#N/A</v>
      </c>
      <c r="BGG30" t="e">
        <v>#N/A</v>
      </c>
      <c r="BGH30" t="e">
        <v>#N/A</v>
      </c>
      <c r="BGI30" t="e">
        <v>#N/A</v>
      </c>
      <c r="BGJ30" t="e">
        <v>#N/A</v>
      </c>
      <c r="BGK30" t="e">
        <v>#N/A</v>
      </c>
      <c r="BGL30" t="e">
        <v>#N/A</v>
      </c>
      <c r="BGM30" t="e">
        <v>#N/A</v>
      </c>
      <c r="BGN30" t="e">
        <v>#N/A</v>
      </c>
      <c r="BGO30" t="e">
        <v>#N/A</v>
      </c>
      <c r="BGP30" t="e">
        <v>#N/A</v>
      </c>
      <c r="BGQ30" t="e">
        <v>#N/A</v>
      </c>
      <c r="BGR30" t="e">
        <v>#N/A</v>
      </c>
      <c r="BGS30" t="e">
        <v>#N/A</v>
      </c>
      <c r="BGT30" t="e">
        <v>#N/A</v>
      </c>
      <c r="BGU30" t="e">
        <v>#N/A</v>
      </c>
      <c r="BGV30" t="e">
        <v>#N/A</v>
      </c>
      <c r="BGW30" t="e">
        <v>#N/A</v>
      </c>
      <c r="BGX30" t="e">
        <v>#N/A</v>
      </c>
      <c r="BGY30" t="e">
        <v>#N/A</v>
      </c>
      <c r="BGZ30" t="e">
        <v>#N/A</v>
      </c>
      <c r="BHA30" t="e">
        <v>#N/A</v>
      </c>
      <c r="BHB30" t="e">
        <v>#N/A</v>
      </c>
      <c r="BHC30" t="e">
        <v>#N/A</v>
      </c>
      <c r="BHD30" t="e">
        <v>#N/A</v>
      </c>
      <c r="BHE30" t="e">
        <v>#N/A</v>
      </c>
      <c r="BHF30" t="e">
        <v>#N/A</v>
      </c>
      <c r="BHG30" t="e">
        <v>#N/A</v>
      </c>
      <c r="BHH30" t="e">
        <v>#N/A</v>
      </c>
      <c r="BHI30" t="e">
        <v>#N/A</v>
      </c>
      <c r="BHJ30" t="e">
        <v>#N/A</v>
      </c>
      <c r="BHK30" t="e">
        <v>#N/A</v>
      </c>
      <c r="BHL30" t="e">
        <v>#N/A</v>
      </c>
      <c r="BHM30" t="e">
        <v>#N/A</v>
      </c>
      <c r="BHN30" t="e">
        <v>#N/A</v>
      </c>
      <c r="BHO30" t="e">
        <v>#N/A</v>
      </c>
      <c r="BHP30" t="e">
        <v>#N/A</v>
      </c>
      <c r="BHQ30" t="e">
        <v>#N/A</v>
      </c>
      <c r="BHR30" t="e">
        <v>#N/A</v>
      </c>
      <c r="BHS30" t="e">
        <v>#N/A</v>
      </c>
      <c r="BHT30" t="e">
        <v>#N/A</v>
      </c>
      <c r="BHU30" t="e">
        <v>#N/A</v>
      </c>
      <c r="BHV30" t="e">
        <v>#N/A</v>
      </c>
      <c r="BHW30" t="e">
        <v>#N/A</v>
      </c>
      <c r="BHX30" t="e">
        <v>#N/A</v>
      </c>
      <c r="BHY30" t="e">
        <v>#N/A</v>
      </c>
      <c r="BHZ30" t="e">
        <v>#N/A</v>
      </c>
      <c r="BIA30" t="e">
        <v>#N/A</v>
      </c>
      <c r="BIB30" t="e">
        <v>#N/A</v>
      </c>
      <c r="BIC30" t="e">
        <v>#N/A</v>
      </c>
      <c r="BID30" t="e">
        <v>#N/A</v>
      </c>
      <c r="BIE30" t="e">
        <v>#N/A</v>
      </c>
      <c r="BIF30" t="e">
        <v>#N/A</v>
      </c>
      <c r="BIG30" t="e">
        <v>#N/A</v>
      </c>
      <c r="BIH30" t="e">
        <v>#N/A</v>
      </c>
      <c r="BII30" t="e">
        <v>#N/A</v>
      </c>
      <c r="BIJ30" t="e">
        <v>#N/A</v>
      </c>
      <c r="BIK30" t="e">
        <v>#N/A</v>
      </c>
      <c r="BIL30" t="e">
        <v>#N/A</v>
      </c>
      <c r="BIM30" t="e">
        <v>#N/A</v>
      </c>
      <c r="BIN30" t="e">
        <v>#N/A</v>
      </c>
      <c r="BIO30" t="e">
        <v>#N/A</v>
      </c>
      <c r="BIP30" t="e">
        <v>#N/A</v>
      </c>
      <c r="BIQ30" t="e">
        <v>#N/A</v>
      </c>
      <c r="BIR30" t="e">
        <v>#N/A</v>
      </c>
      <c r="BIS30" t="e">
        <v>#N/A</v>
      </c>
      <c r="BIT30" t="e">
        <v>#N/A</v>
      </c>
      <c r="BIU30" t="e">
        <v>#N/A</v>
      </c>
      <c r="BIV30" t="e">
        <v>#N/A</v>
      </c>
      <c r="BIW30" t="e">
        <v>#N/A</v>
      </c>
      <c r="BIX30" t="e">
        <v>#N/A</v>
      </c>
      <c r="BIY30" t="e">
        <v>#N/A</v>
      </c>
      <c r="BIZ30" t="e">
        <v>#N/A</v>
      </c>
      <c r="BJA30" t="e">
        <v>#N/A</v>
      </c>
      <c r="BJB30" t="e">
        <v>#N/A</v>
      </c>
      <c r="BJC30" t="e">
        <v>#N/A</v>
      </c>
      <c r="BJD30" t="e">
        <v>#N/A</v>
      </c>
      <c r="BJE30" t="e">
        <v>#N/A</v>
      </c>
      <c r="BJF30" t="e">
        <v>#N/A</v>
      </c>
      <c r="BJG30" t="e">
        <v>#N/A</v>
      </c>
      <c r="BJH30" t="e">
        <v>#N/A</v>
      </c>
      <c r="BJI30" t="e">
        <v>#N/A</v>
      </c>
      <c r="BJJ30" t="e">
        <v>#N/A</v>
      </c>
      <c r="BJK30" t="e">
        <v>#N/A</v>
      </c>
      <c r="BJL30" t="e">
        <v>#N/A</v>
      </c>
      <c r="BJM30" t="e">
        <v>#N/A</v>
      </c>
      <c r="BJN30" t="e">
        <v>#N/A</v>
      </c>
      <c r="BJO30" t="e">
        <v>#N/A</v>
      </c>
      <c r="BJP30" t="e">
        <v>#N/A</v>
      </c>
      <c r="BJQ30" t="e">
        <v>#N/A</v>
      </c>
      <c r="BJR30" t="e">
        <v>#N/A</v>
      </c>
      <c r="BJS30" t="e">
        <v>#N/A</v>
      </c>
      <c r="BJT30" t="e">
        <v>#N/A</v>
      </c>
      <c r="BJU30" t="e">
        <v>#N/A</v>
      </c>
      <c r="BJV30" t="e">
        <v>#N/A</v>
      </c>
      <c r="BJW30" t="e">
        <v>#N/A</v>
      </c>
      <c r="BJX30" t="e">
        <v>#N/A</v>
      </c>
      <c r="BJY30" t="e">
        <v>#N/A</v>
      </c>
      <c r="BJZ30" t="e">
        <v>#N/A</v>
      </c>
      <c r="BKA30" t="e">
        <v>#N/A</v>
      </c>
      <c r="BKB30" t="e">
        <v>#N/A</v>
      </c>
      <c r="BKC30" t="e">
        <v>#N/A</v>
      </c>
      <c r="BKD30" t="e">
        <v>#N/A</v>
      </c>
      <c r="BKE30" t="e">
        <v>#N/A</v>
      </c>
      <c r="BKF30" t="e">
        <v>#N/A</v>
      </c>
      <c r="BKG30" t="e">
        <v>#N/A</v>
      </c>
      <c r="BKH30" t="e">
        <v>#N/A</v>
      </c>
      <c r="BKI30" t="e">
        <v>#N/A</v>
      </c>
      <c r="BKJ30" t="e">
        <v>#N/A</v>
      </c>
      <c r="BKK30" t="e">
        <v>#N/A</v>
      </c>
      <c r="BKL30" t="e">
        <v>#N/A</v>
      </c>
      <c r="BKM30" t="e">
        <v>#N/A</v>
      </c>
      <c r="BKN30" t="e">
        <v>#N/A</v>
      </c>
      <c r="BKO30" t="e">
        <v>#N/A</v>
      </c>
      <c r="BKP30" t="e">
        <v>#N/A</v>
      </c>
      <c r="BKQ30" t="e">
        <v>#N/A</v>
      </c>
      <c r="BKR30" t="e">
        <v>#N/A</v>
      </c>
      <c r="BKS30" t="e">
        <v>#N/A</v>
      </c>
      <c r="BKT30" t="e">
        <v>#N/A</v>
      </c>
      <c r="BKU30" t="e">
        <v>#N/A</v>
      </c>
      <c r="BKV30" t="e">
        <v>#N/A</v>
      </c>
      <c r="BKW30" t="e">
        <v>#N/A</v>
      </c>
      <c r="BKX30" t="e">
        <v>#N/A</v>
      </c>
      <c r="BKY30" t="e">
        <v>#N/A</v>
      </c>
      <c r="BKZ30" t="e">
        <v>#N/A</v>
      </c>
      <c r="BLA30" t="e">
        <v>#N/A</v>
      </c>
      <c r="BLB30" t="e">
        <v>#N/A</v>
      </c>
      <c r="BLC30" t="e">
        <v>#N/A</v>
      </c>
      <c r="BLD30" t="e">
        <v>#N/A</v>
      </c>
      <c r="BLE30" t="e">
        <v>#N/A</v>
      </c>
      <c r="BLF30" t="e">
        <v>#N/A</v>
      </c>
      <c r="BLG30" t="e">
        <v>#N/A</v>
      </c>
      <c r="BLH30" t="e">
        <v>#N/A</v>
      </c>
      <c r="BLI30" t="e">
        <v>#N/A</v>
      </c>
      <c r="BLJ30" t="e">
        <v>#N/A</v>
      </c>
      <c r="BLK30" t="e">
        <v>#N/A</v>
      </c>
      <c r="BLL30" t="e">
        <v>#N/A</v>
      </c>
      <c r="BLM30" t="e">
        <v>#N/A</v>
      </c>
      <c r="BLN30" t="e">
        <v>#N/A</v>
      </c>
      <c r="BLO30" t="e">
        <v>#N/A</v>
      </c>
      <c r="BLP30" t="e">
        <v>#N/A</v>
      </c>
      <c r="BLQ30" t="e">
        <v>#N/A</v>
      </c>
      <c r="BLR30" t="e">
        <v>#N/A</v>
      </c>
      <c r="BLS30" t="e">
        <v>#N/A</v>
      </c>
      <c r="BLT30" t="e">
        <v>#N/A</v>
      </c>
      <c r="BLU30" t="e">
        <v>#N/A</v>
      </c>
      <c r="BLV30" t="e">
        <v>#N/A</v>
      </c>
      <c r="BLW30" t="e">
        <v>#N/A</v>
      </c>
      <c r="BLX30" t="e">
        <v>#N/A</v>
      </c>
      <c r="BLY30" t="e">
        <v>#N/A</v>
      </c>
      <c r="BLZ30" t="e">
        <v>#N/A</v>
      </c>
      <c r="BMA30" t="e">
        <v>#N/A</v>
      </c>
      <c r="BMB30" t="e">
        <v>#N/A</v>
      </c>
      <c r="BMC30" t="e">
        <v>#N/A</v>
      </c>
      <c r="BMD30" t="e">
        <v>#N/A</v>
      </c>
      <c r="BME30" t="e">
        <v>#N/A</v>
      </c>
      <c r="BMF30" t="e">
        <v>#N/A</v>
      </c>
      <c r="BMG30" t="e">
        <v>#N/A</v>
      </c>
      <c r="BMH30" t="e">
        <v>#N/A</v>
      </c>
      <c r="BMI30" t="e">
        <v>#N/A</v>
      </c>
      <c r="BMJ30" t="e">
        <v>#N/A</v>
      </c>
      <c r="BMK30" t="e">
        <v>#N/A</v>
      </c>
      <c r="BML30" t="e">
        <v>#N/A</v>
      </c>
      <c r="BMM30" t="e">
        <v>#N/A</v>
      </c>
      <c r="BMN30" t="e">
        <v>#N/A</v>
      </c>
      <c r="BMO30" t="e">
        <v>#N/A</v>
      </c>
      <c r="BMP30" t="e">
        <v>#N/A</v>
      </c>
      <c r="BMQ30" t="e">
        <v>#N/A</v>
      </c>
      <c r="BMR30" t="e">
        <v>#N/A</v>
      </c>
      <c r="BMS30" t="e">
        <v>#N/A</v>
      </c>
      <c r="BMT30" t="e">
        <v>#N/A</v>
      </c>
      <c r="BMU30" t="e">
        <v>#N/A</v>
      </c>
      <c r="BMV30" t="e">
        <v>#N/A</v>
      </c>
      <c r="BMW30" t="e">
        <v>#N/A</v>
      </c>
      <c r="BMX30" t="e">
        <v>#N/A</v>
      </c>
      <c r="BMY30" t="e">
        <v>#N/A</v>
      </c>
      <c r="BMZ30" t="e">
        <v>#N/A</v>
      </c>
      <c r="BNA30" t="e">
        <v>#N/A</v>
      </c>
      <c r="BNB30" t="e">
        <v>#N/A</v>
      </c>
      <c r="BNC30" t="e">
        <v>#N/A</v>
      </c>
      <c r="BND30" t="e">
        <v>#N/A</v>
      </c>
      <c r="BNE30" t="e">
        <v>#N/A</v>
      </c>
      <c r="BNF30" t="e">
        <v>#N/A</v>
      </c>
      <c r="BNG30" t="e">
        <v>#N/A</v>
      </c>
      <c r="BNH30" t="e">
        <v>#N/A</v>
      </c>
      <c r="BNI30" t="e">
        <v>#N/A</v>
      </c>
      <c r="BNJ30" t="e">
        <v>#N/A</v>
      </c>
      <c r="BNK30" t="e">
        <v>#N/A</v>
      </c>
      <c r="BNL30" t="e">
        <v>#N/A</v>
      </c>
      <c r="BNM30" t="e">
        <v>#N/A</v>
      </c>
      <c r="BNN30" t="e">
        <v>#N/A</v>
      </c>
      <c r="BNO30" t="e">
        <v>#N/A</v>
      </c>
      <c r="BNP30" t="e">
        <v>#N/A</v>
      </c>
      <c r="BNQ30" t="e">
        <v>#N/A</v>
      </c>
      <c r="BNR30" t="e">
        <v>#N/A</v>
      </c>
      <c r="BNS30" t="e">
        <v>#N/A</v>
      </c>
      <c r="BNT30" t="e">
        <v>#N/A</v>
      </c>
      <c r="BNU30" t="e">
        <v>#N/A</v>
      </c>
      <c r="BNV30" t="e">
        <v>#N/A</v>
      </c>
      <c r="BNW30" t="e">
        <v>#N/A</v>
      </c>
      <c r="BNX30" t="e">
        <v>#N/A</v>
      </c>
      <c r="BNY30" t="e">
        <v>#N/A</v>
      </c>
      <c r="BNZ30" t="e">
        <v>#N/A</v>
      </c>
      <c r="BOA30" t="e">
        <v>#N/A</v>
      </c>
      <c r="BOB30" t="e">
        <v>#N/A</v>
      </c>
      <c r="BOC30" t="e">
        <v>#N/A</v>
      </c>
      <c r="BOD30" t="e">
        <v>#N/A</v>
      </c>
      <c r="BOE30" t="e">
        <v>#N/A</v>
      </c>
      <c r="BOF30" t="e">
        <v>#N/A</v>
      </c>
      <c r="BOG30" t="e">
        <v>#N/A</v>
      </c>
      <c r="BOH30" t="e">
        <v>#N/A</v>
      </c>
      <c r="BOI30" t="e">
        <v>#N/A</v>
      </c>
      <c r="BOJ30" t="e">
        <v>#N/A</v>
      </c>
      <c r="BOK30" t="e">
        <v>#N/A</v>
      </c>
      <c r="BOL30" t="e">
        <v>#N/A</v>
      </c>
      <c r="BOM30" t="e">
        <v>#N/A</v>
      </c>
      <c r="BON30" t="e">
        <v>#N/A</v>
      </c>
      <c r="BOO30" t="e">
        <v>#N/A</v>
      </c>
      <c r="BOP30" t="e">
        <v>#N/A</v>
      </c>
      <c r="BOQ30" t="e">
        <v>#N/A</v>
      </c>
      <c r="BOR30" t="e">
        <v>#N/A</v>
      </c>
      <c r="BOS30" t="e">
        <v>#N/A</v>
      </c>
      <c r="BOT30" t="e">
        <v>#N/A</v>
      </c>
      <c r="BOU30" t="e">
        <v>#N/A</v>
      </c>
      <c r="BOV30" t="e">
        <v>#N/A</v>
      </c>
      <c r="BOW30" t="e">
        <v>#N/A</v>
      </c>
      <c r="BOX30" t="e">
        <v>#N/A</v>
      </c>
      <c r="BOY30" t="e">
        <v>#N/A</v>
      </c>
      <c r="BOZ30" t="e">
        <v>#N/A</v>
      </c>
      <c r="BPA30" t="e">
        <v>#N/A</v>
      </c>
      <c r="BPB30" t="e">
        <v>#N/A</v>
      </c>
      <c r="BPC30" t="e">
        <v>#N/A</v>
      </c>
      <c r="BPD30" t="e">
        <v>#N/A</v>
      </c>
      <c r="BPE30" t="e">
        <v>#N/A</v>
      </c>
      <c r="BPF30" t="e">
        <v>#N/A</v>
      </c>
      <c r="BPG30" t="e">
        <v>#N/A</v>
      </c>
      <c r="BPH30" t="e">
        <v>#N/A</v>
      </c>
      <c r="BPI30" t="e">
        <v>#N/A</v>
      </c>
      <c r="BPJ30" t="e">
        <v>#N/A</v>
      </c>
      <c r="BPK30" t="e">
        <v>#N/A</v>
      </c>
      <c r="BPL30" t="e">
        <v>#N/A</v>
      </c>
      <c r="BPM30" t="e">
        <v>#N/A</v>
      </c>
      <c r="BPN30" t="e">
        <v>#N/A</v>
      </c>
      <c r="BPO30" t="e">
        <v>#N/A</v>
      </c>
      <c r="BPP30" t="e">
        <v>#N/A</v>
      </c>
      <c r="BPQ30" t="e">
        <v>#N/A</v>
      </c>
      <c r="BPR30" t="e">
        <v>#N/A</v>
      </c>
      <c r="BPS30" t="e">
        <v>#N/A</v>
      </c>
      <c r="BPT30" t="e">
        <v>#N/A</v>
      </c>
      <c r="BPU30" t="e">
        <v>#N/A</v>
      </c>
      <c r="BPV30" t="e">
        <v>#N/A</v>
      </c>
      <c r="BPW30" t="e">
        <v>#N/A</v>
      </c>
      <c r="BPX30" t="e">
        <v>#N/A</v>
      </c>
      <c r="BPY30" t="e">
        <v>#N/A</v>
      </c>
      <c r="BPZ30" t="e">
        <v>#N/A</v>
      </c>
      <c r="BQA30" t="e">
        <v>#N/A</v>
      </c>
      <c r="BQB30" t="e">
        <v>#N/A</v>
      </c>
      <c r="BQC30" t="e">
        <v>#N/A</v>
      </c>
      <c r="BQD30" t="e">
        <v>#N/A</v>
      </c>
      <c r="BQE30" t="e">
        <v>#N/A</v>
      </c>
      <c r="BQF30" t="e">
        <v>#N/A</v>
      </c>
      <c r="BQG30" t="e">
        <v>#N/A</v>
      </c>
      <c r="BQH30" t="e">
        <v>#N/A</v>
      </c>
      <c r="BQI30" t="e">
        <v>#N/A</v>
      </c>
      <c r="BQJ30" t="e">
        <v>#N/A</v>
      </c>
      <c r="BQK30" t="e">
        <v>#N/A</v>
      </c>
      <c r="BQL30" t="e">
        <v>#N/A</v>
      </c>
      <c r="BQM30" t="e">
        <v>#N/A</v>
      </c>
      <c r="BQN30" t="e">
        <v>#N/A</v>
      </c>
      <c r="BQO30" t="e">
        <v>#N/A</v>
      </c>
      <c r="BQP30" t="e">
        <v>#N/A</v>
      </c>
      <c r="BQQ30" t="e">
        <v>#N/A</v>
      </c>
      <c r="BQR30" t="e">
        <v>#N/A</v>
      </c>
      <c r="BQS30" t="e">
        <v>#N/A</v>
      </c>
      <c r="BQT30" t="e">
        <v>#N/A</v>
      </c>
      <c r="BQU30" t="e">
        <v>#N/A</v>
      </c>
      <c r="BQV30" t="e">
        <v>#N/A</v>
      </c>
      <c r="BQW30" t="e">
        <v>#N/A</v>
      </c>
      <c r="BQX30" t="e">
        <v>#N/A</v>
      </c>
      <c r="BQY30" t="e">
        <v>#N/A</v>
      </c>
      <c r="BQZ30" t="e">
        <v>#N/A</v>
      </c>
      <c r="BRA30" t="e">
        <v>#N/A</v>
      </c>
      <c r="BRB30" t="e">
        <v>#N/A</v>
      </c>
      <c r="BRC30" t="e">
        <v>#N/A</v>
      </c>
      <c r="BRD30" t="e">
        <v>#N/A</v>
      </c>
      <c r="BRE30" t="e">
        <v>#N/A</v>
      </c>
      <c r="BRF30" t="e">
        <v>#N/A</v>
      </c>
      <c r="BRG30" t="e">
        <v>#N/A</v>
      </c>
      <c r="BRH30" t="e">
        <v>#N/A</v>
      </c>
      <c r="BRI30" t="e">
        <v>#N/A</v>
      </c>
      <c r="BRJ30" t="e">
        <v>#N/A</v>
      </c>
      <c r="BRK30" t="e">
        <v>#N/A</v>
      </c>
      <c r="BRL30" t="e">
        <v>#N/A</v>
      </c>
      <c r="BRM30" t="e">
        <v>#N/A</v>
      </c>
      <c r="BRN30" t="e">
        <v>#N/A</v>
      </c>
      <c r="BRO30" t="e">
        <v>#N/A</v>
      </c>
      <c r="BRP30" t="e">
        <v>#N/A</v>
      </c>
      <c r="BRQ30" t="e">
        <v>#N/A</v>
      </c>
      <c r="BRR30" t="e">
        <v>#N/A</v>
      </c>
      <c r="BRS30" t="e">
        <v>#N/A</v>
      </c>
      <c r="BRT30" t="e">
        <v>#N/A</v>
      </c>
      <c r="BRU30" t="e">
        <v>#N/A</v>
      </c>
      <c r="BRV30" t="e">
        <v>#N/A</v>
      </c>
      <c r="BRW30" t="e">
        <v>#N/A</v>
      </c>
      <c r="BRX30" t="e">
        <v>#N/A</v>
      </c>
      <c r="BRY30" t="e">
        <v>#N/A</v>
      </c>
      <c r="BRZ30" t="e">
        <v>#N/A</v>
      </c>
      <c r="BSA30" t="e">
        <v>#N/A</v>
      </c>
      <c r="BSB30" t="e">
        <v>#N/A</v>
      </c>
      <c r="BSC30" t="e">
        <v>#N/A</v>
      </c>
      <c r="BSD30" t="e">
        <v>#N/A</v>
      </c>
      <c r="BSE30" t="e">
        <v>#N/A</v>
      </c>
      <c r="BSF30" t="e">
        <v>#N/A</v>
      </c>
      <c r="BSG30" t="e">
        <v>#N/A</v>
      </c>
      <c r="BSH30" t="e">
        <v>#N/A</v>
      </c>
      <c r="BSI30" t="e">
        <v>#N/A</v>
      </c>
      <c r="BSJ30" t="e">
        <v>#N/A</v>
      </c>
      <c r="BSK30" t="e">
        <v>#N/A</v>
      </c>
      <c r="BSL30" t="e">
        <v>#N/A</v>
      </c>
      <c r="BSM30" t="e">
        <v>#N/A</v>
      </c>
      <c r="BSN30" t="e">
        <v>#N/A</v>
      </c>
      <c r="BSO30" t="e">
        <v>#N/A</v>
      </c>
      <c r="BSP30" t="e">
        <v>#N/A</v>
      </c>
      <c r="BSQ30" t="e">
        <v>#N/A</v>
      </c>
      <c r="BSR30" t="e">
        <v>#N/A</v>
      </c>
      <c r="BSS30" t="e">
        <v>#N/A</v>
      </c>
      <c r="BST30" t="e">
        <v>#N/A</v>
      </c>
      <c r="BSU30" t="e">
        <v>#N/A</v>
      </c>
      <c r="BSV30" t="e">
        <v>#N/A</v>
      </c>
      <c r="BSW30" t="e">
        <v>#N/A</v>
      </c>
      <c r="BSX30" t="e">
        <v>#N/A</v>
      </c>
      <c r="BSY30" t="e">
        <v>#N/A</v>
      </c>
      <c r="BSZ30" t="e">
        <v>#N/A</v>
      </c>
      <c r="BTA30" t="e">
        <v>#N/A</v>
      </c>
      <c r="BTB30" t="e">
        <v>#N/A</v>
      </c>
      <c r="BTC30" t="e">
        <v>#N/A</v>
      </c>
      <c r="BTD30" t="e">
        <v>#N/A</v>
      </c>
      <c r="BTE30" t="e">
        <v>#N/A</v>
      </c>
      <c r="BTF30" t="e">
        <v>#N/A</v>
      </c>
      <c r="BTG30" t="e">
        <v>#N/A</v>
      </c>
      <c r="BTH30" t="e">
        <v>#N/A</v>
      </c>
      <c r="BTI30" t="e">
        <v>#N/A</v>
      </c>
      <c r="BTJ30" t="e">
        <v>#N/A</v>
      </c>
      <c r="BTK30" t="e">
        <v>#N/A</v>
      </c>
      <c r="BTL30" t="e">
        <v>#N/A</v>
      </c>
      <c r="BTM30" t="e">
        <v>#N/A</v>
      </c>
      <c r="BTN30" t="e">
        <v>#N/A</v>
      </c>
      <c r="BTO30" t="e">
        <v>#N/A</v>
      </c>
      <c r="BTP30" t="e">
        <v>#N/A</v>
      </c>
      <c r="BTQ30" t="e">
        <v>#N/A</v>
      </c>
      <c r="BTR30" t="e">
        <v>#N/A</v>
      </c>
      <c r="BTS30" t="e">
        <v>#N/A</v>
      </c>
      <c r="BTT30" t="e">
        <v>#N/A</v>
      </c>
      <c r="BTU30" t="e">
        <v>#N/A</v>
      </c>
      <c r="BTV30" t="e">
        <v>#N/A</v>
      </c>
      <c r="BTW30" t="e">
        <v>#N/A</v>
      </c>
      <c r="BTX30" t="e">
        <v>#N/A</v>
      </c>
      <c r="BTY30" t="e">
        <v>#N/A</v>
      </c>
      <c r="BTZ30" t="e">
        <v>#N/A</v>
      </c>
      <c r="BUA30" t="e">
        <v>#N/A</v>
      </c>
      <c r="BUB30" t="e">
        <v>#N/A</v>
      </c>
      <c r="BUC30" t="e">
        <v>#N/A</v>
      </c>
      <c r="BUD30" t="e">
        <v>#N/A</v>
      </c>
      <c r="BUE30" t="e">
        <v>#N/A</v>
      </c>
      <c r="BUF30" t="e">
        <v>#N/A</v>
      </c>
      <c r="BUG30" t="e">
        <v>#N/A</v>
      </c>
      <c r="BUH30" t="e">
        <v>#N/A</v>
      </c>
      <c r="BUI30" t="e">
        <v>#N/A</v>
      </c>
      <c r="BUJ30" t="e">
        <v>#N/A</v>
      </c>
      <c r="BUK30" t="e">
        <v>#N/A</v>
      </c>
      <c r="BUL30" t="e">
        <v>#N/A</v>
      </c>
      <c r="BUM30" t="e">
        <v>#N/A</v>
      </c>
      <c r="BUN30" t="e">
        <v>#N/A</v>
      </c>
      <c r="BUO30" t="e">
        <v>#N/A</v>
      </c>
      <c r="BUP30" t="e">
        <v>#N/A</v>
      </c>
      <c r="BUQ30" t="e">
        <v>#N/A</v>
      </c>
      <c r="BUR30" t="e">
        <v>#N/A</v>
      </c>
      <c r="BUS30" t="e">
        <v>#N/A</v>
      </c>
      <c r="BUT30" t="e">
        <v>#N/A</v>
      </c>
      <c r="BUU30" t="e">
        <v>#N/A</v>
      </c>
      <c r="BUV30" t="e">
        <v>#N/A</v>
      </c>
      <c r="BUW30" t="e">
        <v>#N/A</v>
      </c>
      <c r="BUX30" t="e">
        <v>#N/A</v>
      </c>
      <c r="BUY30" t="e">
        <v>#N/A</v>
      </c>
      <c r="BUZ30" t="e">
        <v>#N/A</v>
      </c>
      <c r="BVA30" t="e">
        <v>#N/A</v>
      </c>
      <c r="BVB30" t="e">
        <v>#N/A</v>
      </c>
      <c r="BVC30" t="e">
        <v>#N/A</v>
      </c>
      <c r="BVD30" t="e">
        <v>#N/A</v>
      </c>
      <c r="BVE30" t="e">
        <v>#N/A</v>
      </c>
      <c r="BVF30" t="e">
        <v>#N/A</v>
      </c>
      <c r="BVG30" t="e">
        <v>#N/A</v>
      </c>
      <c r="BVH30" t="e">
        <v>#N/A</v>
      </c>
      <c r="BVI30" t="e">
        <v>#N/A</v>
      </c>
      <c r="BVJ30" t="e">
        <v>#N/A</v>
      </c>
      <c r="BVK30" t="e">
        <v>#N/A</v>
      </c>
      <c r="BVL30" t="e">
        <v>#N/A</v>
      </c>
      <c r="BVM30" t="e">
        <v>#N/A</v>
      </c>
      <c r="BVN30" t="e">
        <v>#N/A</v>
      </c>
      <c r="BVO30" t="e">
        <v>#N/A</v>
      </c>
      <c r="BVP30" t="e">
        <v>#N/A</v>
      </c>
      <c r="BVQ30" t="e">
        <v>#N/A</v>
      </c>
      <c r="BVR30" t="e">
        <v>#N/A</v>
      </c>
      <c r="BVS30" t="e">
        <v>#N/A</v>
      </c>
      <c r="BVT30" t="e">
        <v>#N/A</v>
      </c>
      <c r="BVU30" t="e">
        <v>#N/A</v>
      </c>
      <c r="BVV30" t="e">
        <v>#N/A</v>
      </c>
      <c r="BVW30" t="e">
        <v>#N/A</v>
      </c>
      <c r="BVX30" t="e">
        <v>#N/A</v>
      </c>
      <c r="BVY30" t="e">
        <v>#N/A</v>
      </c>
      <c r="BVZ30" t="e">
        <v>#N/A</v>
      </c>
      <c r="BWA30" t="e">
        <v>#N/A</v>
      </c>
      <c r="BWB30" t="e">
        <v>#N/A</v>
      </c>
      <c r="BWC30" t="e">
        <v>#N/A</v>
      </c>
      <c r="BWD30" t="e">
        <v>#N/A</v>
      </c>
      <c r="BWE30" t="e">
        <v>#N/A</v>
      </c>
      <c r="BWF30" t="e">
        <v>#N/A</v>
      </c>
      <c r="BWG30" t="e">
        <v>#N/A</v>
      </c>
      <c r="BWH30" t="e">
        <v>#N/A</v>
      </c>
      <c r="BWI30" t="e">
        <v>#N/A</v>
      </c>
      <c r="BWJ30" t="e">
        <v>#N/A</v>
      </c>
      <c r="BWK30" t="e">
        <v>#N/A</v>
      </c>
      <c r="BWL30" t="e">
        <v>#N/A</v>
      </c>
      <c r="BWM30" t="e">
        <v>#N/A</v>
      </c>
      <c r="BWN30" t="e">
        <v>#N/A</v>
      </c>
      <c r="BWO30" t="e">
        <v>#N/A</v>
      </c>
      <c r="BWP30" t="e">
        <v>#N/A</v>
      </c>
      <c r="BWQ30" t="e">
        <v>#N/A</v>
      </c>
      <c r="BWR30" t="e">
        <v>#N/A</v>
      </c>
      <c r="BWS30" t="e">
        <v>#N/A</v>
      </c>
      <c r="BWT30" t="e">
        <v>#N/A</v>
      </c>
      <c r="BWU30" t="e">
        <v>#N/A</v>
      </c>
      <c r="BWV30" t="e">
        <v>#N/A</v>
      </c>
      <c r="BWW30" t="e">
        <v>#N/A</v>
      </c>
      <c r="BWX30" t="e">
        <v>#N/A</v>
      </c>
      <c r="BWY30" t="e">
        <v>#N/A</v>
      </c>
      <c r="BWZ30" t="e">
        <v>#N/A</v>
      </c>
      <c r="BXA30" t="e">
        <v>#N/A</v>
      </c>
      <c r="BXB30" t="e">
        <v>#N/A</v>
      </c>
      <c r="BXC30" t="e">
        <v>#N/A</v>
      </c>
      <c r="BXD30" t="e">
        <v>#N/A</v>
      </c>
      <c r="BXE30" t="e">
        <v>#N/A</v>
      </c>
      <c r="BXF30" t="e">
        <v>#N/A</v>
      </c>
      <c r="BXG30" t="e">
        <v>#N/A</v>
      </c>
      <c r="BXH30" t="e">
        <v>#N/A</v>
      </c>
      <c r="BXI30" t="e">
        <v>#N/A</v>
      </c>
      <c r="BXJ30" t="e">
        <v>#N/A</v>
      </c>
      <c r="BXK30" t="e">
        <v>#N/A</v>
      </c>
      <c r="BXL30" t="e">
        <v>#N/A</v>
      </c>
      <c r="BXM30" t="e">
        <v>#N/A</v>
      </c>
      <c r="BXN30" t="e">
        <v>#N/A</v>
      </c>
      <c r="BXO30" t="e">
        <v>#N/A</v>
      </c>
      <c r="BXP30" t="e">
        <v>#N/A</v>
      </c>
      <c r="BXQ30" t="e">
        <v>#N/A</v>
      </c>
      <c r="BXR30" t="e">
        <v>#N/A</v>
      </c>
      <c r="BXS30" t="e">
        <v>#N/A</v>
      </c>
      <c r="BXT30" t="e">
        <v>#N/A</v>
      </c>
      <c r="BXU30" t="e">
        <v>#N/A</v>
      </c>
      <c r="BXV30" t="e">
        <v>#N/A</v>
      </c>
      <c r="BXW30" t="e">
        <v>#N/A</v>
      </c>
      <c r="BXX30" t="e">
        <v>#N/A</v>
      </c>
      <c r="BXY30" t="e">
        <v>#N/A</v>
      </c>
      <c r="BXZ30" t="e">
        <v>#N/A</v>
      </c>
      <c r="BYA30" t="e">
        <v>#N/A</v>
      </c>
      <c r="BYB30" t="e">
        <v>#N/A</v>
      </c>
      <c r="BYC30" t="e">
        <v>#N/A</v>
      </c>
      <c r="BYD30" t="e">
        <v>#N/A</v>
      </c>
      <c r="BYE30" t="e">
        <v>#N/A</v>
      </c>
      <c r="BYF30" t="e">
        <v>#N/A</v>
      </c>
      <c r="BYG30" t="e">
        <v>#N/A</v>
      </c>
      <c r="BYH30" t="e">
        <v>#N/A</v>
      </c>
      <c r="BYI30" t="e">
        <v>#N/A</v>
      </c>
      <c r="BYJ30" t="e">
        <v>#N/A</v>
      </c>
      <c r="BYK30" t="e">
        <v>#N/A</v>
      </c>
      <c r="BYL30" t="e">
        <v>#N/A</v>
      </c>
      <c r="BYM30" t="e">
        <v>#N/A</v>
      </c>
      <c r="BYN30" t="e">
        <v>#N/A</v>
      </c>
      <c r="BYO30" t="e">
        <v>#N/A</v>
      </c>
      <c r="BYP30" t="e">
        <v>#N/A</v>
      </c>
      <c r="BYQ30" t="e">
        <v>#N/A</v>
      </c>
      <c r="BYR30" t="e">
        <v>#N/A</v>
      </c>
      <c r="BYS30" t="e">
        <v>#N/A</v>
      </c>
      <c r="BYT30" t="e">
        <v>#N/A</v>
      </c>
      <c r="BYU30" t="e">
        <v>#N/A</v>
      </c>
      <c r="BYV30" t="e">
        <v>#N/A</v>
      </c>
      <c r="BYW30" t="e">
        <v>#N/A</v>
      </c>
      <c r="BYX30" t="e">
        <v>#N/A</v>
      </c>
      <c r="BYY30" t="e">
        <v>#N/A</v>
      </c>
      <c r="BYZ30" t="e">
        <v>#N/A</v>
      </c>
      <c r="BZA30" t="e">
        <v>#N/A</v>
      </c>
      <c r="BZB30" t="e">
        <v>#N/A</v>
      </c>
      <c r="BZC30" t="e">
        <v>#N/A</v>
      </c>
      <c r="BZD30" t="e">
        <v>#N/A</v>
      </c>
      <c r="BZE30" t="e">
        <v>#N/A</v>
      </c>
      <c r="BZF30" t="e">
        <v>#N/A</v>
      </c>
      <c r="BZG30" t="e">
        <v>#N/A</v>
      </c>
      <c r="BZH30" t="e">
        <v>#N/A</v>
      </c>
      <c r="BZI30" t="e">
        <v>#N/A</v>
      </c>
      <c r="BZJ30" t="e">
        <v>#N/A</v>
      </c>
      <c r="BZK30" t="e">
        <v>#N/A</v>
      </c>
      <c r="BZL30" t="e">
        <v>#N/A</v>
      </c>
      <c r="BZM30" t="e">
        <v>#N/A</v>
      </c>
      <c r="BZN30" t="e">
        <v>#N/A</v>
      </c>
      <c r="BZO30" t="e">
        <v>#N/A</v>
      </c>
      <c r="BZP30" t="e">
        <v>#N/A</v>
      </c>
      <c r="BZQ30" t="e">
        <v>#N/A</v>
      </c>
      <c r="BZR30" t="e">
        <v>#N/A</v>
      </c>
      <c r="BZS30" t="e">
        <v>#N/A</v>
      </c>
      <c r="BZT30" t="e">
        <v>#N/A</v>
      </c>
      <c r="BZU30" t="e">
        <v>#N/A</v>
      </c>
      <c r="BZV30" t="e">
        <v>#N/A</v>
      </c>
      <c r="BZW30" t="e">
        <v>#N/A</v>
      </c>
      <c r="BZX30" t="e">
        <v>#N/A</v>
      </c>
      <c r="BZY30" t="e">
        <v>#N/A</v>
      </c>
      <c r="BZZ30" t="e">
        <v>#N/A</v>
      </c>
      <c r="CAA30" t="e">
        <v>#N/A</v>
      </c>
      <c r="CAB30" t="e">
        <v>#N/A</v>
      </c>
      <c r="CAC30" t="e">
        <v>#N/A</v>
      </c>
      <c r="CAD30" t="e">
        <v>#N/A</v>
      </c>
      <c r="CAE30" t="e">
        <v>#N/A</v>
      </c>
      <c r="CAF30" t="e">
        <v>#N/A</v>
      </c>
      <c r="CAG30" t="e">
        <v>#N/A</v>
      </c>
      <c r="CAH30" t="e">
        <v>#N/A</v>
      </c>
      <c r="CAI30" t="e">
        <v>#N/A</v>
      </c>
      <c r="CAJ30" t="e">
        <v>#N/A</v>
      </c>
      <c r="CAK30" t="e">
        <v>#N/A</v>
      </c>
      <c r="CAL30" t="e">
        <v>#N/A</v>
      </c>
      <c r="CAM30" t="e">
        <v>#N/A</v>
      </c>
      <c r="CAN30" t="e">
        <v>#N/A</v>
      </c>
      <c r="CAO30" t="e">
        <v>#N/A</v>
      </c>
      <c r="CAP30" t="e">
        <v>#N/A</v>
      </c>
      <c r="CAQ30" t="e">
        <v>#N/A</v>
      </c>
      <c r="CAR30" t="e">
        <v>#N/A</v>
      </c>
      <c r="CAS30" t="e">
        <v>#N/A</v>
      </c>
      <c r="CAT30" t="e">
        <v>#N/A</v>
      </c>
      <c r="CAU30" t="e">
        <v>#N/A</v>
      </c>
      <c r="CAV30" t="e">
        <v>#N/A</v>
      </c>
      <c r="CAW30" t="e">
        <v>#N/A</v>
      </c>
      <c r="CAX30" t="e">
        <v>#N/A</v>
      </c>
      <c r="CAY30" t="e">
        <v>#N/A</v>
      </c>
      <c r="CAZ30" t="e">
        <v>#N/A</v>
      </c>
      <c r="CBA30" t="e">
        <v>#N/A</v>
      </c>
      <c r="CBB30" t="e">
        <v>#N/A</v>
      </c>
      <c r="CBC30" t="e">
        <v>#N/A</v>
      </c>
      <c r="CBD30" t="e">
        <v>#N/A</v>
      </c>
      <c r="CBE30" t="e">
        <v>#N/A</v>
      </c>
      <c r="CBF30" t="e">
        <v>#N/A</v>
      </c>
      <c r="CBG30" t="e">
        <v>#N/A</v>
      </c>
      <c r="CBH30" t="e">
        <v>#N/A</v>
      </c>
      <c r="CBI30" t="e">
        <v>#N/A</v>
      </c>
      <c r="CBJ30" t="e">
        <v>#N/A</v>
      </c>
      <c r="CBK30" t="e">
        <v>#N/A</v>
      </c>
      <c r="CBL30" t="e">
        <v>#N/A</v>
      </c>
      <c r="CBM30" t="e">
        <v>#N/A</v>
      </c>
      <c r="CBN30" t="e">
        <v>#N/A</v>
      </c>
      <c r="CBO30" t="e">
        <v>#N/A</v>
      </c>
      <c r="CBP30" t="e">
        <v>#N/A</v>
      </c>
      <c r="CBQ30" t="e">
        <v>#N/A</v>
      </c>
      <c r="CBR30" t="e">
        <v>#N/A</v>
      </c>
      <c r="CBS30" t="e">
        <v>#N/A</v>
      </c>
      <c r="CBT30" t="e">
        <v>#N/A</v>
      </c>
      <c r="CBU30" t="e">
        <v>#N/A</v>
      </c>
      <c r="CBV30" t="e">
        <v>#N/A</v>
      </c>
      <c r="CBW30" t="e">
        <v>#N/A</v>
      </c>
      <c r="CBX30" t="e">
        <v>#N/A</v>
      </c>
      <c r="CBY30" t="e">
        <v>#N/A</v>
      </c>
      <c r="CBZ30" t="e">
        <v>#N/A</v>
      </c>
      <c r="CCA30" t="e">
        <v>#N/A</v>
      </c>
      <c r="CCB30" t="e">
        <v>#N/A</v>
      </c>
      <c r="CCC30" t="e">
        <v>#N/A</v>
      </c>
      <c r="CCD30" t="e">
        <v>#N/A</v>
      </c>
      <c r="CCE30" t="e">
        <v>#N/A</v>
      </c>
      <c r="CCF30" t="e">
        <v>#N/A</v>
      </c>
      <c r="CCG30" t="e">
        <v>#N/A</v>
      </c>
      <c r="CCH30" t="e">
        <v>#N/A</v>
      </c>
      <c r="CCI30" t="e">
        <v>#N/A</v>
      </c>
      <c r="CCJ30" t="e">
        <v>#N/A</v>
      </c>
      <c r="CCK30" t="e">
        <v>#N/A</v>
      </c>
      <c r="CCL30" t="e">
        <v>#N/A</v>
      </c>
      <c r="CCM30" t="e">
        <v>#N/A</v>
      </c>
      <c r="CCN30" t="e">
        <v>#N/A</v>
      </c>
      <c r="CCO30" t="e">
        <v>#N/A</v>
      </c>
      <c r="CCP30" t="e">
        <v>#N/A</v>
      </c>
      <c r="CCQ30" t="e">
        <v>#N/A</v>
      </c>
      <c r="CCR30" t="e">
        <v>#N/A</v>
      </c>
      <c r="CCS30" t="e">
        <v>#N/A</v>
      </c>
      <c r="CCT30" t="e">
        <v>#N/A</v>
      </c>
      <c r="CCU30" t="e">
        <v>#N/A</v>
      </c>
      <c r="CCV30" t="e">
        <v>#N/A</v>
      </c>
      <c r="CCW30" t="e">
        <v>#N/A</v>
      </c>
      <c r="CCX30" t="e">
        <v>#N/A</v>
      </c>
      <c r="CCY30" t="e">
        <v>#N/A</v>
      </c>
      <c r="CCZ30" t="e">
        <v>#N/A</v>
      </c>
      <c r="CDA30" t="e">
        <v>#N/A</v>
      </c>
      <c r="CDB30" t="e">
        <v>#N/A</v>
      </c>
      <c r="CDC30" t="e">
        <v>#N/A</v>
      </c>
      <c r="CDD30" t="e">
        <v>#N/A</v>
      </c>
      <c r="CDE30" t="e">
        <v>#N/A</v>
      </c>
      <c r="CDF30" t="e">
        <v>#N/A</v>
      </c>
      <c r="CDG30" t="e">
        <v>#N/A</v>
      </c>
      <c r="CDH30" t="e">
        <v>#N/A</v>
      </c>
      <c r="CDI30" t="e">
        <v>#N/A</v>
      </c>
      <c r="CDJ30" t="e">
        <v>#N/A</v>
      </c>
      <c r="CDK30" t="e">
        <v>#N/A</v>
      </c>
      <c r="CDL30" t="e">
        <v>#N/A</v>
      </c>
      <c r="CDM30" t="e">
        <v>#N/A</v>
      </c>
      <c r="CDN30" t="e">
        <v>#N/A</v>
      </c>
      <c r="CDO30" t="e">
        <v>#N/A</v>
      </c>
      <c r="CDP30" t="e">
        <v>#N/A</v>
      </c>
      <c r="CDQ30" t="e">
        <v>#N/A</v>
      </c>
      <c r="CDR30" t="e">
        <v>#N/A</v>
      </c>
      <c r="CDS30" t="e">
        <v>#N/A</v>
      </c>
      <c r="CDT30" t="e">
        <v>#N/A</v>
      </c>
      <c r="CDU30" t="e">
        <v>#N/A</v>
      </c>
      <c r="CDV30" t="e">
        <v>#N/A</v>
      </c>
      <c r="CDW30" t="e">
        <v>#N/A</v>
      </c>
      <c r="CDX30" t="e">
        <v>#N/A</v>
      </c>
      <c r="CDY30" t="e">
        <v>#N/A</v>
      </c>
      <c r="CDZ30" t="e">
        <v>#N/A</v>
      </c>
      <c r="CEA30" t="e">
        <v>#N/A</v>
      </c>
      <c r="CEB30" t="e">
        <v>#N/A</v>
      </c>
      <c r="CEC30" t="e">
        <v>#N/A</v>
      </c>
      <c r="CED30" t="e">
        <v>#N/A</v>
      </c>
      <c r="CEE30" t="e">
        <v>#N/A</v>
      </c>
      <c r="CEF30" t="e">
        <v>#N/A</v>
      </c>
      <c r="CEG30" t="e">
        <v>#N/A</v>
      </c>
      <c r="CEH30" t="e">
        <v>#N/A</v>
      </c>
      <c r="CEI30" t="e">
        <v>#N/A</v>
      </c>
      <c r="CEJ30" t="e">
        <v>#N/A</v>
      </c>
      <c r="CEK30" t="e">
        <v>#N/A</v>
      </c>
      <c r="CEL30" t="e">
        <v>#N/A</v>
      </c>
      <c r="CEM30" t="e">
        <v>#N/A</v>
      </c>
      <c r="CEN30" t="e">
        <v>#N/A</v>
      </c>
      <c r="CEO30" t="e">
        <v>#N/A</v>
      </c>
      <c r="CEP30" t="e">
        <v>#N/A</v>
      </c>
      <c r="CEQ30" t="e">
        <v>#N/A</v>
      </c>
      <c r="CER30" t="e">
        <v>#N/A</v>
      </c>
      <c r="CES30" t="e">
        <v>#N/A</v>
      </c>
      <c r="CET30" t="e">
        <v>#N/A</v>
      </c>
      <c r="CEU30" t="e">
        <v>#N/A</v>
      </c>
      <c r="CEV30" t="e">
        <v>#N/A</v>
      </c>
      <c r="CEW30" t="e">
        <v>#N/A</v>
      </c>
      <c r="CEX30" t="e">
        <v>#N/A</v>
      </c>
      <c r="CEY30" t="e">
        <v>#N/A</v>
      </c>
      <c r="CEZ30" t="e">
        <v>#N/A</v>
      </c>
      <c r="CFA30" t="e">
        <v>#N/A</v>
      </c>
      <c r="CFB30" t="e">
        <v>#N/A</v>
      </c>
      <c r="CFC30" t="e">
        <v>#N/A</v>
      </c>
      <c r="CFD30" t="e">
        <v>#N/A</v>
      </c>
      <c r="CFE30" t="e">
        <v>#N/A</v>
      </c>
      <c r="CFF30" t="e">
        <v>#N/A</v>
      </c>
      <c r="CFG30" t="e">
        <v>#N/A</v>
      </c>
      <c r="CFH30" t="e">
        <v>#N/A</v>
      </c>
      <c r="CFI30" t="e">
        <v>#N/A</v>
      </c>
      <c r="CFJ30" t="e">
        <v>#N/A</v>
      </c>
      <c r="CFK30" t="e">
        <v>#N/A</v>
      </c>
      <c r="CFL30" t="e">
        <v>#N/A</v>
      </c>
      <c r="CFM30" t="e">
        <v>#N/A</v>
      </c>
      <c r="CFN30" t="e">
        <v>#N/A</v>
      </c>
      <c r="CFO30" t="e">
        <v>#N/A</v>
      </c>
      <c r="CFP30" t="e">
        <v>#N/A</v>
      </c>
      <c r="CFQ30" t="e">
        <v>#N/A</v>
      </c>
      <c r="CFR30" t="e">
        <v>#N/A</v>
      </c>
      <c r="CFS30" t="e">
        <v>#N/A</v>
      </c>
      <c r="CFT30" t="e">
        <v>#N/A</v>
      </c>
      <c r="CFU30" t="e">
        <v>#N/A</v>
      </c>
      <c r="CFV30" t="e">
        <v>#N/A</v>
      </c>
      <c r="CFW30" t="e">
        <v>#N/A</v>
      </c>
      <c r="CFX30" t="e">
        <v>#N/A</v>
      </c>
      <c r="CFY30" t="e">
        <v>#N/A</v>
      </c>
      <c r="CFZ30" t="e">
        <v>#N/A</v>
      </c>
      <c r="CGA30" t="e">
        <v>#N/A</v>
      </c>
      <c r="CGB30" t="e">
        <v>#N/A</v>
      </c>
      <c r="CGC30" t="e">
        <v>#N/A</v>
      </c>
      <c r="CGD30" t="e">
        <v>#N/A</v>
      </c>
      <c r="CGE30" t="e">
        <v>#N/A</v>
      </c>
      <c r="CGF30" t="e">
        <v>#N/A</v>
      </c>
      <c r="CGG30" t="e">
        <v>#N/A</v>
      </c>
      <c r="CGH30" t="e">
        <v>#N/A</v>
      </c>
      <c r="CGI30" t="e">
        <v>#N/A</v>
      </c>
      <c r="CGJ30" t="e">
        <v>#N/A</v>
      </c>
      <c r="CGK30" t="e">
        <v>#N/A</v>
      </c>
      <c r="CGL30" t="e">
        <v>#N/A</v>
      </c>
      <c r="CGM30" t="e">
        <v>#N/A</v>
      </c>
      <c r="CGN30" t="e">
        <v>#N/A</v>
      </c>
      <c r="CGO30" t="e">
        <v>#N/A</v>
      </c>
      <c r="CGP30" t="e">
        <v>#N/A</v>
      </c>
      <c r="CGQ30" t="e">
        <v>#N/A</v>
      </c>
      <c r="CGR30" t="e">
        <v>#N/A</v>
      </c>
      <c r="CGS30" t="e">
        <v>#N/A</v>
      </c>
      <c r="CGT30" t="e">
        <v>#N/A</v>
      </c>
      <c r="CGU30" t="e">
        <v>#N/A</v>
      </c>
      <c r="CGV30" t="e">
        <v>#N/A</v>
      </c>
      <c r="CGW30" t="e">
        <v>#N/A</v>
      </c>
      <c r="CGX30" t="e">
        <v>#N/A</v>
      </c>
      <c r="CGY30" t="e">
        <v>#N/A</v>
      </c>
      <c r="CGZ30" t="e">
        <v>#N/A</v>
      </c>
      <c r="CHA30" t="e">
        <v>#N/A</v>
      </c>
      <c r="CHB30" t="e">
        <v>#N/A</v>
      </c>
      <c r="CHC30" t="e">
        <v>#N/A</v>
      </c>
      <c r="CHD30" t="e">
        <v>#N/A</v>
      </c>
      <c r="CHE30" t="e">
        <v>#N/A</v>
      </c>
      <c r="CHF30" t="e">
        <v>#N/A</v>
      </c>
      <c r="CHG30" t="e">
        <v>#N/A</v>
      </c>
      <c r="CHH30" t="e">
        <v>#N/A</v>
      </c>
      <c r="CHI30" t="e">
        <v>#N/A</v>
      </c>
      <c r="CHJ30" t="e">
        <v>#N/A</v>
      </c>
      <c r="CHK30" t="e">
        <v>#N/A</v>
      </c>
      <c r="CHL30" t="e">
        <v>#N/A</v>
      </c>
      <c r="CHM30" t="e">
        <v>#N/A</v>
      </c>
      <c r="CHN30" t="e">
        <v>#N/A</v>
      </c>
      <c r="CHO30" t="e">
        <v>#N/A</v>
      </c>
      <c r="CHP30" t="e">
        <v>#N/A</v>
      </c>
      <c r="CHQ30" t="e">
        <v>#N/A</v>
      </c>
      <c r="CHR30" t="e">
        <v>#N/A</v>
      </c>
      <c r="CHS30" t="e">
        <v>#N/A</v>
      </c>
      <c r="CHT30" t="e">
        <v>#N/A</v>
      </c>
      <c r="CHU30" t="e">
        <v>#N/A</v>
      </c>
      <c r="CHV30" t="e">
        <v>#N/A</v>
      </c>
      <c r="CHW30" t="e">
        <v>#N/A</v>
      </c>
      <c r="CHX30" t="e">
        <v>#N/A</v>
      </c>
      <c r="CHY30" t="e">
        <v>#N/A</v>
      </c>
      <c r="CHZ30" t="e">
        <v>#N/A</v>
      </c>
      <c r="CIA30" t="e">
        <v>#N/A</v>
      </c>
      <c r="CIB30" t="e">
        <v>#N/A</v>
      </c>
      <c r="CIC30" t="e">
        <v>#N/A</v>
      </c>
      <c r="CID30" t="e">
        <v>#N/A</v>
      </c>
      <c r="CIE30" t="e">
        <v>#N/A</v>
      </c>
      <c r="CIF30" t="e">
        <v>#N/A</v>
      </c>
      <c r="CIG30" t="e">
        <v>#N/A</v>
      </c>
      <c r="CIH30" t="e">
        <v>#N/A</v>
      </c>
      <c r="CII30" t="e">
        <v>#N/A</v>
      </c>
      <c r="CIJ30" t="e">
        <v>#N/A</v>
      </c>
      <c r="CIK30" t="e">
        <v>#N/A</v>
      </c>
      <c r="CIL30" t="e">
        <v>#N/A</v>
      </c>
      <c r="CIM30" t="e">
        <v>#N/A</v>
      </c>
      <c r="CIN30" t="e">
        <v>#N/A</v>
      </c>
      <c r="CIO30" t="e">
        <v>#N/A</v>
      </c>
      <c r="CIP30" t="e">
        <v>#N/A</v>
      </c>
      <c r="CIQ30" t="e">
        <v>#N/A</v>
      </c>
      <c r="CIR30" t="e">
        <v>#N/A</v>
      </c>
      <c r="CIS30" t="e">
        <v>#N/A</v>
      </c>
      <c r="CIT30" t="e">
        <v>#N/A</v>
      </c>
      <c r="CIU30" t="e">
        <v>#N/A</v>
      </c>
      <c r="CIV30" t="e">
        <v>#N/A</v>
      </c>
      <c r="CIW30" t="e">
        <v>#N/A</v>
      </c>
      <c r="CIX30" t="e">
        <v>#N/A</v>
      </c>
      <c r="CIY30" t="e">
        <v>#N/A</v>
      </c>
      <c r="CIZ30" t="e">
        <v>#N/A</v>
      </c>
      <c r="CJA30" t="e">
        <v>#N/A</v>
      </c>
      <c r="CJB30" t="e">
        <v>#N/A</v>
      </c>
      <c r="CJC30" t="e">
        <v>#N/A</v>
      </c>
      <c r="CJD30" t="e">
        <v>#N/A</v>
      </c>
      <c r="CJE30" t="e">
        <v>#N/A</v>
      </c>
      <c r="CJF30" t="e">
        <v>#N/A</v>
      </c>
      <c r="CJG30" t="e">
        <v>#N/A</v>
      </c>
      <c r="CJH30" t="e">
        <v>#N/A</v>
      </c>
      <c r="CJI30" t="e">
        <v>#N/A</v>
      </c>
      <c r="CJJ30" t="e">
        <v>#N/A</v>
      </c>
      <c r="CJK30" t="e">
        <v>#N/A</v>
      </c>
      <c r="CJL30" t="e">
        <v>#N/A</v>
      </c>
      <c r="CJM30" t="e">
        <v>#N/A</v>
      </c>
      <c r="CJN30" t="e">
        <v>#N/A</v>
      </c>
      <c r="CJO30" t="e">
        <v>#N/A</v>
      </c>
      <c r="CJP30" t="e">
        <v>#N/A</v>
      </c>
      <c r="CJQ30" t="e">
        <v>#N/A</v>
      </c>
      <c r="CJR30" t="e">
        <v>#N/A</v>
      </c>
      <c r="CJS30" t="e">
        <v>#N/A</v>
      </c>
      <c r="CJT30" t="e">
        <v>#N/A</v>
      </c>
      <c r="CJU30" t="e">
        <v>#N/A</v>
      </c>
      <c r="CJV30" t="e">
        <v>#N/A</v>
      </c>
      <c r="CJW30" t="e">
        <v>#N/A</v>
      </c>
      <c r="CJX30" t="e">
        <v>#N/A</v>
      </c>
      <c r="CJY30" t="e">
        <v>#N/A</v>
      </c>
      <c r="CJZ30" t="e">
        <v>#N/A</v>
      </c>
      <c r="CKA30" t="e">
        <v>#N/A</v>
      </c>
      <c r="CKB30" t="e">
        <v>#N/A</v>
      </c>
      <c r="CKC30" t="e">
        <v>#N/A</v>
      </c>
      <c r="CKD30" t="e">
        <v>#N/A</v>
      </c>
      <c r="CKE30" t="e">
        <v>#N/A</v>
      </c>
      <c r="CKF30" t="e">
        <v>#N/A</v>
      </c>
      <c r="CKG30" t="e">
        <v>#N/A</v>
      </c>
      <c r="CKH30" t="e">
        <v>#N/A</v>
      </c>
      <c r="CKI30" t="e">
        <v>#N/A</v>
      </c>
      <c r="CKJ30" t="e">
        <v>#N/A</v>
      </c>
      <c r="CKK30" t="e">
        <v>#N/A</v>
      </c>
      <c r="CKL30" t="e">
        <v>#N/A</v>
      </c>
      <c r="CKM30" t="e">
        <v>#N/A</v>
      </c>
      <c r="CKN30" t="e">
        <v>#N/A</v>
      </c>
      <c r="CKO30" t="e">
        <v>#N/A</v>
      </c>
      <c r="CKP30" t="e">
        <v>#N/A</v>
      </c>
      <c r="CKQ30" t="e">
        <v>#N/A</v>
      </c>
      <c r="CKR30" t="e">
        <v>#N/A</v>
      </c>
      <c r="CKS30" t="e">
        <v>#N/A</v>
      </c>
      <c r="CKT30" t="e">
        <v>#N/A</v>
      </c>
      <c r="CKU30" t="e">
        <v>#N/A</v>
      </c>
      <c r="CKV30" t="e">
        <v>#N/A</v>
      </c>
      <c r="CKW30" t="e">
        <v>#N/A</v>
      </c>
      <c r="CKX30" t="e">
        <v>#N/A</v>
      </c>
      <c r="CKY30" t="e">
        <v>#N/A</v>
      </c>
      <c r="CKZ30" t="e">
        <v>#N/A</v>
      </c>
      <c r="CLA30" t="e">
        <v>#N/A</v>
      </c>
      <c r="CLB30" t="e">
        <v>#N/A</v>
      </c>
      <c r="CLC30" t="e">
        <v>#N/A</v>
      </c>
      <c r="CLD30" t="e">
        <v>#N/A</v>
      </c>
      <c r="CLE30" t="e">
        <v>#N/A</v>
      </c>
      <c r="CLF30" t="e">
        <v>#N/A</v>
      </c>
      <c r="CLG30" t="e">
        <v>#N/A</v>
      </c>
      <c r="CLH30" t="e">
        <v>#N/A</v>
      </c>
      <c r="CLI30" t="e">
        <v>#N/A</v>
      </c>
      <c r="CLJ30" t="e">
        <v>#N/A</v>
      </c>
      <c r="CLK30" t="e">
        <v>#N/A</v>
      </c>
      <c r="CLL30" t="e">
        <v>#N/A</v>
      </c>
      <c r="CLM30" t="e">
        <v>#N/A</v>
      </c>
      <c r="CLN30" t="e">
        <v>#N/A</v>
      </c>
      <c r="CLO30" t="e">
        <v>#N/A</v>
      </c>
      <c r="CLP30" t="e">
        <v>#N/A</v>
      </c>
      <c r="CLQ30" t="e">
        <v>#N/A</v>
      </c>
      <c r="CLR30" t="e">
        <v>#N/A</v>
      </c>
      <c r="CLS30" t="e">
        <v>#N/A</v>
      </c>
      <c r="CLT30" t="e">
        <v>#N/A</v>
      </c>
      <c r="CLU30" t="e">
        <v>#N/A</v>
      </c>
      <c r="CLV30" t="e">
        <v>#N/A</v>
      </c>
      <c r="CLW30" t="e">
        <v>#N/A</v>
      </c>
      <c r="CLX30" t="e">
        <v>#N/A</v>
      </c>
      <c r="CLY30" t="e">
        <v>#N/A</v>
      </c>
      <c r="CLZ30" t="e">
        <v>#N/A</v>
      </c>
      <c r="CMA30" t="e">
        <v>#N/A</v>
      </c>
      <c r="CMB30" t="e">
        <v>#N/A</v>
      </c>
      <c r="CMC30" t="e">
        <v>#N/A</v>
      </c>
      <c r="CMD30" t="e">
        <v>#N/A</v>
      </c>
      <c r="CME30" t="e">
        <v>#N/A</v>
      </c>
      <c r="CMF30" t="e">
        <v>#N/A</v>
      </c>
      <c r="CMG30" t="e">
        <v>#N/A</v>
      </c>
      <c r="CMH30" t="e">
        <v>#N/A</v>
      </c>
      <c r="CMI30" t="e">
        <v>#N/A</v>
      </c>
      <c r="CMJ30" t="e">
        <v>#N/A</v>
      </c>
      <c r="CMK30" t="e">
        <v>#N/A</v>
      </c>
      <c r="CML30" t="e">
        <v>#N/A</v>
      </c>
      <c r="CMM30" t="e">
        <v>#N/A</v>
      </c>
      <c r="CMN30" t="e">
        <v>#N/A</v>
      </c>
      <c r="CMO30" t="e">
        <v>#N/A</v>
      </c>
      <c r="CMP30" t="e">
        <v>#N/A</v>
      </c>
      <c r="CMQ30" t="e">
        <v>#N/A</v>
      </c>
      <c r="CMR30" t="e">
        <v>#N/A</v>
      </c>
      <c r="CMS30" t="e">
        <v>#N/A</v>
      </c>
      <c r="CMT30" t="e">
        <v>#N/A</v>
      </c>
      <c r="CMU30" t="e">
        <v>#N/A</v>
      </c>
      <c r="CMV30" t="e">
        <v>#N/A</v>
      </c>
      <c r="CMW30" t="e">
        <v>#N/A</v>
      </c>
      <c r="CMX30" t="e">
        <v>#N/A</v>
      </c>
      <c r="CMY30" t="e">
        <v>#N/A</v>
      </c>
      <c r="CMZ30" t="e">
        <v>#N/A</v>
      </c>
      <c r="CNA30" t="e">
        <v>#N/A</v>
      </c>
      <c r="CNB30" t="e">
        <v>#N/A</v>
      </c>
      <c r="CNC30" t="e">
        <v>#N/A</v>
      </c>
      <c r="CND30" t="e">
        <v>#N/A</v>
      </c>
      <c r="CNE30" t="e">
        <v>#N/A</v>
      </c>
      <c r="CNF30" t="e">
        <v>#N/A</v>
      </c>
      <c r="CNG30" t="e">
        <v>#N/A</v>
      </c>
      <c r="CNH30" t="e">
        <v>#N/A</v>
      </c>
      <c r="CNI30" t="e">
        <v>#N/A</v>
      </c>
      <c r="CNJ30" t="e">
        <v>#N/A</v>
      </c>
      <c r="CNK30" t="e">
        <v>#N/A</v>
      </c>
      <c r="CNL30" t="e">
        <v>#N/A</v>
      </c>
      <c r="CNM30" t="e">
        <v>#N/A</v>
      </c>
      <c r="CNN30" t="e">
        <v>#N/A</v>
      </c>
      <c r="CNO30" t="e">
        <v>#N/A</v>
      </c>
      <c r="CNP30" t="e">
        <v>#N/A</v>
      </c>
      <c r="CNQ30" t="e">
        <v>#N/A</v>
      </c>
      <c r="CNR30" t="e">
        <v>#N/A</v>
      </c>
      <c r="CNS30" t="e">
        <v>#N/A</v>
      </c>
      <c r="CNT30" t="e">
        <v>#N/A</v>
      </c>
      <c r="CNU30" t="e">
        <v>#N/A</v>
      </c>
      <c r="CNV30" t="e">
        <v>#N/A</v>
      </c>
      <c r="CNW30" t="e">
        <v>#N/A</v>
      </c>
      <c r="CNX30" t="e">
        <v>#N/A</v>
      </c>
      <c r="CNY30" t="e">
        <v>#N/A</v>
      </c>
      <c r="CNZ30" t="e">
        <v>#N/A</v>
      </c>
      <c r="COA30" t="e">
        <v>#N/A</v>
      </c>
      <c r="COB30" t="e">
        <v>#N/A</v>
      </c>
      <c r="COC30" t="e">
        <v>#N/A</v>
      </c>
      <c r="COD30" t="e">
        <v>#N/A</v>
      </c>
      <c r="COE30" t="e">
        <v>#N/A</v>
      </c>
      <c r="COF30" t="e">
        <v>#N/A</v>
      </c>
      <c r="COG30" t="e">
        <v>#N/A</v>
      </c>
      <c r="COH30" t="e">
        <v>#N/A</v>
      </c>
      <c r="COI30" t="e">
        <v>#N/A</v>
      </c>
      <c r="COJ30" t="e">
        <v>#N/A</v>
      </c>
      <c r="COK30" t="e">
        <v>#N/A</v>
      </c>
      <c r="COL30" t="e">
        <v>#N/A</v>
      </c>
      <c r="COM30" t="e">
        <v>#N/A</v>
      </c>
      <c r="CON30" t="e">
        <v>#N/A</v>
      </c>
      <c r="COO30" t="e">
        <v>#N/A</v>
      </c>
      <c r="COP30" t="e">
        <v>#N/A</v>
      </c>
      <c r="COQ30" t="e">
        <v>#N/A</v>
      </c>
      <c r="COR30" t="e">
        <v>#N/A</v>
      </c>
      <c r="COS30" t="e">
        <v>#N/A</v>
      </c>
      <c r="COT30" t="e">
        <v>#N/A</v>
      </c>
      <c r="COU30" t="e">
        <v>#N/A</v>
      </c>
      <c r="COV30" t="e">
        <v>#N/A</v>
      </c>
      <c r="COW30" t="e">
        <v>#N/A</v>
      </c>
      <c r="COX30" t="e">
        <v>#N/A</v>
      </c>
      <c r="COY30" t="e">
        <v>#N/A</v>
      </c>
      <c r="COZ30" t="e">
        <v>#N/A</v>
      </c>
      <c r="CPA30" t="e">
        <v>#N/A</v>
      </c>
      <c r="CPB30" t="e">
        <v>#N/A</v>
      </c>
      <c r="CPC30" t="e">
        <v>#N/A</v>
      </c>
      <c r="CPD30" t="e">
        <v>#N/A</v>
      </c>
      <c r="CPE30" t="e">
        <v>#N/A</v>
      </c>
      <c r="CPF30" t="e">
        <v>#N/A</v>
      </c>
      <c r="CPG30" t="e">
        <v>#N/A</v>
      </c>
      <c r="CPH30" t="e">
        <v>#N/A</v>
      </c>
      <c r="CPI30" t="e">
        <v>#N/A</v>
      </c>
      <c r="CPJ30" t="e">
        <v>#N/A</v>
      </c>
      <c r="CPK30" t="e">
        <v>#N/A</v>
      </c>
      <c r="CPL30" t="e">
        <v>#N/A</v>
      </c>
      <c r="CPM30" t="e">
        <v>#N/A</v>
      </c>
      <c r="CPN30" t="e">
        <v>#N/A</v>
      </c>
      <c r="CPO30" t="e">
        <v>#N/A</v>
      </c>
      <c r="CPP30" t="e">
        <v>#N/A</v>
      </c>
      <c r="CPQ30" t="e">
        <v>#N/A</v>
      </c>
      <c r="CPR30" t="e">
        <v>#N/A</v>
      </c>
      <c r="CPS30" t="e">
        <v>#N/A</v>
      </c>
      <c r="CPT30" t="e">
        <v>#N/A</v>
      </c>
      <c r="CPU30" t="e">
        <v>#N/A</v>
      </c>
      <c r="CPV30" t="e">
        <v>#N/A</v>
      </c>
      <c r="CPW30" t="e">
        <v>#N/A</v>
      </c>
      <c r="CPX30" t="e">
        <v>#N/A</v>
      </c>
      <c r="CPY30" t="e">
        <v>#N/A</v>
      </c>
      <c r="CPZ30" t="e">
        <v>#N/A</v>
      </c>
      <c r="CQA30" t="e">
        <v>#N/A</v>
      </c>
      <c r="CQB30" t="e">
        <v>#N/A</v>
      </c>
      <c r="CQC30" t="e">
        <v>#N/A</v>
      </c>
      <c r="CQD30" t="e">
        <v>#N/A</v>
      </c>
      <c r="CQE30" t="e">
        <v>#N/A</v>
      </c>
      <c r="CQF30" t="e">
        <v>#N/A</v>
      </c>
      <c r="CQG30" t="e">
        <v>#N/A</v>
      </c>
      <c r="CQH30" t="e">
        <v>#N/A</v>
      </c>
      <c r="CQI30" t="e">
        <v>#N/A</v>
      </c>
      <c r="CQJ30" t="e">
        <v>#N/A</v>
      </c>
      <c r="CQK30" t="e">
        <v>#N/A</v>
      </c>
      <c r="CQL30" t="e">
        <v>#N/A</v>
      </c>
      <c r="CQM30" t="e">
        <v>#N/A</v>
      </c>
      <c r="CQN30" t="e">
        <v>#N/A</v>
      </c>
      <c r="CQO30" t="e">
        <v>#N/A</v>
      </c>
      <c r="CQP30" t="e">
        <v>#N/A</v>
      </c>
      <c r="CQQ30" t="e">
        <v>#N/A</v>
      </c>
      <c r="CQR30" t="e">
        <v>#N/A</v>
      </c>
      <c r="CQS30" t="e">
        <v>#N/A</v>
      </c>
      <c r="CQT30" t="e">
        <v>#N/A</v>
      </c>
      <c r="CQU30" t="e">
        <v>#N/A</v>
      </c>
      <c r="CQV30" t="e">
        <v>#N/A</v>
      </c>
      <c r="CQW30" t="e">
        <v>#N/A</v>
      </c>
      <c r="CQX30" t="e">
        <v>#N/A</v>
      </c>
      <c r="CQY30" t="e">
        <v>#N/A</v>
      </c>
      <c r="CQZ30" t="e">
        <v>#N/A</v>
      </c>
      <c r="CRA30" t="e">
        <v>#N/A</v>
      </c>
      <c r="CRB30" t="e">
        <v>#N/A</v>
      </c>
      <c r="CRC30" t="e">
        <v>#N/A</v>
      </c>
      <c r="CRD30" t="e">
        <v>#N/A</v>
      </c>
      <c r="CRE30" t="e">
        <v>#N/A</v>
      </c>
      <c r="CRF30" t="e">
        <v>#N/A</v>
      </c>
      <c r="CRG30" t="e">
        <v>#N/A</v>
      </c>
      <c r="CRH30" t="e">
        <v>#N/A</v>
      </c>
      <c r="CRI30" t="e">
        <v>#N/A</v>
      </c>
      <c r="CRJ30" t="e">
        <v>#N/A</v>
      </c>
      <c r="CRK30" t="e">
        <v>#N/A</v>
      </c>
      <c r="CRL30" t="e">
        <v>#N/A</v>
      </c>
      <c r="CRM30" t="e">
        <v>#N/A</v>
      </c>
      <c r="CRN30" t="e">
        <v>#N/A</v>
      </c>
      <c r="CRO30" t="e">
        <v>#N/A</v>
      </c>
      <c r="CRP30" t="e">
        <v>#N/A</v>
      </c>
      <c r="CRQ30" t="e">
        <v>#N/A</v>
      </c>
      <c r="CRR30" t="e">
        <v>#N/A</v>
      </c>
      <c r="CRS30" t="e">
        <v>#N/A</v>
      </c>
      <c r="CRT30" t="e">
        <v>#N/A</v>
      </c>
      <c r="CRU30" t="e">
        <v>#N/A</v>
      </c>
      <c r="CRV30" t="e">
        <v>#N/A</v>
      </c>
      <c r="CRW30" t="e">
        <v>#N/A</v>
      </c>
      <c r="CRX30" t="e">
        <v>#N/A</v>
      </c>
      <c r="CRY30" t="e">
        <v>#N/A</v>
      </c>
      <c r="CRZ30" t="e">
        <v>#N/A</v>
      </c>
      <c r="CSA30" t="e">
        <v>#N/A</v>
      </c>
      <c r="CSB30" t="e">
        <v>#N/A</v>
      </c>
      <c r="CSC30" t="e">
        <v>#N/A</v>
      </c>
      <c r="CSD30" t="e">
        <v>#N/A</v>
      </c>
      <c r="CSE30" t="e">
        <v>#N/A</v>
      </c>
      <c r="CSF30" t="e">
        <v>#N/A</v>
      </c>
      <c r="CSG30" t="e">
        <v>#N/A</v>
      </c>
      <c r="CSH30" t="e">
        <v>#N/A</v>
      </c>
      <c r="CSI30" t="e">
        <v>#N/A</v>
      </c>
      <c r="CSJ30" t="e">
        <v>#N/A</v>
      </c>
      <c r="CSK30" t="e">
        <v>#N/A</v>
      </c>
      <c r="CSL30" t="e">
        <v>#N/A</v>
      </c>
      <c r="CSM30" t="e">
        <v>#N/A</v>
      </c>
      <c r="CSN30" t="e">
        <v>#N/A</v>
      </c>
      <c r="CSO30" t="e">
        <v>#N/A</v>
      </c>
      <c r="CSP30" t="e">
        <v>#N/A</v>
      </c>
      <c r="CSQ30" t="e">
        <v>#N/A</v>
      </c>
      <c r="CSR30" t="e">
        <v>#N/A</v>
      </c>
      <c r="CSS30" t="e">
        <v>#N/A</v>
      </c>
      <c r="CST30" t="e">
        <v>#N/A</v>
      </c>
      <c r="CSU30" t="e">
        <v>#N/A</v>
      </c>
      <c r="CSV30" t="e">
        <v>#N/A</v>
      </c>
      <c r="CSW30" t="e">
        <v>#N/A</v>
      </c>
      <c r="CSX30" t="e">
        <v>#N/A</v>
      </c>
      <c r="CSY30" t="e">
        <v>#N/A</v>
      </c>
      <c r="CSZ30" t="e">
        <v>#N/A</v>
      </c>
      <c r="CTA30" t="e">
        <v>#N/A</v>
      </c>
      <c r="CTB30" t="e">
        <v>#N/A</v>
      </c>
      <c r="CTC30" t="e">
        <v>#N/A</v>
      </c>
      <c r="CTD30" t="e">
        <v>#N/A</v>
      </c>
      <c r="CTE30" t="e">
        <v>#N/A</v>
      </c>
      <c r="CTF30" t="e">
        <v>#N/A</v>
      </c>
      <c r="CTG30" t="e">
        <v>#N/A</v>
      </c>
      <c r="CTH30" t="e">
        <v>#N/A</v>
      </c>
      <c r="CTI30" t="e">
        <v>#N/A</v>
      </c>
      <c r="CTJ30" t="e">
        <v>#N/A</v>
      </c>
      <c r="CTK30" t="e">
        <v>#N/A</v>
      </c>
      <c r="CTL30" t="e">
        <v>#N/A</v>
      </c>
      <c r="CTM30" t="e">
        <v>#N/A</v>
      </c>
      <c r="CTN30" t="e">
        <v>#N/A</v>
      </c>
      <c r="CTO30" t="e">
        <v>#N/A</v>
      </c>
      <c r="CTP30" t="e">
        <v>#N/A</v>
      </c>
      <c r="CTQ30" t="e">
        <v>#N/A</v>
      </c>
      <c r="CTR30" t="e">
        <v>#N/A</v>
      </c>
      <c r="CTS30" t="e">
        <v>#N/A</v>
      </c>
      <c r="CTT30" t="e">
        <v>#N/A</v>
      </c>
      <c r="CTU30" t="e">
        <v>#N/A</v>
      </c>
      <c r="CTV30" t="e">
        <v>#N/A</v>
      </c>
      <c r="CTW30" t="e">
        <v>#N/A</v>
      </c>
      <c r="CTX30" t="e">
        <v>#N/A</v>
      </c>
      <c r="CTY30" t="e">
        <v>#N/A</v>
      </c>
      <c r="CTZ30" t="e">
        <v>#N/A</v>
      </c>
      <c r="CUA30" t="e">
        <v>#N/A</v>
      </c>
      <c r="CUB30" t="e">
        <v>#N/A</v>
      </c>
      <c r="CUC30" t="e">
        <v>#N/A</v>
      </c>
      <c r="CUD30" t="e">
        <v>#N/A</v>
      </c>
      <c r="CUE30" t="e">
        <v>#N/A</v>
      </c>
      <c r="CUF30" t="e">
        <v>#N/A</v>
      </c>
      <c r="CUG30" t="e">
        <v>#N/A</v>
      </c>
      <c r="CUH30" t="e">
        <v>#N/A</v>
      </c>
      <c r="CUI30" t="e">
        <v>#N/A</v>
      </c>
      <c r="CUJ30" t="e">
        <v>#N/A</v>
      </c>
      <c r="CUK30" t="e">
        <v>#N/A</v>
      </c>
      <c r="CUL30" t="e">
        <v>#N/A</v>
      </c>
      <c r="CUM30" t="e">
        <v>#N/A</v>
      </c>
      <c r="CUN30" t="e">
        <v>#N/A</v>
      </c>
      <c r="CUO30" t="e">
        <v>#N/A</v>
      </c>
      <c r="CUP30" t="e">
        <v>#N/A</v>
      </c>
      <c r="CUQ30" t="e">
        <v>#N/A</v>
      </c>
      <c r="CUR30" t="e">
        <v>#N/A</v>
      </c>
      <c r="CUS30" t="e">
        <v>#N/A</v>
      </c>
      <c r="CUT30" t="e">
        <v>#N/A</v>
      </c>
      <c r="CUU30" t="e">
        <v>#N/A</v>
      </c>
      <c r="CUV30" t="e">
        <v>#N/A</v>
      </c>
      <c r="CUW30" t="e">
        <v>#N/A</v>
      </c>
      <c r="CUX30" t="e">
        <v>#N/A</v>
      </c>
      <c r="CUY30" t="e">
        <v>#N/A</v>
      </c>
      <c r="CUZ30" t="e">
        <v>#N/A</v>
      </c>
      <c r="CVA30" t="e">
        <v>#N/A</v>
      </c>
      <c r="CVB30" t="e">
        <v>#N/A</v>
      </c>
      <c r="CVC30" t="e">
        <v>#N/A</v>
      </c>
      <c r="CVD30" t="e">
        <v>#N/A</v>
      </c>
      <c r="CVE30" t="e">
        <v>#N/A</v>
      </c>
      <c r="CVF30" t="e">
        <v>#N/A</v>
      </c>
      <c r="CVG30" t="e">
        <v>#N/A</v>
      </c>
      <c r="CVH30" t="e">
        <v>#N/A</v>
      </c>
      <c r="CVI30" t="e">
        <v>#N/A</v>
      </c>
      <c r="CVJ30" t="e">
        <v>#N/A</v>
      </c>
      <c r="CVK30" t="e">
        <v>#N/A</v>
      </c>
      <c r="CVL30" t="e">
        <v>#N/A</v>
      </c>
      <c r="CVM30" t="e">
        <v>#N/A</v>
      </c>
      <c r="CVN30" t="e">
        <v>#N/A</v>
      </c>
      <c r="CVO30" t="e">
        <v>#N/A</v>
      </c>
      <c r="CVP30" t="e">
        <v>#N/A</v>
      </c>
      <c r="CVQ30" t="e">
        <v>#N/A</v>
      </c>
      <c r="CVR30" t="e">
        <v>#N/A</v>
      </c>
      <c r="CVS30" t="e">
        <v>#N/A</v>
      </c>
      <c r="CVT30" t="e">
        <v>#N/A</v>
      </c>
      <c r="CVU30" t="e">
        <v>#N/A</v>
      </c>
      <c r="CVV30" t="e">
        <v>#N/A</v>
      </c>
      <c r="CVW30" t="e">
        <v>#N/A</v>
      </c>
      <c r="CVX30" t="e">
        <v>#N/A</v>
      </c>
      <c r="CVY30" t="e">
        <v>#N/A</v>
      </c>
      <c r="CVZ30" t="e">
        <v>#N/A</v>
      </c>
      <c r="CWA30" t="e">
        <v>#N/A</v>
      </c>
      <c r="CWB30" t="e">
        <v>#N/A</v>
      </c>
      <c r="CWC30" t="e">
        <v>#N/A</v>
      </c>
      <c r="CWD30" t="e">
        <v>#N/A</v>
      </c>
      <c r="CWE30" t="e">
        <v>#N/A</v>
      </c>
      <c r="CWF30" t="e">
        <v>#N/A</v>
      </c>
      <c r="CWG30" t="e">
        <v>#N/A</v>
      </c>
      <c r="CWH30" t="e">
        <v>#N/A</v>
      </c>
      <c r="CWI30" t="e">
        <v>#N/A</v>
      </c>
      <c r="CWJ30" t="e">
        <v>#N/A</v>
      </c>
      <c r="CWK30" t="e">
        <v>#N/A</v>
      </c>
      <c r="CWL30" t="e">
        <v>#N/A</v>
      </c>
      <c r="CWM30" t="e">
        <v>#N/A</v>
      </c>
      <c r="CWN30" t="e">
        <v>#N/A</v>
      </c>
      <c r="CWO30" t="e">
        <v>#N/A</v>
      </c>
      <c r="CWP30" t="e">
        <v>#N/A</v>
      </c>
      <c r="CWQ30" t="e">
        <v>#N/A</v>
      </c>
      <c r="CWR30" t="e">
        <v>#N/A</v>
      </c>
      <c r="CWS30" t="e">
        <v>#N/A</v>
      </c>
      <c r="CWT30" t="e">
        <v>#N/A</v>
      </c>
      <c r="CWU30" t="e">
        <v>#N/A</v>
      </c>
      <c r="CWV30" t="e">
        <v>#N/A</v>
      </c>
      <c r="CWW30" t="e">
        <v>#N/A</v>
      </c>
      <c r="CWX30" t="e">
        <v>#N/A</v>
      </c>
      <c r="CWY30" t="e">
        <v>#N/A</v>
      </c>
      <c r="CWZ30" t="e">
        <v>#N/A</v>
      </c>
      <c r="CXA30" t="e">
        <v>#N/A</v>
      </c>
      <c r="CXB30" t="e">
        <v>#N/A</v>
      </c>
      <c r="CXC30" t="e">
        <v>#N/A</v>
      </c>
      <c r="CXD30" t="e">
        <v>#N/A</v>
      </c>
      <c r="CXE30" t="e">
        <v>#N/A</v>
      </c>
      <c r="CXF30" t="e">
        <v>#N/A</v>
      </c>
      <c r="CXG30" t="e">
        <v>#N/A</v>
      </c>
      <c r="CXH30" t="e">
        <v>#N/A</v>
      </c>
      <c r="CXI30" t="e">
        <v>#N/A</v>
      </c>
      <c r="CXJ30" t="e">
        <v>#N/A</v>
      </c>
      <c r="CXK30" t="e">
        <v>#N/A</v>
      </c>
      <c r="CXL30" t="e">
        <v>#N/A</v>
      </c>
      <c r="CXM30" t="e">
        <v>#N/A</v>
      </c>
      <c r="CXN30" t="e">
        <v>#N/A</v>
      </c>
      <c r="CXO30" t="e">
        <v>#N/A</v>
      </c>
      <c r="CXP30" t="e">
        <v>#N/A</v>
      </c>
      <c r="CXQ30" t="e">
        <v>#N/A</v>
      </c>
      <c r="CXR30" t="e">
        <v>#N/A</v>
      </c>
      <c r="CXS30" t="e">
        <v>#N/A</v>
      </c>
      <c r="CXT30" t="e">
        <v>#N/A</v>
      </c>
      <c r="CXU30" t="e">
        <v>#N/A</v>
      </c>
      <c r="CXV30" t="e">
        <v>#N/A</v>
      </c>
      <c r="CXW30" t="e">
        <v>#N/A</v>
      </c>
      <c r="CXX30" t="e">
        <v>#N/A</v>
      </c>
      <c r="CXY30" t="e">
        <v>#N/A</v>
      </c>
      <c r="CXZ30" t="e">
        <v>#N/A</v>
      </c>
      <c r="CYA30" t="e">
        <v>#N/A</v>
      </c>
      <c r="CYB30" t="e">
        <v>#N/A</v>
      </c>
      <c r="CYC30" t="e">
        <v>#N/A</v>
      </c>
      <c r="CYD30" t="e">
        <v>#N/A</v>
      </c>
      <c r="CYE30" t="e">
        <v>#N/A</v>
      </c>
      <c r="CYF30" t="e">
        <v>#N/A</v>
      </c>
      <c r="CYG30" t="e">
        <v>#N/A</v>
      </c>
      <c r="CYH30" t="e">
        <v>#N/A</v>
      </c>
      <c r="CYI30" t="e">
        <v>#N/A</v>
      </c>
      <c r="CYJ30" t="e">
        <v>#N/A</v>
      </c>
      <c r="CYK30" t="e">
        <v>#N/A</v>
      </c>
      <c r="CYL30" t="e">
        <v>#N/A</v>
      </c>
      <c r="CYM30" t="e">
        <v>#N/A</v>
      </c>
      <c r="CYN30" t="e">
        <v>#N/A</v>
      </c>
      <c r="CYO30" t="e">
        <v>#N/A</v>
      </c>
      <c r="CYP30" t="e">
        <v>#N/A</v>
      </c>
      <c r="CYQ30" t="e">
        <v>#N/A</v>
      </c>
      <c r="CYR30" t="e">
        <v>#N/A</v>
      </c>
      <c r="CYS30" t="e">
        <v>#N/A</v>
      </c>
      <c r="CYT30" t="e">
        <v>#N/A</v>
      </c>
      <c r="CYU30" t="e">
        <v>#N/A</v>
      </c>
      <c r="CYV30" t="e">
        <v>#N/A</v>
      </c>
      <c r="CYW30" t="e">
        <v>#N/A</v>
      </c>
      <c r="CYX30" t="e">
        <v>#N/A</v>
      </c>
      <c r="CYY30" t="e">
        <v>#N/A</v>
      </c>
      <c r="CYZ30" t="e">
        <v>#N/A</v>
      </c>
      <c r="CZA30" t="e">
        <v>#N/A</v>
      </c>
      <c r="CZB30" t="e">
        <v>#N/A</v>
      </c>
      <c r="CZC30" t="e">
        <v>#N/A</v>
      </c>
      <c r="CZD30" t="e">
        <v>#N/A</v>
      </c>
      <c r="CZE30" t="e">
        <v>#N/A</v>
      </c>
      <c r="CZF30" t="e">
        <v>#N/A</v>
      </c>
      <c r="CZG30" t="e">
        <v>#N/A</v>
      </c>
      <c r="CZH30" t="e">
        <v>#N/A</v>
      </c>
      <c r="CZI30" t="e">
        <v>#N/A</v>
      </c>
      <c r="CZJ30" t="e">
        <v>#N/A</v>
      </c>
      <c r="CZK30" t="e">
        <v>#N/A</v>
      </c>
      <c r="CZL30" t="e">
        <v>#N/A</v>
      </c>
      <c r="CZM30" t="e">
        <v>#N/A</v>
      </c>
      <c r="CZN30" t="e">
        <v>#N/A</v>
      </c>
      <c r="CZO30" t="e">
        <v>#N/A</v>
      </c>
      <c r="CZP30" t="e">
        <v>#N/A</v>
      </c>
      <c r="CZQ30" t="e">
        <v>#N/A</v>
      </c>
      <c r="CZR30" t="e">
        <v>#N/A</v>
      </c>
      <c r="CZS30" t="e">
        <v>#N/A</v>
      </c>
      <c r="CZT30" t="e">
        <v>#N/A</v>
      </c>
      <c r="CZU30" t="e">
        <v>#N/A</v>
      </c>
      <c r="CZV30" t="e">
        <v>#N/A</v>
      </c>
      <c r="CZW30" t="e">
        <v>#N/A</v>
      </c>
      <c r="CZX30" t="e">
        <v>#N/A</v>
      </c>
      <c r="CZY30" t="e">
        <v>#N/A</v>
      </c>
      <c r="CZZ30" t="e">
        <v>#N/A</v>
      </c>
      <c r="DAA30" t="e">
        <v>#N/A</v>
      </c>
      <c r="DAB30" t="e">
        <v>#N/A</v>
      </c>
      <c r="DAC30" t="e">
        <v>#N/A</v>
      </c>
      <c r="DAD30" t="e">
        <v>#N/A</v>
      </c>
      <c r="DAE30" t="e">
        <v>#N/A</v>
      </c>
      <c r="DAF30" t="e">
        <v>#N/A</v>
      </c>
      <c r="DAG30" t="e">
        <v>#N/A</v>
      </c>
      <c r="DAH30" t="e">
        <v>#N/A</v>
      </c>
      <c r="DAI30" t="e">
        <v>#N/A</v>
      </c>
      <c r="DAJ30" t="e">
        <v>#N/A</v>
      </c>
      <c r="DAK30" t="e">
        <v>#N/A</v>
      </c>
      <c r="DAL30" t="e">
        <v>#N/A</v>
      </c>
      <c r="DAM30" t="e">
        <v>#N/A</v>
      </c>
      <c r="DAN30" t="e">
        <v>#N/A</v>
      </c>
      <c r="DAO30" t="e">
        <v>#N/A</v>
      </c>
      <c r="DAP30" t="e">
        <v>#N/A</v>
      </c>
      <c r="DAQ30" t="e">
        <v>#N/A</v>
      </c>
      <c r="DAR30" t="e">
        <v>#N/A</v>
      </c>
      <c r="DAS30" t="e">
        <v>#N/A</v>
      </c>
      <c r="DAT30" t="e">
        <v>#N/A</v>
      </c>
      <c r="DAU30" t="e">
        <v>#N/A</v>
      </c>
      <c r="DAV30" t="e">
        <v>#N/A</v>
      </c>
      <c r="DAW30" t="e">
        <v>#N/A</v>
      </c>
      <c r="DAX30" t="e">
        <v>#N/A</v>
      </c>
      <c r="DAY30" t="e">
        <v>#N/A</v>
      </c>
      <c r="DAZ30" t="e">
        <v>#N/A</v>
      </c>
      <c r="DBA30" t="e">
        <v>#N/A</v>
      </c>
      <c r="DBB30" t="e">
        <v>#N/A</v>
      </c>
      <c r="DBC30" t="e">
        <v>#N/A</v>
      </c>
      <c r="DBD30" t="e">
        <v>#N/A</v>
      </c>
      <c r="DBE30" t="e">
        <v>#N/A</v>
      </c>
      <c r="DBF30" t="e">
        <v>#N/A</v>
      </c>
      <c r="DBG30" t="e">
        <v>#N/A</v>
      </c>
      <c r="DBH30" t="e">
        <v>#N/A</v>
      </c>
      <c r="DBI30" t="e">
        <v>#N/A</v>
      </c>
      <c r="DBJ30" t="e">
        <v>#N/A</v>
      </c>
      <c r="DBK30" t="e">
        <v>#N/A</v>
      </c>
      <c r="DBL30" t="e">
        <v>#N/A</v>
      </c>
      <c r="DBM30" t="e">
        <v>#N/A</v>
      </c>
      <c r="DBN30" t="e">
        <v>#N/A</v>
      </c>
      <c r="DBO30" t="e">
        <v>#N/A</v>
      </c>
      <c r="DBP30" t="e">
        <v>#N/A</v>
      </c>
      <c r="DBQ30" t="e">
        <v>#N/A</v>
      </c>
      <c r="DBR30" t="e">
        <v>#N/A</v>
      </c>
      <c r="DBS30" t="e">
        <v>#N/A</v>
      </c>
      <c r="DBT30" t="e">
        <v>#N/A</v>
      </c>
      <c r="DBU30" t="e">
        <v>#N/A</v>
      </c>
      <c r="DBV30" t="e">
        <v>#N/A</v>
      </c>
      <c r="DBW30" t="e">
        <v>#N/A</v>
      </c>
      <c r="DBX30" t="e">
        <v>#N/A</v>
      </c>
      <c r="DBY30" t="e">
        <v>#N/A</v>
      </c>
      <c r="DBZ30" t="e">
        <v>#N/A</v>
      </c>
      <c r="DCA30" t="e">
        <v>#N/A</v>
      </c>
      <c r="DCB30" t="e">
        <v>#N/A</v>
      </c>
      <c r="DCC30" t="e">
        <v>#N/A</v>
      </c>
      <c r="DCD30" t="e">
        <v>#N/A</v>
      </c>
      <c r="DCE30" t="e">
        <v>#N/A</v>
      </c>
      <c r="DCF30" t="e">
        <v>#N/A</v>
      </c>
      <c r="DCG30" t="e">
        <v>#N/A</v>
      </c>
      <c r="DCH30" t="e">
        <v>#N/A</v>
      </c>
      <c r="DCI30" t="e">
        <v>#N/A</v>
      </c>
      <c r="DCJ30" t="e">
        <v>#N/A</v>
      </c>
      <c r="DCK30" t="e">
        <v>#N/A</v>
      </c>
      <c r="DCL30" t="e">
        <v>#N/A</v>
      </c>
      <c r="DCM30" t="e">
        <v>#N/A</v>
      </c>
      <c r="DCN30" t="e">
        <v>#N/A</v>
      </c>
      <c r="DCO30" t="e">
        <v>#N/A</v>
      </c>
      <c r="DCP30" t="e">
        <v>#N/A</v>
      </c>
      <c r="DCQ30" t="e">
        <v>#N/A</v>
      </c>
      <c r="DCR30" t="e">
        <v>#N/A</v>
      </c>
      <c r="DCS30" t="e">
        <v>#N/A</v>
      </c>
      <c r="DCT30" t="e">
        <v>#N/A</v>
      </c>
      <c r="DCU30" t="e">
        <v>#N/A</v>
      </c>
      <c r="DCV30" t="e">
        <v>#N/A</v>
      </c>
      <c r="DCW30" t="e">
        <v>#N/A</v>
      </c>
      <c r="DCX30" t="e">
        <v>#N/A</v>
      </c>
      <c r="DCY30" t="e">
        <v>#N/A</v>
      </c>
      <c r="DCZ30" t="e">
        <v>#N/A</v>
      </c>
      <c r="DDA30" t="e">
        <v>#N/A</v>
      </c>
      <c r="DDB30" t="e">
        <v>#N/A</v>
      </c>
      <c r="DDC30" t="e">
        <v>#N/A</v>
      </c>
      <c r="DDD30" t="e">
        <v>#N/A</v>
      </c>
      <c r="DDE30" t="e">
        <v>#N/A</v>
      </c>
      <c r="DDF30" t="e">
        <v>#N/A</v>
      </c>
      <c r="DDG30" t="e">
        <v>#N/A</v>
      </c>
      <c r="DDH30" t="e">
        <v>#N/A</v>
      </c>
      <c r="DDI30" t="e">
        <v>#N/A</v>
      </c>
      <c r="DDJ30" t="e">
        <v>#N/A</v>
      </c>
      <c r="DDK30" t="e">
        <v>#N/A</v>
      </c>
      <c r="DDL30" t="e">
        <v>#N/A</v>
      </c>
      <c r="DDM30" t="e">
        <v>#N/A</v>
      </c>
      <c r="DDN30" t="e">
        <v>#N/A</v>
      </c>
      <c r="DDO30" t="e">
        <v>#N/A</v>
      </c>
      <c r="DDP30" t="e">
        <v>#N/A</v>
      </c>
      <c r="DDQ30" t="e">
        <v>#N/A</v>
      </c>
      <c r="DDR30" t="e">
        <v>#N/A</v>
      </c>
      <c r="DDS30" t="e">
        <v>#N/A</v>
      </c>
      <c r="DDT30" t="e">
        <v>#N/A</v>
      </c>
      <c r="DDU30" t="e">
        <v>#N/A</v>
      </c>
      <c r="DDV30" t="e">
        <v>#N/A</v>
      </c>
      <c r="DDW30" t="e">
        <v>#N/A</v>
      </c>
      <c r="DDX30" t="e">
        <v>#N/A</v>
      </c>
      <c r="DDY30" t="e">
        <v>#N/A</v>
      </c>
      <c r="DDZ30" t="e">
        <v>#N/A</v>
      </c>
      <c r="DEA30" t="e">
        <v>#N/A</v>
      </c>
      <c r="DEB30" t="e">
        <v>#N/A</v>
      </c>
      <c r="DEC30" t="e">
        <v>#N/A</v>
      </c>
      <c r="DED30" t="e">
        <v>#N/A</v>
      </c>
      <c r="DEE30" t="e">
        <v>#N/A</v>
      </c>
      <c r="DEF30" t="e">
        <v>#N/A</v>
      </c>
      <c r="DEG30" t="e">
        <v>#N/A</v>
      </c>
      <c r="DEH30" t="e">
        <v>#N/A</v>
      </c>
      <c r="DEI30" t="e">
        <v>#N/A</v>
      </c>
      <c r="DEJ30" t="e">
        <v>#N/A</v>
      </c>
      <c r="DEK30" t="e">
        <v>#N/A</v>
      </c>
      <c r="DEL30" t="e">
        <v>#N/A</v>
      </c>
      <c r="DEM30" t="e">
        <v>#N/A</v>
      </c>
      <c r="DEN30" t="e">
        <v>#N/A</v>
      </c>
      <c r="DEO30" t="e">
        <v>#N/A</v>
      </c>
      <c r="DEP30" t="e">
        <v>#N/A</v>
      </c>
      <c r="DEQ30" t="e">
        <v>#N/A</v>
      </c>
      <c r="DER30" t="e">
        <v>#N/A</v>
      </c>
      <c r="DES30" t="e">
        <v>#N/A</v>
      </c>
      <c r="DET30" t="e">
        <v>#N/A</v>
      </c>
      <c r="DEU30" t="e">
        <v>#N/A</v>
      </c>
      <c r="DEV30" t="e">
        <v>#N/A</v>
      </c>
      <c r="DEW30" t="e">
        <v>#N/A</v>
      </c>
      <c r="DEX30" t="e">
        <v>#N/A</v>
      </c>
      <c r="DEY30" t="e">
        <v>#N/A</v>
      </c>
      <c r="DEZ30" t="e">
        <v>#N/A</v>
      </c>
      <c r="DFA30" t="e">
        <v>#N/A</v>
      </c>
      <c r="DFB30" t="e">
        <v>#N/A</v>
      </c>
      <c r="DFC30" t="e">
        <v>#N/A</v>
      </c>
      <c r="DFD30" t="e">
        <v>#N/A</v>
      </c>
      <c r="DFE30" t="e">
        <v>#N/A</v>
      </c>
      <c r="DFF30" t="e">
        <v>#N/A</v>
      </c>
      <c r="DFG30" t="e">
        <v>#N/A</v>
      </c>
      <c r="DFH30" t="e">
        <v>#N/A</v>
      </c>
      <c r="DFI30" t="e">
        <v>#N/A</v>
      </c>
      <c r="DFJ30" t="e">
        <v>#N/A</v>
      </c>
      <c r="DFK30" t="e">
        <v>#N/A</v>
      </c>
      <c r="DFL30" t="e">
        <v>#N/A</v>
      </c>
      <c r="DFM30" t="e">
        <v>#N/A</v>
      </c>
      <c r="DFN30" t="e">
        <v>#N/A</v>
      </c>
      <c r="DFO30" t="e">
        <v>#N/A</v>
      </c>
      <c r="DFP30" t="e">
        <v>#N/A</v>
      </c>
      <c r="DFQ30" t="e">
        <v>#N/A</v>
      </c>
      <c r="DFR30" t="e">
        <v>#N/A</v>
      </c>
      <c r="DFS30" t="e">
        <v>#N/A</v>
      </c>
      <c r="DFT30" t="e">
        <v>#N/A</v>
      </c>
      <c r="DFU30" t="e">
        <v>#N/A</v>
      </c>
      <c r="DFV30" t="e">
        <v>#N/A</v>
      </c>
      <c r="DFW30" t="e">
        <v>#N/A</v>
      </c>
      <c r="DFX30" t="e">
        <v>#N/A</v>
      </c>
      <c r="DFY30" t="e">
        <v>#N/A</v>
      </c>
      <c r="DFZ30" t="e">
        <v>#N/A</v>
      </c>
      <c r="DGA30" t="e">
        <v>#N/A</v>
      </c>
      <c r="DGB30" t="e">
        <v>#N/A</v>
      </c>
      <c r="DGC30" t="e">
        <v>#N/A</v>
      </c>
      <c r="DGD30" t="e">
        <v>#N/A</v>
      </c>
      <c r="DGE30" t="e">
        <v>#N/A</v>
      </c>
      <c r="DGF30" t="e">
        <v>#N/A</v>
      </c>
      <c r="DGG30" t="e">
        <v>#N/A</v>
      </c>
      <c r="DGH30" t="e">
        <v>#N/A</v>
      </c>
      <c r="DGI30" t="e">
        <v>#N/A</v>
      </c>
      <c r="DGJ30" t="e">
        <v>#N/A</v>
      </c>
      <c r="DGK30" t="e">
        <v>#N/A</v>
      </c>
      <c r="DGL30" t="e">
        <v>#N/A</v>
      </c>
      <c r="DGM30" t="e">
        <v>#N/A</v>
      </c>
      <c r="DGN30" t="e">
        <v>#N/A</v>
      </c>
      <c r="DGO30" t="e">
        <v>#N/A</v>
      </c>
      <c r="DGP30" t="e">
        <v>#N/A</v>
      </c>
      <c r="DGQ30" t="e">
        <v>#N/A</v>
      </c>
      <c r="DGR30" t="e">
        <v>#N/A</v>
      </c>
      <c r="DGS30" t="e">
        <v>#N/A</v>
      </c>
      <c r="DGT30" t="e">
        <v>#N/A</v>
      </c>
      <c r="DGU30" t="e">
        <v>#N/A</v>
      </c>
      <c r="DGV30" t="e">
        <v>#N/A</v>
      </c>
      <c r="DGW30" t="e">
        <v>#N/A</v>
      </c>
      <c r="DGX30" t="e">
        <v>#N/A</v>
      </c>
      <c r="DGY30" t="e">
        <v>#N/A</v>
      </c>
      <c r="DGZ30" t="e">
        <v>#N/A</v>
      </c>
      <c r="DHA30" t="e">
        <v>#N/A</v>
      </c>
      <c r="DHB30" t="e">
        <v>#N/A</v>
      </c>
      <c r="DHC30" t="e">
        <v>#N/A</v>
      </c>
      <c r="DHD30" t="e">
        <v>#N/A</v>
      </c>
      <c r="DHE30" t="e">
        <v>#N/A</v>
      </c>
      <c r="DHF30" t="e">
        <v>#N/A</v>
      </c>
      <c r="DHG30" t="e">
        <v>#N/A</v>
      </c>
      <c r="DHH30" t="e">
        <v>#N/A</v>
      </c>
      <c r="DHI30" t="e">
        <v>#N/A</v>
      </c>
      <c r="DHJ30" t="e">
        <v>#N/A</v>
      </c>
      <c r="DHK30" t="e">
        <v>#N/A</v>
      </c>
      <c r="DHL30" t="e">
        <v>#N/A</v>
      </c>
      <c r="DHM30" t="e">
        <v>#N/A</v>
      </c>
      <c r="DHN30" t="e">
        <v>#N/A</v>
      </c>
      <c r="DHO30" t="e">
        <v>#N/A</v>
      </c>
      <c r="DHP30" t="e">
        <v>#N/A</v>
      </c>
      <c r="DHQ30" t="e">
        <v>#N/A</v>
      </c>
      <c r="DHR30" t="e">
        <v>#N/A</v>
      </c>
      <c r="DHS30" t="e">
        <v>#N/A</v>
      </c>
      <c r="DHT30" t="e">
        <v>#N/A</v>
      </c>
      <c r="DHU30" t="e">
        <v>#N/A</v>
      </c>
      <c r="DHV30" t="e">
        <v>#N/A</v>
      </c>
      <c r="DHW30" t="e">
        <v>#N/A</v>
      </c>
      <c r="DHX30" t="e">
        <v>#N/A</v>
      </c>
      <c r="DHY30" t="e">
        <v>#N/A</v>
      </c>
      <c r="DHZ30" t="e">
        <v>#N/A</v>
      </c>
      <c r="DIA30" t="e">
        <v>#N/A</v>
      </c>
      <c r="DIB30" t="e">
        <v>#N/A</v>
      </c>
      <c r="DIC30" t="e">
        <v>#N/A</v>
      </c>
      <c r="DID30" t="e">
        <v>#N/A</v>
      </c>
      <c r="DIE30" t="e">
        <v>#N/A</v>
      </c>
      <c r="DIF30" t="e">
        <v>#N/A</v>
      </c>
      <c r="DIG30" t="e">
        <v>#N/A</v>
      </c>
      <c r="DIH30" t="e">
        <v>#N/A</v>
      </c>
      <c r="DII30" t="e">
        <v>#N/A</v>
      </c>
      <c r="DIJ30" t="e">
        <v>#N/A</v>
      </c>
      <c r="DIK30" t="e">
        <v>#N/A</v>
      </c>
      <c r="DIL30" t="e">
        <v>#N/A</v>
      </c>
      <c r="DIM30" t="e">
        <v>#N/A</v>
      </c>
      <c r="DIN30" t="e">
        <v>#N/A</v>
      </c>
      <c r="DIO30" t="e">
        <v>#N/A</v>
      </c>
      <c r="DIP30" t="e">
        <v>#N/A</v>
      </c>
      <c r="DIQ30" t="e">
        <v>#N/A</v>
      </c>
      <c r="DIR30" t="e">
        <v>#N/A</v>
      </c>
      <c r="DIS30" t="e">
        <v>#N/A</v>
      </c>
      <c r="DIT30" t="e">
        <v>#N/A</v>
      </c>
      <c r="DIU30" t="e">
        <v>#N/A</v>
      </c>
      <c r="DIV30" t="e">
        <v>#N/A</v>
      </c>
      <c r="DIW30" t="e">
        <v>#N/A</v>
      </c>
      <c r="DIX30" t="e">
        <v>#N/A</v>
      </c>
      <c r="DIY30" t="e">
        <v>#N/A</v>
      </c>
      <c r="DIZ30" t="e">
        <v>#N/A</v>
      </c>
      <c r="DJA30" t="e">
        <v>#N/A</v>
      </c>
      <c r="DJB30" t="e">
        <v>#N/A</v>
      </c>
      <c r="DJC30" t="e">
        <v>#N/A</v>
      </c>
      <c r="DJD30" t="e">
        <v>#N/A</v>
      </c>
      <c r="DJE30" t="e">
        <v>#N/A</v>
      </c>
      <c r="DJF30" t="e">
        <v>#N/A</v>
      </c>
      <c r="DJG30" t="e">
        <v>#N/A</v>
      </c>
      <c r="DJH30" t="e">
        <v>#N/A</v>
      </c>
      <c r="DJI30" t="e">
        <v>#N/A</v>
      </c>
      <c r="DJJ30" t="e">
        <v>#N/A</v>
      </c>
      <c r="DJK30" t="e">
        <v>#N/A</v>
      </c>
      <c r="DJL30" t="e">
        <v>#N/A</v>
      </c>
      <c r="DJM30" t="e">
        <v>#N/A</v>
      </c>
      <c r="DJN30" t="e">
        <v>#N/A</v>
      </c>
      <c r="DJO30" t="e">
        <v>#N/A</v>
      </c>
      <c r="DJP30" t="e">
        <v>#N/A</v>
      </c>
      <c r="DJQ30" t="e">
        <v>#N/A</v>
      </c>
      <c r="DJR30" t="e">
        <v>#N/A</v>
      </c>
      <c r="DJS30" t="e">
        <v>#N/A</v>
      </c>
      <c r="DJT30" t="e">
        <v>#N/A</v>
      </c>
      <c r="DJU30" t="e">
        <v>#N/A</v>
      </c>
      <c r="DJV30" t="e">
        <v>#N/A</v>
      </c>
      <c r="DJW30" t="e">
        <v>#N/A</v>
      </c>
      <c r="DJX30" t="e">
        <v>#N/A</v>
      </c>
      <c r="DJY30" t="e">
        <v>#N/A</v>
      </c>
      <c r="DJZ30" t="e">
        <v>#N/A</v>
      </c>
      <c r="DKA30" t="e">
        <v>#N/A</v>
      </c>
      <c r="DKB30" t="e">
        <v>#N/A</v>
      </c>
      <c r="DKC30" t="e">
        <v>#N/A</v>
      </c>
      <c r="DKD30" t="e">
        <v>#N/A</v>
      </c>
      <c r="DKE30" t="e">
        <v>#N/A</v>
      </c>
      <c r="DKF30" t="e">
        <v>#N/A</v>
      </c>
      <c r="DKG30" t="e">
        <v>#N/A</v>
      </c>
      <c r="DKH30" t="e">
        <v>#N/A</v>
      </c>
      <c r="DKI30" t="e">
        <v>#N/A</v>
      </c>
      <c r="DKJ30" t="e">
        <v>#N/A</v>
      </c>
      <c r="DKK30" t="e">
        <v>#N/A</v>
      </c>
      <c r="DKL30" t="e">
        <v>#N/A</v>
      </c>
      <c r="DKM30" t="e">
        <v>#N/A</v>
      </c>
      <c r="DKN30" t="e">
        <v>#N/A</v>
      </c>
      <c r="DKO30" t="e">
        <v>#N/A</v>
      </c>
      <c r="DKP30" t="e">
        <v>#N/A</v>
      </c>
      <c r="DKQ30" t="e">
        <v>#N/A</v>
      </c>
      <c r="DKR30" t="e">
        <v>#N/A</v>
      </c>
      <c r="DKS30" t="e">
        <v>#N/A</v>
      </c>
      <c r="DKT30" t="e">
        <v>#N/A</v>
      </c>
      <c r="DKU30" t="e">
        <v>#N/A</v>
      </c>
      <c r="DKV30" t="e">
        <v>#N/A</v>
      </c>
      <c r="DKW30" t="e">
        <v>#N/A</v>
      </c>
      <c r="DKX30" t="e">
        <v>#N/A</v>
      </c>
      <c r="DKY30" t="e">
        <v>#N/A</v>
      </c>
      <c r="DKZ30" t="e">
        <v>#N/A</v>
      </c>
      <c r="DLA30" t="e">
        <v>#N/A</v>
      </c>
      <c r="DLB30" t="e">
        <v>#N/A</v>
      </c>
      <c r="DLC30" t="e">
        <v>#N/A</v>
      </c>
      <c r="DLD30" t="e">
        <v>#N/A</v>
      </c>
      <c r="DLE30" t="e">
        <v>#N/A</v>
      </c>
      <c r="DLF30" t="e">
        <v>#N/A</v>
      </c>
      <c r="DLG30" t="e">
        <v>#N/A</v>
      </c>
      <c r="DLH30" t="e">
        <v>#N/A</v>
      </c>
      <c r="DLI30" t="e">
        <v>#N/A</v>
      </c>
      <c r="DLJ30" t="e">
        <v>#N/A</v>
      </c>
      <c r="DLK30" t="e">
        <v>#N/A</v>
      </c>
      <c r="DLL30" t="e">
        <v>#N/A</v>
      </c>
      <c r="DLM30" t="e">
        <v>#N/A</v>
      </c>
      <c r="DLN30" t="e">
        <v>#N/A</v>
      </c>
      <c r="DLO30" t="e">
        <v>#N/A</v>
      </c>
      <c r="DLP30" t="e">
        <v>#N/A</v>
      </c>
      <c r="DLQ30" t="e">
        <v>#N/A</v>
      </c>
      <c r="DLR30" t="e">
        <v>#N/A</v>
      </c>
      <c r="DLS30" t="e">
        <v>#N/A</v>
      </c>
      <c r="DLT30" t="e">
        <v>#N/A</v>
      </c>
      <c r="DLU30" t="e">
        <v>#N/A</v>
      </c>
      <c r="DLV30" t="e">
        <v>#N/A</v>
      </c>
      <c r="DLW30" t="e">
        <v>#N/A</v>
      </c>
      <c r="DLX30" t="e">
        <v>#N/A</v>
      </c>
      <c r="DLY30" t="e">
        <v>#N/A</v>
      </c>
      <c r="DLZ30" t="e">
        <v>#N/A</v>
      </c>
      <c r="DMA30" t="e">
        <v>#N/A</v>
      </c>
      <c r="DMB30" t="e">
        <v>#N/A</v>
      </c>
      <c r="DMC30" t="e">
        <v>#N/A</v>
      </c>
      <c r="DMD30" t="e">
        <v>#N/A</v>
      </c>
      <c r="DME30" t="e">
        <v>#N/A</v>
      </c>
      <c r="DMF30" t="e">
        <v>#N/A</v>
      </c>
      <c r="DMG30" t="e">
        <v>#N/A</v>
      </c>
      <c r="DMH30" t="e">
        <v>#N/A</v>
      </c>
      <c r="DMI30" t="e">
        <v>#N/A</v>
      </c>
      <c r="DMJ30" t="e">
        <v>#N/A</v>
      </c>
      <c r="DMK30" t="e">
        <v>#N/A</v>
      </c>
      <c r="DML30" t="e">
        <v>#N/A</v>
      </c>
      <c r="DMM30" t="e">
        <v>#N/A</v>
      </c>
      <c r="DMN30" t="e">
        <v>#N/A</v>
      </c>
      <c r="DMO30" t="e">
        <v>#N/A</v>
      </c>
      <c r="DMP30" t="e">
        <v>#N/A</v>
      </c>
      <c r="DMQ30" t="e">
        <v>#N/A</v>
      </c>
      <c r="DMR30" t="e">
        <v>#N/A</v>
      </c>
      <c r="DMS30" t="e">
        <v>#N/A</v>
      </c>
      <c r="DMT30" t="e">
        <v>#N/A</v>
      </c>
      <c r="DMU30" t="e">
        <v>#N/A</v>
      </c>
      <c r="DMV30" t="e">
        <v>#N/A</v>
      </c>
      <c r="DMW30" t="e">
        <v>#N/A</v>
      </c>
      <c r="DMX30" t="e">
        <v>#N/A</v>
      </c>
      <c r="DMY30" t="e">
        <v>#N/A</v>
      </c>
      <c r="DMZ30" t="e">
        <v>#N/A</v>
      </c>
      <c r="DNA30" t="e">
        <v>#N/A</v>
      </c>
      <c r="DNB30" t="e">
        <v>#N/A</v>
      </c>
      <c r="DNC30" t="e">
        <v>#N/A</v>
      </c>
      <c r="DND30" t="e">
        <v>#N/A</v>
      </c>
      <c r="DNE30" t="e">
        <v>#N/A</v>
      </c>
      <c r="DNF30" t="e">
        <v>#N/A</v>
      </c>
      <c r="DNG30" t="e">
        <v>#N/A</v>
      </c>
      <c r="DNH30" t="e">
        <v>#N/A</v>
      </c>
      <c r="DNI30" t="e">
        <v>#N/A</v>
      </c>
      <c r="DNJ30" t="e">
        <v>#N/A</v>
      </c>
      <c r="DNK30" t="e">
        <v>#N/A</v>
      </c>
      <c r="DNL30" t="e">
        <v>#N/A</v>
      </c>
      <c r="DNM30" t="e">
        <v>#N/A</v>
      </c>
      <c r="DNN30" t="e">
        <v>#N/A</v>
      </c>
      <c r="DNO30" t="e">
        <v>#N/A</v>
      </c>
      <c r="DNP30" t="e">
        <v>#N/A</v>
      </c>
      <c r="DNQ30" t="e">
        <v>#N/A</v>
      </c>
      <c r="DNR30" t="e">
        <v>#N/A</v>
      </c>
      <c r="DNS30" t="e">
        <v>#N/A</v>
      </c>
      <c r="DNT30" t="e">
        <v>#N/A</v>
      </c>
      <c r="DNU30" t="e">
        <v>#N/A</v>
      </c>
      <c r="DNV30" t="e">
        <v>#N/A</v>
      </c>
      <c r="DNW30" t="e">
        <v>#N/A</v>
      </c>
      <c r="DNX30" t="e">
        <v>#N/A</v>
      </c>
      <c r="DNY30" t="e">
        <v>#N/A</v>
      </c>
      <c r="DNZ30" t="e">
        <v>#N/A</v>
      </c>
      <c r="DOA30" t="e">
        <v>#N/A</v>
      </c>
      <c r="DOB30" t="e">
        <v>#N/A</v>
      </c>
      <c r="DOC30" t="e">
        <v>#N/A</v>
      </c>
      <c r="DOD30" t="e">
        <v>#N/A</v>
      </c>
      <c r="DOE30" t="e">
        <v>#N/A</v>
      </c>
      <c r="DOF30" t="e">
        <v>#N/A</v>
      </c>
      <c r="DOG30" t="e">
        <v>#N/A</v>
      </c>
      <c r="DOH30" t="e">
        <v>#N/A</v>
      </c>
      <c r="DOI30" t="e">
        <v>#N/A</v>
      </c>
      <c r="DOJ30" t="e">
        <v>#N/A</v>
      </c>
      <c r="DOK30" t="e">
        <v>#N/A</v>
      </c>
      <c r="DOL30" t="e">
        <v>#N/A</v>
      </c>
      <c r="DOM30" t="e">
        <v>#N/A</v>
      </c>
      <c r="DON30" t="e">
        <v>#N/A</v>
      </c>
      <c r="DOO30" t="e">
        <v>#N/A</v>
      </c>
      <c r="DOP30" t="e">
        <v>#N/A</v>
      </c>
      <c r="DOQ30" t="e">
        <v>#N/A</v>
      </c>
      <c r="DOR30" t="e">
        <v>#N/A</v>
      </c>
      <c r="DOS30" t="e">
        <v>#N/A</v>
      </c>
      <c r="DOT30" t="e">
        <v>#N/A</v>
      </c>
      <c r="DOU30" t="e">
        <v>#N/A</v>
      </c>
      <c r="DOV30" t="e">
        <v>#N/A</v>
      </c>
      <c r="DOW30" t="e">
        <v>#N/A</v>
      </c>
      <c r="DOX30" t="e">
        <v>#N/A</v>
      </c>
      <c r="DOY30" t="e">
        <v>#N/A</v>
      </c>
      <c r="DOZ30" t="e">
        <v>#N/A</v>
      </c>
      <c r="DPA30" t="e">
        <v>#N/A</v>
      </c>
      <c r="DPB30" t="e">
        <v>#N/A</v>
      </c>
      <c r="DPC30" t="e">
        <v>#N/A</v>
      </c>
      <c r="DPD30" t="e">
        <v>#N/A</v>
      </c>
      <c r="DPE30" t="e">
        <v>#N/A</v>
      </c>
      <c r="DPF30" t="e">
        <v>#N/A</v>
      </c>
      <c r="DPG30" t="e">
        <v>#N/A</v>
      </c>
      <c r="DPH30" t="e">
        <v>#N/A</v>
      </c>
      <c r="DPI30" t="e">
        <v>#N/A</v>
      </c>
      <c r="DPJ30" t="e">
        <v>#N/A</v>
      </c>
      <c r="DPK30" t="e">
        <v>#N/A</v>
      </c>
      <c r="DPL30" t="e">
        <v>#N/A</v>
      </c>
      <c r="DPM30" t="e">
        <v>#N/A</v>
      </c>
      <c r="DPN30" t="e">
        <v>#N/A</v>
      </c>
      <c r="DPO30" t="e">
        <v>#N/A</v>
      </c>
      <c r="DPP30" t="e">
        <v>#N/A</v>
      </c>
      <c r="DPQ30" t="e">
        <v>#N/A</v>
      </c>
      <c r="DPR30" t="e">
        <v>#N/A</v>
      </c>
      <c r="DPS30" t="e">
        <v>#N/A</v>
      </c>
      <c r="DPT30" t="e">
        <v>#N/A</v>
      </c>
      <c r="DPU30" t="e">
        <v>#N/A</v>
      </c>
      <c r="DPV30" t="e">
        <v>#N/A</v>
      </c>
      <c r="DPW30" t="e">
        <v>#N/A</v>
      </c>
      <c r="DPX30" t="e">
        <v>#N/A</v>
      </c>
      <c r="DPY30" t="e">
        <v>#N/A</v>
      </c>
      <c r="DPZ30" t="e">
        <v>#N/A</v>
      </c>
      <c r="DQA30" t="e">
        <v>#N/A</v>
      </c>
      <c r="DQB30" t="e">
        <v>#N/A</v>
      </c>
      <c r="DQC30" t="e">
        <v>#N/A</v>
      </c>
      <c r="DQD30" t="e">
        <v>#N/A</v>
      </c>
      <c r="DQE30" t="e">
        <v>#N/A</v>
      </c>
      <c r="DQF30" t="e">
        <v>#N/A</v>
      </c>
      <c r="DQG30" t="e">
        <v>#N/A</v>
      </c>
      <c r="DQH30" t="e">
        <v>#N/A</v>
      </c>
      <c r="DQI30" t="e">
        <v>#N/A</v>
      </c>
      <c r="DQJ30" t="e">
        <v>#N/A</v>
      </c>
      <c r="DQK30" t="e">
        <v>#N/A</v>
      </c>
      <c r="DQL30" t="e">
        <v>#N/A</v>
      </c>
      <c r="DQM30" t="e">
        <v>#N/A</v>
      </c>
      <c r="DQN30" t="e">
        <v>#N/A</v>
      </c>
      <c r="DQO30" t="e">
        <v>#N/A</v>
      </c>
      <c r="DQP30" t="e">
        <v>#N/A</v>
      </c>
      <c r="DQQ30" t="e">
        <v>#N/A</v>
      </c>
      <c r="DQR30" t="e">
        <v>#N/A</v>
      </c>
      <c r="DQS30" t="e">
        <v>#N/A</v>
      </c>
      <c r="DQT30" t="e">
        <v>#N/A</v>
      </c>
      <c r="DQU30" t="e">
        <v>#N/A</v>
      </c>
      <c r="DQV30" t="e">
        <v>#N/A</v>
      </c>
      <c r="DQW30" t="e">
        <v>#N/A</v>
      </c>
      <c r="DQX30" t="e">
        <v>#N/A</v>
      </c>
      <c r="DQY30" t="e">
        <v>#N/A</v>
      </c>
      <c r="DQZ30" t="e">
        <v>#N/A</v>
      </c>
      <c r="DRA30" t="e">
        <v>#N/A</v>
      </c>
      <c r="DRB30" t="e">
        <v>#N/A</v>
      </c>
      <c r="DRC30" t="e">
        <v>#N/A</v>
      </c>
      <c r="DRD30" t="e">
        <v>#N/A</v>
      </c>
      <c r="DRE30" t="e">
        <v>#N/A</v>
      </c>
      <c r="DRF30" t="e">
        <v>#N/A</v>
      </c>
      <c r="DRG30" t="e">
        <v>#N/A</v>
      </c>
      <c r="DRH30" t="e">
        <v>#N/A</v>
      </c>
      <c r="DRI30" t="e">
        <v>#N/A</v>
      </c>
      <c r="DRJ30" t="e">
        <v>#N/A</v>
      </c>
      <c r="DRK30" t="e">
        <v>#N/A</v>
      </c>
      <c r="DRL30" t="e">
        <v>#N/A</v>
      </c>
      <c r="DRM30" t="e">
        <v>#N/A</v>
      </c>
      <c r="DRN30" t="e">
        <v>#N/A</v>
      </c>
      <c r="DRO30" t="e">
        <v>#N/A</v>
      </c>
      <c r="DRP30" t="e">
        <v>#N/A</v>
      </c>
      <c r="DRQ30" t="e">
        <v>#N/A</v>
      </c>
      <c r="DRR30" t="e">
        <v>#N/A</v>
      </c>
      <c r="DRS30" t="e">
        <v>#N/A</v>
      </c>
      <c r="DRT30" t="e">
        <v>#N/A</v>
      </c>
      <c r="DRU30" t="e">
        <v>#N/A</v>
      </c>
      <c r="DRV30" t="e">
        <v>#N/A</v>
      </c>
      <c r="DRW30" t="e">
        <v>#N/A</v>
      </c>
      <c r="DRX30" t="e">
        <v>#N/A</v>
      </c>
      <c r="DRY30" t="e">
        <v>#N/A</v>
      </c>
      <c r="DRZ30" t="e">
        <v>#N/A</v>
      </c>
      <c r="DSA30" t="e">
        <v>#N/A</v>
      </c>
      <c r="DSB30" t="e">
        <v>#N/A</v>
      </c>
      <c r="DSC30" t="e">
        <v>#N/A</v>
      </c>
      <c r="DSD30" t="e">
        <v>#N/A</v>
      </c>
      <c r="DSE30" t="e">
        <v>#N/A</v>
      </c>
      <c r="DSF30" t="e">
        <v>#N/A</v>
      </c>
      <c r="DSG30" t="e">
        <v>#N/A</v>
      </c>
      <c r="DSH30" t="e">
        <v>#N/A</v>
      </c>
      <c r="DSI30" t="e">
        <v>#N/A</v>
      </c>
      <c r="DSJ30" t="e">
        <v>#N/A</v>
      </c>
      <c r="DSK30" t="e">
        <v>#N/A</v>
      </c>
      <c r="DSL30" t="e">
        <v>#N/A</v>
      </c>
      <c r="DSM30" t="e">
        <v>#N/A</v>
      </c>
      <c r="DSN30" t="e">
        <v>#N/A</v>
      </c>
      <c r="DSO30" t="e">
        <v>#N/A</v>
      </c>
      <c r="DSP30" t="e">
        <v>#N/A</v>
      </c>
      <c r="DSQ30" t="e">
        <v>#N/A</v>
      </c>
      <c r="DSR30" t="e">
        <v>#N/A</v>
      </c>
      <c r="DSS30" t="e">
        <v>#N/A</v>
      </c>
      <c r="DST30" t="e">
        <v>#N/A</v>
      </c>
      <c r="DSU30" t="e">
        <v>#N/A</v>
      </c>
      <c r="DSV30" t="e">
        <v>#N/A</v>
      </c>
      <c r="DSW30" t="e">
        <v>#N/A</v>
      </c>
      <c r="DSX30" t="e">
        <v>#N/A</v>
      </c>
      <c r="DSY30" t="e">
        <v>#N/A</v>
      </c>
      <c r="DSZ30" t="e">
        <v>#N/A</v>
      </c>
      <c r="DTA30" t="e">
        <v>#N/A</v>
      </c>
      <c r="DTB30" t="e">
        <v>#N/A</v>
      </c>
      <c r="DTC30" t="e">
        <v>#N/A</v>
      </c>
      <c r="DTD30" t="e">
        <v>#N/A</v>
      </c>
      <c r="DTE30" t="e">
        <v>#N/A</v>
      </c>
      <c r="DTF30" t="e">
        <v>#N/A</v>
      </c>
      <c r="DTG30" t="e">
        <v>#N/A</v>
      </c>
      <c r="DTH30" t="e">
        <v>#N/A</v>
      </c>
      <c r="DTI30" t="e">
        <v>#N/A</v>
      </c>
      <c r="DTJ30" t="e">
        <v>#N/A</v>
      </c>
      <c r="DTK30" t="e">
        <v>#N/A</v>
      </c>
      <c r="DTL30" t="e">
        <v>#N/A</v>
      </c>
      <c r="DTM30" t="e">
        <v>#N/A</v>
      </c>
      <c r="DTN30" t="e">
        <v>#N/A</v>
      </c>
      <c r="DTO30" t="e">
        <v>#N/A</v>
      </c>
      <c r="DTP30" t="e">
        <v>#N/A</v>
      </c>
      <c r="DTQ30" t="e">
        <v>#N/A</v>
      </c>
      <c r="DTR30" t="e">
        <v>#N/A</v>
      </c>
      <c r="DTS30" t="e">
        <v>#N/A</v>
      </c>
      <c r="DTT30" t="e">
        <v>#N/A</v>
      </c>
      <c r="DTU30" t="e">
        <v>#N/A</v>
      </c>
      <c r="DTV30" t="e">
        <v>#N/A</v>
      </c>
      <c r="DTW30" t="e">
        <v>#N/A</v>
      </c>
      <c r="DTX30" t="e">
        <v>#N/A</v>
      </c>
      <c r="DTY30" t="e">
        <v>#N/A</v>
      </c>
      <c r="DTZ30" t="e">
        <v>#N/A</v>
      </c>
      <c r="DUA30" t="e">
        <v>#N/A</v>
      </c>
      <c r="DUB30" t="e">
        <v>#N/A</v>
      </c>
      <c r="DUC30" t="e">
        <v>#N/A</v>
      </c>
      <c r="DUD30" t="e">
        <v>#N/A</v>
      </c>
      <c r="DUE30" t="e">
        <v>#N/A</v>
      </c>
      <c r="DUF30" t="e">
        <v>#N/A</v>
      </c>
      <c r="DUG30" t="e">
        <v>#N/A</v>
      </c>
      <c r="DUH30" t="e">
        <v>#N/A</v>
      </c>
      <c r="DUI30" t="e">
        <v>#N/A</v>
      </c>
      <c r="DUJ30" t="e">
        <v>#N/A</v>
      </c>
      <c r="DUK30" t="e">
        <v>#N/A</v>
      </c>
      <c r="DUL30" t="e">
        <v>#N/A</v>
      </c>
      <c r="DUM30" t="e">
        <v>#N/A</v>
      </c>
      <c r="DUN30" t="e">
        <v>#N/A</v>
      </c>
      <c r="DUO30" t="e">
        <v>#N/A</v>
      </c>
      <c r="DUP30" t="e">
        <v>#N/A</v>
      </c>
      <c r="DUQ30" t="e">
        <v>#N/A</v>
      </c>
      <c r="DUR30" t="e">
        <v>#N/A</v>
      </c>
      <c r="DUS30" t="e">
        <v>#N/A</v>
      </c>
      <c r="DUT30" t="e">
        <v>#N/A</v>
      </c>
      <c r="DUU30" t="e">
        <v>#N/A</v>
      </c>
      <c r="DUV30" t="e">
        <v>#N/A</v>
      </c>
      <c r="DUW30" t="e">
        <v>#N/A</v>
      </c>
      <c r="DUX30" t="e">
        <v>#N/A</v>
      </c>
      <c r="DUY30" t="e">
        <v>#N/A</v>
      </c>
      <c r="DUZ30" t="e">
        <v>#N/A</v>
      </c>
      <c r="DVA30" t="e">
        <v>#N/A</v>
      </c>
      <c r="DVB30" t="e">
        <v>#N/A</v>
      </c>
      <c r="DVC30" t="e">
        <v>#N/A</v>
      </c>
      <c r="DVD30" t="e">
        <v>#N/A</v>
      </c>
      <c r="DVE30" t="e">
        <v>#N/A</v>
      </c>
      <c r="DVF30" t="e">
        <v>#N/A</v>
      </c>
      <c r="DVG30" t="e">
        <v>#N/A</v>
      </c>
      <c r="DVH30" t="e">
        <v>#N/A</v>
      </c>
      <c r="DVI30" t="e">
        <v>#N/A</v>
      </c>
      <c r="DVJ30" t="e">
        <v>#N/A</v>
      </c>
      <c r="DVK30" t="e">
        <v>#N/A</v>
      </c>
      <c r="DVL30" t="e">
        <v>#N/A</v>
      </c>
      <c r="DVM30" t="e">
        <v>#N/A</v>
      </c>
      <c r="DVN30" t="e">
        <v>#N/A</v>
      </c>
      <c r="DVO30" t="e">
        <v>#N/A</v>
      </c>
      <c r="DVP30" t="e">
        <v>#N/A</v>
      </c>
      <c r="DVQ30" t="e">
        <v>#N/A</v>
      </c>
      <c r="DVR30" t="e">
        <v>#N/A</v>
      </c>
      <c r="DVS30" t="e">
        <v>#N/A</v>
      </c>
      <c r="DVT30" t="e">
        <v>#N/A</v>
      </c>
      <c r="DVU30" t="e">
        <v>#N/A</v>
      </c>
      <c r="DVV30" t="e">
        <v>#N/A</v>
      </c>
      <c r="DVW30" t="e">
        <v>#N/A</v>
      </c>
      <c r="DVX30" t="e">
        <v>#N/A</v>
      </c>
      <c r="DVY30" t="e">
        <v>#N/A</v>
      </c>
      <c r="DVZ30" t="e">
        <v>#N/A</v>
      </c>
      <c r="DWA30" t="e">
        <v>#N/A</v>
      </c>
      <c r="DWB30" t="e">
        <v>#N/A</v>
      </c>
      <c r="DWC30" t="e">
        <v>#N/A</v>
      </c>
      <c r="DWD30" t="e">
        <v>#N/A</v>
      </c>
      <c r="DWE30" t="e">
        <v>#N/A</v>
      </c>
      <c r="DWF30" t="e">
        <v>#N/A</v>
      </c>
      <c r="DWG30" t="e">
        <v>#N/A</v>
      </c>
      <c r="DWH30" t="e">
        <v>#N/A</v>
      </c>
      <c r="DWI30" t="e">
        <v>#N/A</v>
      </c>
      <c r="DWJ30" t="e">
        <v>#N/A</v>
      </c>
      <c r="DWK30" t="e">
        <v>#N/A</v>
      </c>
      <c r="DWL30" t="e">
        <v>#N/A</v>
      </c>
      <c r="DWM30" t="e">
        <v>#N/A</v>
      </c>
      <c r="DWN30" t="e">
        <v>#N/A</v>
      </c>
      <c r="DWO30" t="e">
        <v>#N/A</v>
      </c>
      <c r="DWP30" t="e">
        <v>#N/A</v>
      </c>
      <c r="DWQ30" t="e">
        <v>#N/A</v>
      </c>
      <c r="DWR30" t="e">
        <v>#N/A</v>
      </c>
      <c r="DWS30" t="e">
        <v>#N/A</v>
      </c>
      <c r="DWT30" t="e">
        <v>#N/A</v>
      </c>
      <c r="DWU30" t="e">
        <v>#N/A</v>
      </c>
      <c r="DWV30" t="e">
        <v>#N/A</v>
      </c>
      <c r="DWW30" t="e">
        <v>#N/A</v>
      </c>
      <c r="DWX30" t="e">
        <v>#N/A</v>
      </c>
      <c r="DWY30" t="e">
        <v>#N/A</v>
      </c>
      <c r="DWZ30" t="e">
        <v>#N/A</v>
      </c>
      <c r="DXA30" t="e">
        <v>#N/A</v>
      </c>
      <c r="DXB30" t="e">
        <v>#N/A</v>
      </c>
      <c r="DXC30" t="e">
        <v>#N/A</v>
      </c>
      <c r="DXD30" t="e">
        <v>#N/A</v>
      </c>
      <c r="DXE30" t="e">
        <v>#N/A</v>
      </c>
      <c r="DXF30" t="e">
        <v>#N/A</v>
      </c>
      <c r="DXG30" t="e">
        <v>#N/A</v>
      </c>
      <c r="DXH30" t="e">
        <v>#N/A</v>
      </c>
      <c r="DXI30" t="e">
        <v>#N/A</v>
      </c>
      <c r="DXJ30" t="e">
        <v>#N/A</v>
      </c>
      <c r="DXK30" t="e">
        <v>#N/A</v>
      </c>
      <c r="DXL30" t="e">
        <v>#N/A</v>
      </c>
      <c r="DXM30" t="e">
        <v>#N/A</v>
      </c>
      <c r="DXN30" t="e">
        <v>#N/A</v>
      </c>
      <c r="DXO30" t="e">
        <v>#N/A</v>
      </c>
      <c r="DXP30" t="e">
        <v>#N/A</v>
      </c>
      <c r="DXQ30" t="e">
        <v>#N/A</v>
      </c>
      <c r="DXR30" t="e">
        <v>#N/A</v>
      </c>
      <c r="DXS30" t="e">
        <v>#N/A</v>
      </c>
      <c r="DXT30" t="e">
        <v>#N/A</v>
      </c>
      <c r="DXU30" t="e">
        <v>#N/A</v>
      </c>
      <c r="DXV30" t="e">
        <v>#N/A</v>
      </c>
      <c r="DXW30" t="e">
        <v>#N/A</v>
      </c>
      <c r="DXX30" t="e">
        <v>#N/A</v>
      </c>
      <c r="DXY30" t="e">
        <v>#N/A</v>
      </c>
      <c r="DXZ30" t="e">
        <v>#N/A</v>
      </c>
      <c r="DYA30" t="e">
        <v>#N/A</v>
      </c>
      <c r="DYB30" t="e">
        <v>#N/A</v>
      </c>
      <c r="DYC30" t="e">
        <v>#N/A</v>
      </c>
      <c r="DYD30" t="e">
        <v>#N/A</v>
      </c>
      <c r="DYE30" t="e">
        <v>#N/A</v>
      </c>
      <c r="DYF30" t="e">
        <v>#N/A</v>
      </c>
      <c r="DYG30" t="e">
        <v>#N/A</v>
      </c>
      <c r="DYH30" t="e">
        <v>#N/A</v>
      </c>
      <c r="DYI30" t="e">
        <v>#N/A</v>
      </c>
      <c r="DYJ30" t="e">
        <v>#N/A</v>
      </c>
      <c r="DYK30" t="e">
        <v>#N/A</v>
      </c>
      <c r="DYL30" t="e">
        <v>#N/A</v>
      </c>
      <c r="DYM30" t="e">
        <v>#N/A</v>
      </c>
      <c r="DYN30" t="e">
        <v>#N/A</v>
      </c>
      <c r="DYO30" t="e">
        <v>#N/A</v>
      </c>
      <c r="DYP30" t="e">
        <v>#N/A</v>
      </c>
      <c r="DYQ30" t="e">
        <v>#N/A</v>
      </c>
      <c r="DYR30" t="e">
        <v>#N/A</v>
      </c>
      <c r="DYS30" t="e">
        <v>#N/A</v>
      </c>
      <c r="DYT30" t="e">
        <v>#N/A</v>
      </c>
      <c r="DYU30" t="e">
        <v>#N/A</v>
      </c>
      <c r="DYV30" t="e">
        <v>#N/A</v>
      </c>
      <c r="DYW30" t="e">
        <v>#N/A</v>
      </c>
      <c r="DYX30" t="e">
        <v>#N/A</v>
      </c>
      <c r="DYY30" t="e">
        <v>#N/A</v>
      </c>
      <c r="DYZ30" t="e">
        <v>#N/A</v>
      </c>
      <c r="DZA30" t="e">
        <v>#N/A</v>
      </c>
      <c r="DZB30" t="e">
        <v>#N/A</v>
      </c>
      <c r="DZC30" t="e">
        <v>#N/A</v>
      </c>
      <c r="DZD30" t="e">
        <v>#N/A</v>
      </c>
      <c r="DZE30" t="e">
        <v>#N/A</v>
      </c>
      <c r="DZF30" t="e">
        <v>#N/A</v>
      </c>
      <c r="DZG30" t="e">
        <v>#N/A</v>
      </c>
      <c r="DZH30" t="e">
        <v>#N/A</v>
      </c>
      <c r="DZI30" t="e">
        <v>#N/A</v>
      </c>
      <c r="DZJ30" t="e">
        <v>#N/A</v>
      </c>
      <c r="DZK30" t="e">
        <v>#N/A</v>
      </c>
      <c r="DZL30" t="e">
        <v>#N/A</v>
      </c>
      <c r="DZM30" t="e">
        <v>#N/A</v>
      </c>
      <c r="DZN30" t="e">
        <v>#N/A</v>
      </c>
      <c r="DZO30" t="e">
        <v>#N/A</v>
      </c>
      <c r="DZP30" t="e">
        <v>#N/A</v>
      </c>
      <c r="DZQ30" t="e">
        <v>#N/A</v>
      </c>
      <c r="DZR30" t="e">
        <v>#N/A</v>
      </c>
      <c r="DZS30" t="e">
        <v>#N/A</v>
      </c>
      <c r="DZT30" t="e">
        <v>#N/A</v>
      </c>
      <c r="DZU30" t="e">
        <v>#N/A</v>
      </c>
      <c r="DZV30" t="e">
        <v>#N/A</v>
      </c>
      <c r="DZW30" t="e">
        <v>#N/A</v>
      </c>
      <c r="DZX30" t="e">
        <v>#N/A</v>
      </c>
      <c r="DZY30" t="e">
        <v>#N/A</v>
      </c>
      <c r="DZZ30" t="e">
        <v>#N/A</v>
      </c>
      <c r="EAA30" t="e">
        <v>#N/A</v>
      </c>
      <c r="EAB30" t="e">
        <v>#N/A</v>
      </c>
      <c r="EAC30" t="e">
        <v>#N/A</v>
      </c>
      <c r="EAD30" t="e">
        <v>#N/A</v>
      </c>
      <c r="EAE30" t="e">
        <v>#N/A</v>
      </c>
      <c r="EAF30" t="e">
        <v>#N/A</v>
      </c>
      <c r="EAG30" t="e">
        <v>#N/A</v>
      </c>
      <c r="EAH30" t="e">
        <v>#N/A</v>
      </c>
      <c r="EAI30" t="e">
        <v>#N/A</v>
      </c>
      <c r="EAJ30" t="e">
        <v>#N/A</v>
      </c>
      <c r="EAK30" t="e">
        <v>#N/A</v>
      </c>
      <c r="EAL30" t="e">
        <v>#N/A</v>
      </c>
      <c r="EAM30" t="e">
        <v>#N/A</v>
      </c>
      <c r="EAN30" t="e">
        <v>#N/A</v>
      </c>
      <c r="EAO30" t="e">
        <v>#N/A</v>
      </c>
      <c r="EAP30" t="e">
        <v>#N/A</v>
      </c>
      <c r="EAQ30" t="e">
        <v>#N/A</v>
      </c>
      <c r="EAR30" t="e">
        <v>#N/A</v>
      </c>
      <c r="EAS30" t="e">
        <v>#N/A</v>
      </c>
      <c r="EAT30" t="e">
        <v>#N/A</v>
      </c>
      <c r="EAU30" t="e">
        <v>#N/A</v>
      </c>
      <c r="EAV30" t="e">
        <v>#N/A</v>
      </c>
      <c r="EAW30" t="e">
        <v>#N/A</v>
      </c>
      <c r="EAX30" t="e">
        <v>#N/A</v>
      </c>
      <c r="EAY30" t="e">
        <v>#N/A</v>
      </c>
      <c r="EAZ30" t="e">
        <v>#N/A</v>
      </c>
      <c r="EBA30" t="e">
        <v>#N/A</v>
      </c>
      <c r="EBB30" t="e">
        <v>#N/A</v>
      </c>
      <c r="EBC30" t="e">
        <v>#N/A</v>
      </c>
      <c r="EBD30" t="e">
        <v>#N/A</v>
      </c>
      <c r="EBE30" t="e">
        <v>#N/A</v>
      </c>
      <c r="EBF30" t="e">
        <v>#N/A</v>
      </c>
      <c r="EBG30" t="e">
        <v>#N/A</v>
      </c>
      <c r="EBH30" t="e">
        <v>#N/A</v>
      </c>
      <c r="EBI30" t="e">
        <v>#N/A</v>
      </c>
      <c r="EBJ30" t="e">
        <v>#N/A</v>
      </c>
      <c r="EBK30" t="e">
        <v>#N/A</v>
      </c>
      <c r="EBL30" t="e">
        <v>#N/A</v>
      </c>
      <c r="EBM30" t="e">
        <v>#N/A</v>
      </c>
      <c r="EBN30" t="e">
        <v>#N/A</v>
      </c>
      <c r="EBO30" t="e">
        <v>#N/A</v>
      </c>
      <c r="EBP30" t="e">
        <v>#N/A</v>
      </c>
      <c r="EBQ30" t="e">
        <v>#N/A</v>
      </c>
      <c r="EBR30" t="e">
        <v>#N/A</v>
      </c>
      <c r="EBS30" t="e">
        <v>#N/A</v>
      </c>
      <c r="EBT30" t="e">
        <v>#N/A</v>
      </c>
      <c r="EBU30" t="e">
        <v>#N/A</v>
      </c>
      <c r="EBV30" t="e">
        <v>#N/A</v>
      </c>
      <c r="EBW30" t="e">
        <v>#N/A</v>
      </c>
      <c r="EBX30" t="e">
        <v>#N/A</v>
      </c>
      <c r="EBY30" t="e">
        <v>#N/A</v>
      </c>
      <c r="EBZ30" t="e">
        <v>#N/A</v>
      </c>
      <c r="ECA30" t="e">
        <v>#N/A</v>
      </c>
      <c r="ECB30" t="e">
        <v>#N/A</v>
      </c>
      <c r="ECC30" t="e">
        <v>#N/A</v>
      </c>
      <c r="ECD30" t="e">
        <v>#N/A</v>
      </c>
      <c r="ECE30" t="e">
        <v>#N/A</v>
      </c>
      <c r="ECF30" t="e">
        <v>#N/A</v>
      </c>
      <c r="ECG30" t="e">
        <v>#N/A</v>
      </c>
      <c r="ECH30" t="e">
        <v>#N/A</v>
      </c>
      <c r="ECI30" t="e">
        <v>#N/A</v>
      </c>
      <c r="ECJ30" t="e">
        <v>#N/A</v>
      </c>
      <c r="ECK30" t="e">
        <v>#N/A</v>
      </c>
      <c r="ECL30" t="e">
        <v>#N/A</v>
      </c>
      <c r="ECM30" t="e">
        <v>#N/A</v>
      </c>
      <c r="ECN30" t="e">
        <v>#N/A</v>
      </c>
      <c r="ECO30" t="e">
        <v>#N/A</v>
      </c>
      <c r="ECP30" t="e">
        <v>#N/A</v>
      </c>
      <c r="ECQ30" t="e">
        <v>#N/A</v>
      </c>
      <c r="ECR30" t="e">
        <v>#N/A</v>
      </c>
      <c r="ECS30" t="e">
        <v>#N/A</v>
      </c>
      <c r="ECT30" t="e">
        <v>#N/A</v>
      </c>
      <c r="ECU30" t="e">
        <v>#N/A</v>
      </c>
      <c r="ECV30" t="e">
        <v>#N/A</v>
      </c>
      <c r="ECW30" t="e">
        <v>#N/A</v>
      </c>
      <c r="ECX30" t="e">
        <v>#N/A</v>
      </c>
      <c r="ECY30" t="e">
        <v>#N/A</v>
      </c>
      <c r="ECZ30" t="e">
        <v>#N/A</v>
      </c>
      <c r="EDA30" t="e">
        <v>#N/A</v>
      </c>
      <c r="EDB30" t="e">
        <v>#N/A</v>
      </c>
      <c r="EDC30" t="e">
        <v>#N/A</v>
      </c>
      <c r="EDD30" t="e">
        <v>#N/A</v>
      </c>
      <c r="EDE30" t="e">
        <v>#N/A</v>
      </c>
      <c r="EDF30" t="e">
        <v>#N/A</v>
      </c>
      <c r="EDG30" t="e">
        <v>#N/A</v>
      </c>
      <c r="EDH30" t="e">
        <v>#N/A</v>
      </c>
      <c r="EDI30" t="e">
        <v>#N/A</v>
      </c>
      <c r="EDJ30" t="e">
        <v>#N/A</v>
      </c>
      <c r="EDK30" t="e">
        <v>#N/A</v>
      </c>
      <c r="EDL30" t="e">
        <v>#N/A</v>
      </c>
      <c r="EDM30" t="e">
        <v>#N/A</v>
      </c>
      <c r="EDN30" t="e">
        <v>#N/A</v>
      </c>
      <c r="EDO30" t="e">
        <v>#N/A</v>
      </c>
      <c r="EDP30" t="e">
        <v>#N/A</v>
      </c>
      <c r="EDQ30" t="e">
        <v>#N/A</v>
      </c>
      <c r="EDR30" t="e">
        <v>#N/A</v>
      </c>
      <c r="EDS30" t="e">
        <v>#N/A</v>
      </c>
      <c r="EDT30" t="e">
        <v>#N/A</v>
      </c>
      <c r="EDU30" t="e">
        <v>#N/A</v>
      </c>
      <c r="EDV30" t="e">
        <v>#N/A</v>
      </c>
      <c r="EDW30" t="e">
        <v>#N/A</v>
      </c>
      <c r="EDX30" t="e">
        <v>#N/A</v>
      </c>
      <c r="EDY30" t="e">
        <v>#N/A</v>
      </c>
      <c r="EDZ30" t="e">
        <v>#N/A</v>
      </c>
      <c r="EEA30" t="e">
        <v>#N/A</v>
      </c>
      <c r="EEB30" t="e">
        <v>#N/A</v>
      </c>
      <c r="EEC30" t="e">
        <v>#N/A</v>
      </c>
      <c r="EED30" t="e">
        <v>#N/A</v>
      </c>
      <c r="EEE30" t="e">
        <v>#N/A</v>
      </c>
      <c r="EEF30" t="e">
        <v>#N/A</v>
      </c>
      <c r="EEG30" t="e">
        <v>#N/A</v>
      </c>
      <c r="EEH30" t="e">
        <v>#N/A</v>
      </c>
      <c r="EEI30" t="e">
        <v>#N/A</v>
      </c>
      <c r="EEJ30" t="e">
        <v>#N/A</v>
      </c>
      <c r="EEK30" t="e">
        <v>#N/A</v>
      </c>
      <c r="EEL30" t="e">
        <v>#N/A</v>
      </c>
      <c r="EEM30" t="e">
        <v>#N/A</v>
      </c>
      <c r="EEN30" t="e">
        <v>#N/A</v>
      </c>
      <c r="EEO30" t="e">
        <v>#N/A</v>
      </c>
      <c r="EEP30" t="e">
        <v>#N/A</v>
      </c>
      <c r="EEQ30" t="e">
        <v>#N/A</v>
      </c>
      <c r="EER30" t="e">
        <v>#N/A</v>
      </c>
      <c r="EES30" t="e">
        <v>#N/A</v>
      </c>
      <c r="EET30" t="e">
        <v>#N/A</v>
      </c>
      <c r="EEU30" t="e">
        <v>#N/A</v>
      </c>
      <c r="EEV30" t="e">
        <v>#N/A</v>
      </c>
      <c r="EEW30" t="e">
        <v>#N/A</v>
      </c>
      <c r="EEX30" t="e">
        <v>#N/A</v>
      </c>
      <c r="EEY30" t="e">
        <v>#N/A</v>
      </c>
      <c r="EEZ30" t="e">
        <v>#N/A</v>
      </c>
      <c r="EFA30" t="e">
        <v>#N/A</v>
      </c>
      <c r="EFB30" t="e">
        <v>#N/A</v>
      </c>
      <c r="EFC30" t="e">
        <v>#N/A</v>
      </c>
      <c r="EFD30" t="e">
        <v>#N/A</v>
      </c>
      <c r="EFE30" t="e">
        <v>#N/A</v>
      </c>
      <c r="EFF30" t="e">
        <v>#N/A</v>
      </c>
      <c r="EFG30" t="e">
        <v>#N/A</v>
      </c>
      <c r="EFH30" t="e">
        <v>#N/A</v>
      </c>
      <c r="EFI30" t="e">
        <v>#N/A</v>
      </c>
      <c r="EFJ30" t="e">
        <v>#N/A</v>
      </c>
      <c r="EFK30" t="e">
        <v>#N/A</v>
      </c>
      <c r="EFL30" t="e">
        <v>#N/A</v>
      </c>
      <c r="EFM30" t="e">
        <v>#N/A</v>
      </c>
      <c r="EFN30" t="e">
        <v>#N/A</v>
      </c>
      <c r="EFO30" t="e">
        <v>#N/A</v>
      </c>
      <c r="EFP30" t="e">
        <v>#N/A</v>
      </c>
      <c r="EFQ30" t="e">
        <v>#N/A</v>
      </c>
      <c r="EFR30" t="e">
        <v>#N/A</v>
      </c>
      <c r="EFS30" t="e">
        <v>#N/A</v>
      </c>
      <c r="EFT30" t="e">
        <v>#N/A</v>
      </c>
      <c r="EFU30" t="e">
        <v>#N/A</v>
      </c>
      <c r="EFV30" t="e">
        <v>#N/A</v>
      </c>
      <c r="EFW30" t="e">
        <v>#N/A</v>
      </c>
      <c r="EFX30" t="e">
        <v>#N/A</v>
      </c>
      <c r="EFY30" t="e">
        <v>#N/A</v>
      </c>
      <c r="EFZ30" t="e">
        <v>#N/A</v>
      </c>
      <c r="EGA30" t="e">
        <v>#N/A</v>
      </c>
      <c r="EGB30" t="e">
        <v>#N/A</v>
      </c>
      <c r="EGC30" t="e">
        <v>#N/A</v>
      </c>
      <c r="EGD30" t="e">
        <v>#N/A</v>
      </c>
      <c r="EGE30" t="e">
        <v>#N/A</v>
      </c>
      <c r="EGF30" t="e">
        <v>#N/A</v>
      </c>
      <c r="EGG30" t="e">
        <v>#N/A</v>
      </c>
      <c r="EGH30" t="e">
        <v>#N/A</v>
      </c>
      <c r="EGI30" t="e">
        <v>#N/A</v>
      </c>
      <c r="EGJ30" t="e">
        <v>#N/A</v>
      </c>
      <c r="EGK30" t="e">
        <v>#N/A</v>
      </c>
      <c r="EGL30" t="e">
        <v>#N/A</v>
      </c>
      <c r="EGM30" t="e">
        <v>#N/A</v>
      </c>
      <c r="EGN30" t="e">
        <v>#N/A</v>
      </c>
      <c r="EGO30" t="e">
        <v>#N/A</v>
      </c>
      <c r="EGP30" t="e">
        <v>#N/A</v>
      </c>
      <c r="EGQ30" t="e">
        <v>#N/A</v>
      </c>
      <c r="EGR30" t="e">
        <v>#N/A</v>
      </c>
      <c r="EGS30" t="e">
        <v>#N/A</v>
      </c>
      <c r="EGT30" t="e">
        <v>#N/A</v>
      </c>
      <c r="EGU30" t="e">
        <v>#N/A</v>
      </c>
      <c r="EGV30" t="e">
        <v>#N/A</v>
      </c>
      <c r="EGW30" t="e">
        <v>#N/A</v>
      </c>
      <c r="EGX30" t="e">
        <v>#N/A</v>
      </c>
      <c r="EGY30" t="e">
        <v>#N/A</v>
      </c>
      <c r="EGZ30" t="e">
        <v>#N/A</v>
      </c>
      <c r="EHA30" t="e">
        <v>#N/A</v>
      </c>
      <c r="EHB30" t="e">
        <v>#N/A</v>
      </c>
      <c r="EHC30" t="e">
        <v>#N/A</v>
      </c>
      <c r="EHD30" t="e">
        <v>#N/A</v>
      </c>
      <c r="EHE30" t="e">
        <v>#N/A</v>
      </c>
      <c r="EHF30" t="e">
        <v>#N/A</v>
      </c>
      <c r="EHG30" t="e">
        <v>#N/A</v>
      </c>
      <c r="EHH30" t="e">
        <v>#N/A</v>
      </c>
      <c r="EHI30" t="e">
        <v>#N/A</v>
      </c>
      <c r="EHJ30" t="e">
        <v>#N/A</v>
      </c>
      <c r="EHK30" t="e">
        <v>#N/A</v>
      </c>
      <c r="EHL30" t="e">
        <v>#N/A</v>
      </c>
      <c r="EHM30" t="e">
        <v>#N/A</v>
      </c>
      <c r="EHN30" t="e">
        <v>#N/A</v>
      </c>
      <c r="EHO30" t="e">
        <v>#N/A</v>
      </c>
      <c r="EHP30" t="e">
        <v>#N/A</v>
      </c>
      <c r="EHQ30" t="e">
        <v>#N/A</v>
      </c>
      <c r="EHR30" t="e">
        <v>#N/A</v>
      </c>
      <c r="EHS30" t="e">
        <v>#N/A</v>
      </c>
      <c r="EHT30" t="e">
        <v>#N/A</v>
      </c>
      <c r="EHU30" t="e">
        <v>#N/A</v>
      </c>
      <c r="EHV30" t="e">
        <v>#N/A</v>
      </c>
      <c r="EHW30" t="e">
        <v>#N/A</v>
      </c>
      <c r="EHX30" t="e">
        <v>#N/A</v>
      </c>
      <c r="EHY30" t="e">
        <v>#N/A</v>
      </c>
      <c r="EHZ30" t="e">
        <v>#N/A</v>
      </c>
      <c r="EIA30" t="e">
        <v>#N/A</v>
      </c>
      <c r="EIB30" t="e">
        <v>#N/A</v>
      </c>
      <c r="EIC30" t="e">
        <v>#N/A</v>
      </c>
      <c r="EID30" t="e">
        <v>#N/A</v>
      </c>
      <c r="EIE30" t="e">
        <v>#N/A</v>
      </c>
      <c r="EIF30" t="e">
        <v>#N/A</v>
      </c>
      <c r="EIG30" t="e">
        <v>#N/A</v>
      </c>
      <c r="EIH30" t="e">
        <v>#N/A</v>
      </c>
      <c r="EII30" t="e">
        <v>#N/A</v>
      </c>
      <c r="EIJ30" t="e">
        <v>#N/A</v>
      </c>
      <c r="EIK30" t="e">
        <v>#N/A</v>
      </c>
      <c r="EIL30" t="e">
        <v>#N/A</v>
      </c>
      <c r="EIM30" t="e">
        <v>#N/A</v>
      </c>
      <c r="EIN30" t="e">
        <v>#N/A</v>
      </c>
      <c r="EIO30" t="e">
        <v>#N/A</v>
      </c>
      <c r="EIP30" t="e">
        <v>#N/A</v>
      </c>
      <c r="EIQ30" t="e">
        <v>#N/A</v>
      </c>
      <c r="EIR30" t="e">
        <v>#N/A</v>
      </c>
      <c r="EIS30" t="e">
        <v>#N/A</v>
      </c>
      <c r="EIT30" t="e">
        <v>#N/A</v>
      </c>
      <c r="EIU30" t="e">
        <v>#N/A</v>
      </c>
      <c r="EIV30" t="e">
        <v>#N/A</v>
      </c>
      <c r="EIW30" t="e">
        <v>#N/A</v>
      </c>
      <c r="EIX30" t="e">
        <v>#N/A</v>
      </c>
      <c r="EIY30" t="e">
        <v>#N/A</v>
      </c>
      <c r="EIZ30" t="e">
        <v>#N/A</v>
      </c>
      <c r="EJA30" t="e">
        <v>#N/A</v>
      </c>
      <c r="EJB30" t="e">
        <v>#N/A</v>
      </c>
      <c r="EJC30" t="e">
        <v>#N/A</v>
      </c>
      <c r="EJD30" t="e">
        <v>#N/A</v>
      </c>
      <c r="EJE30" t="e">
        <v>#N/A</v>
      </c>
      <c r="EJF30" t="e">
        <v>#N/A</v>
      </c>
      <c r="EJG30" t="e">
        <v>#N/A</v>
      </c>
      <c r="EJH30" t="e">
        <v>#N/A</v>
      </c>
      <c r="EJI30" t="e">
        <v>#N/A</v>
      </c>
      <c r="EJJ30" t="e">
        <v>#N/A</v>
      </c>
      <c r="EJK30" t="e">
        <v>#N/A</v>
      </c>
      <c r="EJL30" t="e">
        <v>#N/A</v>
      </c>
      <c r="EJM30" t="e">
        <v>#N/A</v>
      </c>
      <c r="EJN30" t="e">
        <v>#N/A</v>
      </c>
      <c r="EJO30" t="e">
        <v>#N/A</v>
      </c>
      <c r="EJP30" t="e">
        <v>#N/A</v>
      </c>
      <c r="EJQ30" t="e">
        <v>#N/A</v>
      </c>
      <c r="EJR30" t="e">
        <v>#N/A</v>
      </c>
      <c r="EJS30" t="e">
        <v>#N/A</v>
      </c>
      <c r="EJT30" t="e">
        <v>#N/A</v>
      </c>
      <c r="EJU30" t="e">
        <v>#N/A</v>
      </c>
      <c r="EJV30" t="e">
        <v>#N/A</v>
      </c>
      <c r="EJW30" t="e">
        <v>#N/A</v>
      </c>
      <c r="EJX30" t="e">
        <v>#N/A</v>
      </c>
      <c r="EJY30" t="e">
        <v>#N/A</v>
      </c>
      <c r="EJZ30" t="e">
        <v>#N/A</v>
      </c>
      <c r="EKA30" t="e">
        <v>#N/A</v>
      </c>
      <c r="EKB30" t="e">
        <v>#N/A</v>
      </c>
      <c r="EKC30" t="e">
        <v>#N/A</v>
      </c>
      <c r="EKD30" t="e">
        <v>#N/A</v>
      </c>
      <c r="EKE30" t="e">
        <v>#N/A</v>
      </c>
      <c r="EKF30" t="e">
        <v>#N/A</v>
      </c>
      <c r="EKG30" t="e">
        <v>#N/A</v>
      </c>
      <c r="EKH30" t="e">
        <v>#N/A</v>
      </c>
      <c r="EKI30" t="e">
        <v>#N/A</v>
      </c>
      <c r="EKJ30" t="e">
        <v>#N/A</v>
      </c>
      <c r="EKK30" t="e">
        <v>#N/A</v>
      </c>
      <c r="EKL30" t="e">
        <v>#N/A</v>
      </c>
      <c r="EKM30" t="e">
        <v>#N/A</v>
      </c>
      <c r="EKN30" t="e">
        <v>#N/A</v>
      </c>
      <c r="EKO30" t="e">
        <v>#N/A</v>
      </c>
      <c r="EKP30" t="e">
        <v>#N/A</v>
      </c>
      <c r="EKQ30" t="e">
        <v>#N/A</v>
      </c>
      <c r="EKR30" t="e">
        <v>#N/A</v>
      </c>
      <c r="EKS30" t="e">
        <v>#N/A</v>
      </c>
      <c r="EKT30" t="e">
        <v>#N/A</v>
      </c>
      <c r="EKU30" t="e">
        <v>#N/A</v>
      </c>
      <c r="EKV30" t="e">
        <v>#N/A</v>
      </c>
      <c r="EKW30" t="e">
        <v>#N/A</v>
      </c>
      <c r="EKX30" t="e">
        <v>#N/A</v>
      </c>
      <c r="EKY30" t="e">
        <v>#N/A</v>
      </c>
      <c r="EKZ30" t="e">
        <v>#N/A</v>
      </c>
      <c r="ELA30" t="e">
        <v>#N/A</v>
      </c>
      <c r="ELB30" t="e">
        <v>#N/A</v>
      </c>
      <c r="ELC30" t="e">
        <v>#N/A</v>
      </c>
      <c r="ELD30" t="e">
        <v>#N/A</v>
      </c>
      <c r="ELE30" t="e">
        <v>#N/A</v>
      </c>
      <c r="ELF30" t="e">
        <v>#N/A</v>
      </c>
      <c r="ELG30" t="e">
        <v>#N/A</v>
      </c>
      <c r="ELH30" t="e">
        <v>#N/A</v>
      </c>
      <c r="ELI30" t="e">
        <v>#N/A</v>
      </c>
      <c r="ELJ30" t="e">
        <v>#N/A</v>
      </c>
      <c r="ELK30" t="e">
        <v>#N/A</v>
      </c>
      <c r="ELL30" t="e">
        <v>#N/A</v>
      </c>
      <c r="ELM30" t="e">
        <v>#N/A</v>
      </c>
      <c r="ELN30" t="e">
        <v>#N/A</v>
      </c>
      <c r="ELO30" t="e">
        <v>#N/A</v>
      </c>
      <c r="ELP30" t="e">
        <v>#N/A</v>
      </c>
      <c r="ELQ30" t="e">
        <v>#N/A</v>
      </c>
      <c r="ELR30" t="e">
        <v>#N/A</v>
      </c>
      <c r="ELS30" t="e">
        <v>#N/A</v>
      </c>
      <c r="ELT30" t="e">
        <v>#N/A</v>
      </c>
      <c r="ELU30" t="e">
        <v>#N/A</v>
      </c>
      <c r="ELV30" t="e">
        <v>#N/A</v>
      </c>
      <c r="ELW30" t="e">
        <v>#N/A</v>
      </c>
      <c r="ELX30" t="e">
        <v>#N/A</v>
      </c>
      <c r="ELY30" t="e">
        <v>#N/A</v>
      </c>
      <c r="ELZ30" t="e">
        <v>#N/A</v>
      </c>
      <c r="EMA30" t="e">
        <v>#N/A</v>
      </c>
      <c r="EMB30" t="e">
        <v>#N/A</v>
      </c>
      <c r="EMC30" t="e">
        <v>#N/A</v>
      </c>
      <c r="EMD30" t="e">
        <v>#N/A</v>
      </c>
      <c r="EME30" t="e">
        <v>#N/A</v>
      </c>
      <c r="EMF30" t="e">
        <v>#N/A</v>
      </c>
      <c r="EMG30" t="e">
        <v>#N/A</v>
      </c>
      <c r="EMH30" t="e">
        <v>#N/A</v>
      </c>
      <c r="EMI30" t="e">
        <v>#N/A</v>
      </c>
      <c r="EMJ30" t="e">
        <v>#N/A</v>
      </c>
      <c r="EMK30" t="e">
        <v>#N/A</v>
      </c>
      <c r="EML30" t="e">
        <v>#N/A</v>
      </c>
      <c r="EMM30" t="e">
        <v>#N/A</v>
      </c>
      <c r="EMN30" t="e">
        <v>#N/A</v>
      </c>
      <c r="EMO30" t="e">
        <v>#N/A</v>
      </c>
      <c r="EMP30" t="e">
        <v>#N/A</v>
      </c>
      <c r="EMQ30" t="e">
        <v>#N/A</v>
      </c>
      <c r="EMR30" t="e">
        <v>#N/A</v>
      </c>
      <c r="EMS30" t="e">
        <v>#N/A</v>
      </c>
      <c r="EMT30" t="e">
        <v>#N/A</v>
      </c>
      <c r="EMU30" t="e">
        <v>#N/A</v>
      </c>
      <c r="EMV30" t="e">
        <v>#N/A</v>
      </c>
      <c r="EMW30" t="e">
        <v>#N/A</v>
      </c>
      <c r="EMX30" t="e">
        <v>#N/A</v>
      </c>
      <c r="EMY30" t="e">
        <v>#N/A</v>
      </c>
      <c r="EMZ30" t="e">
        <v>#N/A</v>
      </c>
      <c r="ENA30" t="e">
        <v>#N/A</v>
      </c>
      <c r="ENB30" t="e">
        <v>#N/A</v>
      </c>
      <c r="ENC30" t="e">
        <v>#N/A</v>
      </c>
      <c r="END30" t="e">
        <v>#N/A</v>
      </c>
      <c r="ENE30" t="e">
        <v>#N/A</v>
      </c>
      <c r="ENF30" t="e">
        <v>#N/A</v>
      </c>
      <c r="ENG30" t="e">
        <v>#N/A</v>
      </c>
      <c r="ENH30" t="e">
        <v>#N/A</v>
      </c>
      <c r="ENI30" t="e">
        <v>#N/A</v>
      </c>
      <c r="ENJ30" t="e">
        <v>#N/A</v>
      </c>
      <c r="ENK30" t="e">
        <v>#N/A</v>
      </c>
      <c r="ENL30" t="e">
        <v>#N/A</v>
      </c>
      <c r="ENM30" t="e">
        <v>#N/A</v>
      </c>
      <c r="ENN30" t="e">
        <v>#N/A</v>
      </c>
      <c r="ENO30" t="e">
        <v>#N/A</v>
      </c>
      <c r="ENP30" t="e">
        <v>#N/A</v>
      </c>
      <c r="ENQ30" t="e">
        <v>#N/A</v>
      </c>
      <c r="ENR30" t="e">
        <v>#N/A</v>
      </c>
      <c r="ENS30" t="e">
        <v>#N/A</v>
      </c>
      <c r="ENT30" t="e">
        <v>#N/A</v>
      </c>
      <c r="ENU30" t="e">
        <v>#N/A</v>
      </c>
      <c r="ENV30" t="e">
        <v>#N/A</v>
      </c>
      <c r="ENW30" t="e">
        <v>#N/A</v>
      </c>
      <c r="ENX30" t="e">
        <v>#N/A</v>
      </c>
      <c r="ENY30" t="e">
        <v>#N/A</v>
      </c>
      <c r="ENZ30" t="e">
        <v>#N/A</v>
      </c>
      <c r="EOA30" t="e">
        <v>#N/A</v>
      </c>
      <c r="EOB30" t="e">
        <v>#N/A</v>
      </c>
      <c r="EOC30" t="e">
        <v>#N/A</v>
      </c>
      <c r="EOD30" t="e">
        <v>#N/A</v>
      </c>
      <c r="EOE30" t="e">
        <v>#N/A</v>
      </c>
      <c r="EOF30" t="e">
        <v>#N/A</v>
      </c>
      <c r="EOG30" t="e">
        <v>#N/A</v>
      </c>
      <c r="EOH30" t="e">
        <v>#N/A</v>
      </c>
      <c r="EOI30" t="e">
        <v>#N/A</v>
      </c>
      <c r="EOJ30" t="e">
        <v>#N/A</v>
      </c>
      <c r="EOK30" t="e">
        <v>#N/A</v>
      </c>
      <c r="EOL30" t="e">
        <v>#N/A</v>
      </c>
      <c r="EOM30" t="e">
        <v>#N/A</v>
      </c>
      <c r="EON30" t="e">
        <v>#N/A</v>
      </c>
      <c r="EOO30" t="e">
        <v>#N/A</v>
      </c>
      <c r="EOP30" t="e">
        <v>#N/A</v>
      </c>
      <c r="EOQ30" t="e">
        <v>#N/A</v>
      </c>
      <c r="EOR30" t="e">
        <v>#N/A</v>
      </c>
      <c r="EOS30" t="e">
        <v>#N/A</v>
      </c>
      <c r="EOT30" t="e">
        <v>#N/A</v>
      </c>
      <c r="EOU30" t="e">
        <v>#N/A</v>
      </c>
      <c r="EOV30" t="e">
        <v>#N/A</v>
      </c>
      <c r="EOW30" t="e">
        <v>#N/A</v>
      </c>
      <c r="EOX30" t="e">
        <v>#N/A</v>
      </c>
      <c r="EOY30" t="e">
        <v>#N/A</v>
      </c>
      <c r="EOZ30" t="e">
        <v>#N/A</v>
      </c>
      <c r="EPA30" t="e">
        <v>#N/A</v>
      </c>
      <c r="EPB30" t="e">
        <v>#N/A</v>
      </c>
      <c r="EPC30" t="e">
        <v>#N/A</v>
      </c>
      <c r="EPD30" t="e">
        <v>#N/A</v>
      </c>
      <c r="EPE30" t="e">
        <v>#N/A</v>
      </c>
      <c r="EPF30" t="e">
        <v>#N/A</v>
      </c>
      <c r="EPG30" t="e">
        <v>#N/A</v>
      </c>
      <c r="EPH30" t="e">
        <v>#N/A</v>
      </c>
      <c r="EPI30" t="e">
        <v>#N/A</v>
      </c>
      <c r="EPJ30" t="e">
        <v>#N/A</v>
      </c>
      <c r="EPK30" t="e">
        <v>#N/A</v>
      </c>
      <c r="EPL30" t="e">
        <v>#N/A</v>
      </c>
      <c r="EPM30" t="e">
        <v>#N/A</v>
      </c>
      <c r="EPN30" t="e">
        <v>#N/A</v>
      </c>
      <c r="EPO30" t="e">
        <v>#N/A</v>
      </c>
      <c r="EPP30" t="e">
        <v>#N/A</v>
      </c>
      <c r="EPQ30" t="e">
        <v>#N/A</v>
      </c>
      <c r="EPR30" t="e">
        <v>#N/A</v>
      </c>
      <c r="EPS30" t="e">
        <v>#N/A</v>
      </c>
      <c r="EPT30" t="e">
        <v>#N/A</v>
      </c>
      <c r="EPU30" t="e">
        <v>#N/A</v>
      </c>
      <c r="EPV30" t="e">
        <v>#N/A</v>
      </c>
      <c r="EPW30" t="e">
        <v>#N/A</v>
      </c>
      <c r="EPX30" t="e">
        <v>#N/A</v>
      </c>
      <c r="EPY30" t="e">
        <v>#N/A</v>
      </c>
      <c r="EPZ30" t="e">
        <v>#N/A</v>
      </c>
      <c r="EQA30" t="e">
        <v>#N/A</v>
      </c>
      <c r="EQB30" t="e">
        <v>#N/A</v>
      </c>
      <c r="EQC30" t="e">
        <v>#N/A</v>
      </c>
      <c r="EQD30" t="e">
        <v>#N/A</v>
      </c>
      <c r="EQE30" t="e">
        <v>#N/A</v>
      </c>
      <c r="EQF30" t="e">
        <v>#N/A</v>
      </c>
      <c r="EQG30" t="e">
        <v>#N/A</v>
      </c>
      <c r="EQH30" t="e">
        <v>#N/A</v>
      </c>
      <c r="EQI30" t="e">
        <v>#N/A</v>
      </c>
      <c r="EQJ30" t="e">
        <v>#N/A</v>
      </c>
      <c r="EQK30" t="e">
        <v>#N/A</v>
      </c>
      <c r="EQL30" t="e">
        <v>#N/A</v>
      </c>
      <c r="EQM30" t="e">
        <v>#N/A</v>
      </c>
      <c r="EQN30" t="e">
        <v>#N/A</v>
      </c>
      <c r="EQO30" t="e">
        <v>#N/A</v>
      </c>
      <c r="EQP30" t="e">
        <v>#N/A</v>
      </c>
      <c r="EQQ30" t="e">
        <v>#N/A</v>
      </c>
      <c r="EQR30" t="e">
        <v>#N/A</v>
      </c>
      <c r="EQS30" t="e">
        <v>#N/A</v>
      </c>
      <c r="EQT30" t="e">
        <v>#N/A</v>
      </c>
      <c r="EQU30" t="e">
        <v>#N/A</v>
      </c>
      <c r="EQV30" t="e">
        <v>#N/A</v>
      </c>
      <c r="EQW30" t="e">
        <v>#N/A</v>
      </c>
      <c r="EQX30" t="e">
        <v>#N/A</v>
      </c>
      <c r="EQY30" t="e">
        <v>#N/A</v>
      </c>
      <c r="EQZ30" t="e">
        <v>#N/A</v>
      </c>
      <c r="ERA30" t="e">
        <v>#N/A</v>
      </c>
      <c r="ERB30" t="e">
        <v>#N/A</v>
      </c>
      <c r="ERC30" t="e">
        <v>#N/A</v>
      </c>
      <c r="ERD30" t="e">
        <v>#N/A</v>
      </c>
      <c r="ERE30" t="e">
        <v>#N/A</v>
      </c>
      <c r="ERF30" t="e">
        <v>#N/A</v>
      </c>
      <c r="ERG30" t="e">
        <v>#N/A</v>
      </c>
      <c r="ERH30" t="e">
        <v>#N/A</v>
      </c>
      <c r="ERI30" t="e">
        <v>#N/A</v>
      </c>
      <c r="ERJ30" t="e">
        <v>#N/A</v>
      </c>
      <c r="ERK30" t="e">
        <v>#N/A</v>
      </c>
      <c r="ERL30" t="e">
        <v>#N/A</v>
      </c>
      <c r="ERM30" t="e">
        <v>#N/A</v>
      </c>
      <c r="ERN30" t="e">
        <v>#N/A</v>
      </c>
      <c r="ERO30" t="e">
        <v>#N/A</v>
      </c>
      <c r="ERP30" t="e">
        <v>#N/A</v>
      </c>
      <c r="ERQ30" t="e">
        <v>#N/A</v>
      </c>
      <c r="ERR30" t="e">
        <v>#N/A</v>
      </c>
      <c r="ERS30" t="e">
        <v>#N/A</v>
      </c>
      <c r="ERT30" t="e">
        <v>#N/A</v>
      </c>
      <c r="ERU30" t="e">
        <v>#N/A</v>
      </c>
      <c r="ERV30" t="e">
        <v>#N/A</v>
      </c>
      <c r="ERW30" t="e">
        <v>#N/A</v>
      </c>
      <c r="ERX30" t="e">
        <v>#N/A</v>
      </c>
      <c r="ERY30" t="e">
        <v>#N/A</v>
      </c>
      <c r="ERZ30" t="e">
        <v>#N/A</v>
      </c>
      <c r="ESA30" t="e">
        <v>#N/A</v>
      </c>
      <c r="ESB30" t="e">
        <v>#N/A</v>
      </c>
      <c r="ESC30" t="e">
        <v>#N/A</v>
      </c>
      <c r="ESD30" t="e">
        <v>#N/A</v>
      </c>
      <c r="ESE30" t="e">
        <v>#N/A</v>
      </c>
      <c r="ESF30" t="e">
        <v>#N/A</v>
      </c>
      <c r="ESG30" t="e">
        <v>#N/A</v>
      </c>
      <c r="ESH30" t="e">
        <v>#N/A</v>
      </c>
      <c r="ESI30" t="e">
        <v>#N/A</v>
      </c>
      <c r="ESJ30" t="e">
        <v>#N/A</v>
      </c>
      <c r="ESK30" t="e">
        <v>#N/A</v>
      </c>
      <c r="ESL30" t="e">
        <v>#N/A</v>
      </c>
      <c r="ESM30" t="e">
        <v>#N/A</v>
      </c>
      <c r="ESN30" t="e">
        <v>#N/A</v>
      </c>
      <c r="ESO30" t="e">
        <v>#N/A</v>
      </c>
      <c r="ESP30" t="e">
        <v>#N/A</v>
      </c>
      <c r="ESQ30" t="e">
        <v>#N/A</v>
      </c>
      <c r="ESR30" t="e">
        <v>#N/A</v>
      </c>
      <c r="ESS30" t="e">
        <v>#N/A</v>
      </c>
      <c r="EST30" t="e">
        <v>#N/A</v>
      </c>
      <c r="ESU30" t="e">
        <v>#N/A</v>
      </c>
      <c r="ESV30" t="e">
        <v>#N/A</v>
      </c>
      <c r="ESW30" t="e">
        <v>#N/A</v>
      </c>
      <c r="ESX30" t="e">
        <v>#N/A</v>
      </c>
      <c r="ESY30" t="e">
        <v>#N/A</v>
      </c>
      <c r="ESZ30" t="e">
        <v>#N/A</v>
      </c>
      <c r="ETA30" t="e">
        <v>#N/A</v>
      </c>
      <c r="ETB30" t="e">
        <v>#N/A</v>
      </c>
      <c r="ETC30" t="e">
        <v>#N/A</v>
      </c>
      <c r="ETD30" t="e">
        <v>#N/A</v>
      </c>
      <c r="ETE30" t="e">
        <v>#N/A</v>
      </c>
      <c r="ETF30" t="e">
        <v>#N/A</v>
      </c>
      <c r="ETG30" t="e">
        <v>#N/A</v>
      </c>
      <c r="ETH30" t="e">
        <v>#N/A</v>
      </c>
      <c r="ETI30" t="e">
        <v>#N/A</v>
      </c>
      <c r="ETJ30" t="e">
        <v>#N/A</v>
      </c>
      <c r="ETK30" t="e">
        <v>#N/A</v>
      </c>
      <c r="ETL30" t="e">
        <v>#N/A</v>
      </c>
      <c r="ETM30" t="e">
        <v>#N/A</v>
      </c>
      <c r="ETN30" t="e">
        <v>#N/A</v>
      </c>
      <c r="ETO30" t="e">
        <v>#N/A</v>
      </c>
      <c r="ETP30" t="e">
        <v>#N/A</v>
      </c>
      <c r="ETQ30" t="e">
        <v>#N/A</v>
      </c>
      <c r="ETR30" t="e">
        <v>#N/A</v>
      </c>
      <c r="ETS30" t="e">
        <v>#N/A</v>
      </c>
      <c r="ETT30" t="e">
        <v>#N/A</v>
      </c>
      <c r="ETU30" t="e">
        <v>#N/A</v>
      </c>
      <c r="ETV30" t="e">
        <v>#N/A</v>
      </c>
      <c r="ETW30" t="e">
        <v>#N/A</v>
      </c>
      <c r="ETX30" t="e">
        <v>#N/A</v>
      </c>
      <c r="ETY30" t="e">
        <v>#N/A</v>
      </c>
      <c r="ETZ30" t="e">
        <v>#N/A</v>
      </c>
      <c r="EUA30" t="e">
        <v>#N/A</v>
      </c>
      <c r="EUB30" t="e">
        <v>#N/A</v>
      </c>
      <c r="EUC30" t="e">
        <v>#N/A</v>
      </c>
      <c r="EUD30" t="e">
        <v>#N/A</v>
      </c>
      <c r="EUE30" t="e">
        <v>#N/A</v>
      </c>
      <c r="EUF30" t="e">
        <v>#N/A</v>
      </c>
      <c r="EUG30" t="e">
        <v>#N/A</v>
      </c>
      <c r="EUH30" t="e">
        <v>#N/A</v>
      </c>
      <c r="EUI30" t="e">
        <v>#N/A</v>
      </c>
      <c r="EUJ30" t="e">
        <v>#N/A</v>
      </c>
      <c r="EUK30" t="e">
        <v>#N/A</v>
      </c>
      <c r="EUL30" t="e">
        <v>#N/A</v>
      </c>
      <c r="EUM30" t="e">
        <v>#N/A</v>
      </c>
      <c r="EUN30" t="e">
        <v>#N/A</v>
      </c>
      <c r="EUO30" t="e">
        <v>#N/A</v>
      </c>
      <c r="EUP30" t="e">
        <v>#N/A</v>
      </c>
      <c r="EUQ30" t="e">
        <v>#N/A</v>
      </c>
      <c r="EUR30" t="e">
        <v>#N/A</v>
      </c>
      <c r="EUS30" t="e">
        <v>#N/A</v>
      </c>
      <c r="EUT30" t="e">
        <v>#N/A</v>
      </c>
      <c r="EUU30" t="e">
        <v>#N/A</v>
      </c>
      <c r="EUV30" t="e">
        <v>#N/A</v>
      </c>
      <c r="EUW30" t="e">
        <v>#N/A</v>
      </c>
      <c r="EUX30" t="e">
        <v>#N/A</v>
      </c>
      <c r="EUY30" t="e">
        <v>#N/A</v>
      </c>
      <c r="EUZ30" t="e">
        <v>#N/A</v>
      </c>
      <c r="EVA30" t="e">
        <v>#N/A</v>
      </c>
      <c r="EVB30" t="e">
        <v>#N/A</v>
      </c>
      <c r="EVC30" t="e">
        <v>#N/A</v>
      </c>
      <c r="EVD30" t="e">
        <v>#N/A</v>
      </c>
      <c r="EVE30" t="e">
        <v>#N/A</v>
      </c>
      <c r="EVF30" t="e">
        <v>#N/A</v>
      </c>
      <c r="EVG30" t="e">
        <v>#N/A</v>
      </c>
      <c r="EVH30" t="e">
        <v>#N/A</v>
      </c>
      <c r="EVI30" t="e">
        <v>#N/A</v>
      </c>
      <c r="EVJ30" t="e">
        <v>#N/A</v>
      </c>
      <c r="EVK30" t="e">
        <v>#N/A</v>
      </c>
      <c r="EVL30" t="e">
        <v>#N/A</v>
      </c>
      <c r="EVM30" t="e">
        <v>#N/A</v>
      </c>
      <c r="EVN30" t="e">
        <v>#N/A</v>
      </c>
      <c r="EVO30" t="e">
        <v>#N/A</v>
      </c>
      <c r="EVP30" t="e">
        <v>#N/A</v>
      </c>
      <c r="EVQ30" t="e">
        <v>#N/A</v>
      </c>
      <c r="EVR30" t="e">
        <v>#N/A</v>
      </c>
      <c r="EVS30" t="e">
        <v>#N/A</v>
      </c>
      <c r="EVT30" t="e">
        <v>#N/A</v>
      </c>
      <c r="EVU30" t="e">
        <v>#N/A</v>
      </c>
      <c r="EVV30" t="e">
        <v>#N/A</v>
      </c>
      <c r="EVW30" t="e">
        <v>#N/A</v>
      </c>
      <c r="EVX30" t="e">
        <v>#N/A</v>
      </c>
      <c r="EVY30" t="e">
        <v>#N/A</v>
      </c>
      <c r="EVZ30" t="e">
        <v>#N/A</v>
      </c>
      <c r="EWA30" t="e">
        <v>#N/A</v>
      </c>
      <c r="EWB30" t="e">
        <v>#N/A</v>
      </c>
      <c r="EWC30" t="e">
        <v>#N/A</v>
      </c>
      <c r="EWD30" t="e">
        <v>#N/A</v>
      </c>
      <c r="EWE30" t="e">
        <v>#N/A</v>
      </c>
      <c r="EWF30" t="e">
        <v>#N/A</v>
      </c>
      <c r="EWG30" t="e">
        <v>#N/A</v>
      </c>
      <c r="EWH30" t="e">
        <v>#N/A</v>
      </c>
      <c r="EWI30" t="e">
        <v>#N/A</v>
      </c>
      <c r="EWJ30" t="e">
        <v>#N/A</v>
      </c>
      <c r="EWK30" t="e">
        <v>#N/A</v>
      </c>
      <c r="EWL30" t="e">
        <v>#N/A</v>
      </c>
      <c r="EWM30" t="e">
        <v>#N/A</v>
      </c>
      <c r="EWN30" t="e">
        <v>#N/A</v>
      </c>
      <c r="EWO30" t="e">
        <v>#N/A</v>
      </c>
      <c r="EWP30" t="e">
        <v>#N/A</v>
      </c>
      <c r="EWQ30" t="e">
        <v>#N/A</v>
      </c>
      <c r="EWR30" t="e">
        <v>#N/A</v>
      </c>
      <c r="EWS30" t="e">
        <v>#N/A</v>
      </c>
      <c r="EWT30" t="e">
        <v>#N/A</v>
      </c>
      <c r="EWU30" t="e">
        <v>#N/A</v>
      </c>
      <c r="EWV30" t="e">
        <v>#N/A</v>
      </c>
      <c r="EWW30" t="e">
        <v>#N/A</v>
      </c>
      <c r="EWX30" t="e">
        <v>#N/A</v>
      </c>
      <c r="EWY30" t="e">
        <v>#N/A</v>
      </c>
      <c r="EWZ30" t="e">
        <v>#N/A</v>
      </c>
      <c r="EXA30" t="e">
        <v>#N/A</v>
      </c>
      <c r="EXB30" t="e">
        <v>#N/A</v>
      </c>
      <c r="EXC30" t="e">
        <v>#N/A</v>
      </c>
      <c r="EXD30" t="e">
        <v>#N/A</v>
      </c>
      <c r="EXE30" t="e">
        <v>#N/A</v>
      </c>
      <c r="EXF30" t="e">
        <v>#N/A</v>
      </c>
      <c r="EXG30" t="e">
        <v>#N/A</v>
      </c>
      <c r="EXH30" t="e">
        <v>#N/A</v>
      </c>
      <c r="EXI30" t="e">
        <v>#N/A</v>
      </c>
      <c r="EXJ30" t="e">
        <v>#N/A</v>
      </c>
      <c r="EXK30" t="e">
        <v>#N/A</v>
      </c>
      <c r="EXL30" t="e">
        <v>#N/A</v>
      </c>
      <c r="EXM30" t="e">
        <v>#N/A</v>
      </c>
      <c r="EXN30" t="e">
        <v>#N/A</v>
      </c>
      <c r="EXO30" t="e">
        <v>#N/A</v>
      </c>
      <c r="EXP30" t="e">
        <v>#N/A</v>
      </c>
      <c r="EXQ30" t="e">
        <v>#N/A</v>
      </c>
      <c r="EXR30" t="e">
        <v>#N/A</v>
      </c>
      <c r="EXS30" t="e">
        <v>#N/A</v>
      </c>
      <c r="EXT30" t="e">
        <v>#N/A</v>
      </c>
      <c r="EXU30" t="e">
        <v>#N/A</v>
      </c>
      <c r="EXV30" t="e">
        <v>#N/A</v>
      </c>
      <c r="EXW30" t="e">
        <v>#N/A</v>
      </c>
      <c r="EXX30" t="e">
        <v>#N/A</v>
      </c>
      <c r="EXY30" t="e">
        <v>#N/A</v>
      </c>
      <c r="EXZ30" t="e">
        <v>#N/A</v>
      </c>
      <c r="EYA30" t="e">
        <v>#N/A</v>
      </c>
      <c r="EYB30" t="e">
        <v>#N/A</v>
      </c>
      <c r="EYC30" t="e">
        <v>#N/A</v>
      </c>
      <c r="EYD30" t="e">
        <v>#N/A</v>
      </c>
      <c r="EYE30" t="e">
        <v>#N/A</v>
      </c>
      <c r="EYF30" t="e">
        <v>#N/A</v>
      </c>
      <c r="EYG30" t="e">
        <v>#N/A</v>
      </c>
      <c r="EYH30" t="e">
        <v>#N/A</v>
      </c>
      <c r="EYI30" t="e">
        <v>#N/A</v>
      </c>
      <c r="EYJ30" t="e">
        <v>#N/A</v>
      </c>
      <c r="EYK30" t="e">
        <v>#N/A</v>
      </c>
      <c r="EYL30" t="e">
        <v>#N/A</v>
      </c>
      <c r="EYM30" t="e">
        <v>#N/A</v>
      </c>
      <c r="EYN30" t="e">
        <v>#N/A</v>
      </c>
      <c r="EYO30" t="e">
        <v>#N/A</v>
      </c>
      <c r="EYP30" t="e">
        <v>#N/A</v>
      </c>
      <c r="EYQ30" t="e">
        <v>#N/A</v>
      </c>
      <c r="EYR30" t="e">
        <v>#N/A</v>
      </c>
      <c r="EYS30" t="e">
        <v>#N/A</v>
      </c>
      <c r="EYT30" t="e">
        <v>#N/A</v>
      </c>
      <c r="EYU30" t="e">
        <v>#N/A</v>
      </c>
      <c r="EYV30" t="e">
        <v>#N/A</v>
      </c>
      <c r="EYW30" t="e">
        <v>#N/A</v>
      </c>
      <c r="EYX30" t="e">
        <v>#N/A</v>
      </c>
      <c r="EYY30" t="e">
        <v>#N/A</v>
      </c>
      <c r="EYZ30" t="e">
        <v>#N/A</v>
      </c>
      <c r="EZA30" t="e">
        <v>#N/A</v>
      </c>
      <c r="EZB30" t="e">
        <v>#N/A</v>
      </c>
      <c r="EZC30" t="e">
        <v>#N/A</v>
      </c>
      <c r="EZD30" t="e">
        <v>#N/A</v>
      </c>
      <c r="EZE30" t="e">
        <v>#N/A</v>
      </c>
      <c r="EZF30" t="e">
        <v>#N/A</v>
      </c>
      <c r="EZG30" t="e">
        <v>#N/A</v>
      </c>
      <c r="EZH30" t="e">
        <v>#N/A</v>
      </c>
      <c r="EZI30" t="e">
        <v>#N/A</v>
      </c>
      <c r="EZJ30" t="e">
        <v>#N/A</v>
      </c>
      <c r="EZK30" t="e">
        <v>#N/A</v>
      </c>
      <c r="EZL30" t="e">
        <v>#N/A</v>
      </c>
      <c r="EZM30" t="e">
        <v>#N/A</v>
      </c>
      <c r="EZN30" t="e">
        <v>#N/A</v>
      </c>
      <c r="EZO30" t="e">
        <v>#N/A</v>
      </c>
      <c r="EZP30" t="e">
        <v>#N/A</v>
      </c>
      <c r="EZQ30" t="e">
        <v>#N/A</v>
      </c>
      <c r="EZR30" t="e">
        <v>#N/A</v>
      </c>
      <c r="EZS30" t="e">
        <v>#N/A</v>
      </c>
      <c r="EZT30" t="e">
        <v>#N/A</v>
      </c>
      <c r="EZU30" t="e">
        <v>#N/A</v>
      </c>
      <c r="EZV30" t="e">
        <v>#N/A</v>
      </c>
      <c r="EZW30" t="e">
        <v>#N/A</v>
      </c>
      <c r="EZX30" t="e">
        <v>#N/A</v>
      </c>
      <c r="EZY30" t="e">
        <v>#N/A</v>
      </c>
      <c r="EZZ30" t="e">
        <v>#N/A</v>
      </c>
      <c r="FAA30" t="e">
        <v>#N/A</v>
      </c>
      <c r="FAB30" t="e">
        <v>#N/A</v>
      </c>
      <c r="FAC30" t="e">
        <v>#N/A</v>
      </c>
      <c r="FAD30" t="e">
        <v>#N/A</v>
      </c>
      <c r="FAE30" t="e">
        <v>#N/A</v>
      </c>
      <c r="FAF30" t="e">
        <v>#N/A</v>
      </c>
      <c r="FAG30" t="e">
        <v>#N/A</v>
      </c>
      <c r="FAH30" t="e">
        <v>#N/A</v>
      </c>
      <c r="FAI30" t="e">
        <v>#N/A</v>
      </c>
      <c r="FAJ30" t="e">
        <v>#N/A</v>
      </c>
      <c r="FAK30" t="e">
        <v>#N/A</v>
      </c>
      <c r="FAL30" t="e">
        <v>#N/A</v>
      </c>
      <c r="FAM30" t="e">
        <v>#N/A</v>
      </c>
      <c r="FAN30" t="e">
        <v>#N/A</v>
      </c>
      <c r="FAO30" t="e">
        <v>#N/A</v>
      </c>
      <c r="FAP30" t="e">
        <v>#N/A</v>
      </c>
      <c r="FAQ30" t="e">
        <v>#N/A</v>
      </c>
      <c r="FAR30" t="e">
        <v>#N/A</v>
      </c>
      <c r="FAS30" t="e">
        <v>#N/A</v>
      </c>
      <c r="FAT30" t="e">
        <v>#N/A</v>
      </c>
      <c r="FAU30" t="e">
        <v>#N/A</v>
      </c>
      <c r="FAV30" t="e">
        <v>#N/A</v>
      </c>
      <c r="FAW30" t="e">
        <v>#N/A</v>
      </c>
      <c r="FAX30" t="e">
        <v>#N/A</v>
      </c>
      <c r="FAY30" t="e">
        <v>#N/A</v>
      </c>
      <c r="FAZ30" t="e">
        <v>#N/A</v>
      </c>
      <c r="FBA30" t="e">
        <v>#N/A</v>
      </c>
      <c r="FBB30" t="e">
        <v>#N/A</v>
      </c>
      <c r="FBC30" t="e">
        <v>#N/A</v>
      </c>
      <c r="FBD30" t="e">
        <v>#N/A</v>
      </c>
      <c r="FBE30" t="e">
        <v>#N/A</v>
      </c>
      <c r="FBF30" t="e">
        <v>#N/A</v>
      </c>
      <c r="FBG30" t="e">
        <v>#N/A</v>
      </c>
      <c r="FBH30" t="e">
        <v>#N/A</v>
      </c>
      <c r="FBI30" t="e">
        <v>#N/A</v>
      </c>
      <c r="FBJ30" t="e">
        <v>#N/A</v>
      </c>
      <c r="FBK30" t="e">
        <v>#N/A</v>
      </c>
      <c r="FBL30" t="e">
        <v>#N/A</v>
      </c>
      <c r="FBM30" t="e">
        <v>#N/A</v>
      </c>
      <c r="FBN30" t="e">
        <v>#N/A</v>
      </c>
      <c r="FBO30" t="e">
        <v>#N/A</v>
      </c>
      <c r="FBP30" t="e">
        <v>#N/A</v>
      </c>
      <c r="FBQ30" t="e">
        <v>#N/A</v>
      </c>
      <c r="FBR30" t="e">
        <v>#N/A</v>
      </c>
      <c r="FBS30" t="e">
        <v>#N/A</v>
      </c>
      <c r="FBT30" t="e">
        <v>#N/A</v>
      </c>
      <c r="FBU30" t="e">
        <v>#N/A</v>
      </c>
      <c r="FBV30" t="e">
        <v>#N/A</v>
      </c>
      <c r="FBW30" t="e">
        <v>#N/A</v>
      </c>
      <c r="FBX30" t="e">
        <v>#N/A</v>
      </c>
      <c r="FBY30" t="e">
        <v>#N/A</v>
      </c>
      <c r="FBZ30" t="e">
        <v>#N/A</v>
      </c>
      <c r="FCA30" t="e">
        <v>#N/A</v>
      </c>
      <c r="FCB30" t="e">
        <v>#N/A</v>
      </c>
      <c r="FCC30" t="e">
        <v>#N/A</v>
      </c>
      <c r="FCD30" t="e">
        <v>#N/A</v>
      </c>
      <c r="FCE30" t="e">
        <v>#N/A</v>
      </c>
      <c r="FCF30" t="e">
        <v>#N/A</v>
      </c>
      <c r="FCG30" t="e">
        <v>#N/A</v>
      </c>
      <c r="FCH30" t="e">
        <v>#N/A</v>
      </c>
      <c r="FCI30" t="e">
        <v>#N/A</v>
      </c>
      <c r="FCJ30" t="e">
        <v>#N/A</v>
      </c>
      <c r="FCK30" t="e">
        <v>#N/A</v>
      </c>
      <c r="FCL30" t="e">
        <v>#N/A</v>
      </c>
      <c r="FCM30" t="e">
        <v>#N/A</v>
      </c>
      <c r="FCN30" t="e">
        <v>#N/A</v>
      </c>
      <c r="FCO30" t="e">
        <v>#N/A</v>
      </c>
      <c r="FCP30" t="e">
        <v>#N/A</v>
      </c>
      <c r="FCQ30" t="e">
        <v>#N/A</v>
      </c>
      <c r="FCR30" t="e">
        <v>#N/A</v>
      </c>
      <c r="FCS30" t="e">
        <v>#N/A</v>
      </c>
      <c r="FCT30" t="e">
        <v>#N/A</v>
      </c>
      <c r="FCU30" t="e">
        <v>#N/A</v>
      </c>
      <c r="FCV30" t="e">
        <v>#N/A</v>
      </c>
      <c r="FCW30" t="e">
        <v>#N/A</v>
      </c>
      <c r="FCX30" t="e">
        <v>#N/A</v>
      </c>
      <c r="FCY30" t="e">
        <v>#N/A</v>
      </c>
      <c r="FCZ30" t="e">
        <v>#N/A</v>
      </c>
      <c r="FDA30" t="e">
        <v>#N/A</v>
      </c>
      <c r="FDB30" t="e">
        <v>#N/A</v>
      </c>
      <c r="FDC30" t="e">
        <v>#N/A</v>
      </c>
      <c r="FDD30" t="e">
        <v>#N/A</v>
      </c>
      <c r="FDE30" t="e">
        <v>#N/A</v>
      </c>
      <c r="FDF30" t="e">
        <v>#N/A</v>
      </c>
      <c r="FDG30" t="e">
        <v>#N/A</v>
      </c>
      <c r="FDH30" t="e">
        <v>#N/A</v>
      </c>
      <c r="FDI30" t="e">
        <v>#N/A</v>
      </c>
      <c r="FDJ30" t="e">
        <v>#N/A</v>
      </c>
      <c r="FDK30" t="e">
        <v>#N/A</v>
      </c>
      <c r="FDL30" t="e">
        <v>#N/A</v>
      </c>
      <c r="FDM30" t="e">
        <v>#N/A</v>
      </c>
      <c r="FDN30" t="e">
        <v>#N/A</v>
      </c>
      <c r="FDO30" t="e">
        <v>#N/A</v>
      </c>
      <c r="FDP30" t="e">
        <v>#N/A</v>
      </c>
      <c r="FDQ30" t="e">
        <v>#N/A</v>
      </c>
      <c r="FDR30" t="e">
        <v>#N/A</v>
      </c>
      <c r="FDS30" t="e">
        <v>#N/A</v>
      </c>
      <c r="FDT30" t="e">
        <v>#N/A</v>
      </c>
      <c r="FDU30" t="e">
        <v>#N/A</v>
      </c>
      <c r="FDV30" t="e">
        <v>#N/A</v>
      </c>
      <c r="FDW30" t="e">
        <v>#N/A</v>
      </c>
      <c r="FDX30" t="e">
        <v>#N/A</v>
      </c>
      <c r="FDY30" t="e">
        <v>#N/A</v>
      </c>
      <c r="FDZ30" t="e">
        <v>#N/A</v>
      </c>
      <c r="FEA30" t="e">
        <v>#N/A</v>
      </c>
      <c r="FEB30" t="e">
        <v>#N/A</v>
      </c>
      <c r="FEC30" t="e">
        <v>#N/A</v>
      </c>
      <c r="FED30" t="e">
        <v>#N/A</v>
      </c>
      <c r="FEE30" t="e">
        <v>#N/A</v>
      </c>
      <c r="FEF30" t="e">
        <v>#N/A</v>
      </c>
      <c r="FEG30" t="e">
        <v>#N/A</v>
      </c>
      <c r="FEH30" t="e">
        <v>#N/A</v>
      </c>
      <c r="FEI30" t="e">
        <v>#N/A</v>
      </c>
      <c r="FEJ30" t="e">
        <v>#N/A</v>
      </c>
      <c r="FEK30" t="e">
        <v>#N/A</v>
      </c>
      <c r="FEL30" t="e">
        <v>#N/A</v>
      </c>
      <c r="FEM30" t="e">
        <v>#N/A</v>
      </c>
      <c r="FEN30" t="e">
        <v>#N/A</v>
      </c>
      <c r="FEO30" t="e">
        <v>#N/A</v>
      </c>
      <c r="FEP30" t="e">
        <v>#N/A</v>
      </c>
      <c r="FEQ30" t="e">
        <v>#N/A</v>
      </c>
      <c r="FER30" t="e">
        <v>#N/A</v>
      </c>
      <c r="FES30" t="e">
        <v>#N/A</v>
      </c>
      <c r="FET30" t="e">
        <v>#N/A</v>
      </c>
      <c r="FEU30" t="e">
        <v>#N/A</v>
      </c>
      <c r="FEV30" t="e">
        <v>#N/A</v>
      </c>
      <c r="FEW30" t="e">
        <v>#N/A</v>
      </c>
      <c r="FEX30" t="e">
        <v>#N/A</v>
      </c>
      <c r="FEY30" t="e">
        <v>#N/A</v>
      </c>
      <c r="FEZ30" t="e">
        <v>#N/A</v>
      </c>
      <c r="FFA30" t="e">
        <v>#N/A</v>
      </c>
      <c r="FFB30" t="e">
        <v>#N/A</v>
      </c>
      <c r="FFC30" t="e">
        <v>#N/A</v>
      </c>
      <c r="FFD30" t="e">
        <v>#N/A</v>
      </c>
      <c r="FFE30" t="e">
        <v>#N/A</v>
      </c>
      <c r="FFF30" t="e">
        <v>#N/A</v>
      </c>
      <c r="FFG30" t="e">
        <v>#N/A</v>
      </c>
      <c r="FFH30" t="e">
        <v>#N/A</v>
      </c>
      <c r="FFI30" t="e">
        <v>#N/A</v>
      </c>
      <c r="FFJ30" t="e">
        <v>#N/A</v>
      </c>
      <c r="FFK30" t="e">
        <v>#N/A</v>
      </c>
      <c r="FFL30" t="e">
        <v>#N/A</v>
      </c>
      <c r="FFM30" t="e">
        <v>#N/A</v>
      </c>
      <c r="FFN30" t="e">
        <v>#N/A</v>
      </c>
      <c r="FFO30" t="e">
        <v>#N/A</v>
      </c>
      <c r="FFP30" t="e">
        <v>#N/A</v>
      </c>
      <c r="FFQ30" t="e">
        <v>#N/A</v>
      </c>
      <c r="FFR30" t="e">
        <v>#N/A</v>
      </c>
      <c r="FFS30" t="e">
        <v>#N/A</v>
      </c>
      <c r="FFT30" t="e">
        <v>#N/A</v>
      </c>
      <c r="FFU30" t="e">
        <v>#N/A</v>
      </c>
      <c r="FFV30" t="e">
        <v>#N/A</v>
      </c>
      <c r="FFW30" t="e">
        <v>#N/A</v>
      </c>
      <c r="FFX30" t="e">
        <v>#N/A</v>
      </c>
      <c r="FFY30" t="e">
        <v>#N/A</v>
      </c>
      <c r="FFZ30" t="e">
        <v>#N/A</v>
      </c>
      <c r="FGA30" t="e">
        <v>#N/A</v>
      </c>
      <c r="FGB30" t="e">
        <v>#N/A</v>
      </c>
      <c r="FGC30" t="e">
        <v>#N/A</v>
      </c>
      <c r="FGD30" t="e">
        <v>#N/A</v>
      </c>
      <c r="FGE30" t="e">
        <v>#N/A</v>
      </c>
      <c r="FGF30" t="e">
        <v>#N/A</v>
      </c>
      <c r="FGG30" t="e">
        <v>#N/A</v>
      </c>
      <c r="FGH30" t="e">
        <v>#N/A</v>
      </c>
      <c r="FGI30" t="e">
        <v>#N/A</v>
      </c>
      <c r="FGJ30" t="e">
        <v>#N/A</v>
      </c>
      <c r="FGK30" t="e">
        <v>#N/A</v>
      </c>
      <c r="FGL30" t="e">
        <v>#N/A</v>
      </c>
      <c r="FGM30" t="e">
        <v>#N/A</v>
      </c>
      <c r="FGN30" t="e">
        <v>#N/A</v>
      </c>
      <c r="FGO30" t="e">
        <v>#N/A</v>
      </c>
      <c r="FGP30" t="e">
        <v>#N/A</v>
      </c>
      <c r="FGQ30" t="e">
        <v>#N/A</v>
      </c>
      <c r="FGR30" t="e">
        <v>#N/A</v>
      </c>
      <c r="FGS30" t="e">
        <v>#N/A</v>
      </c>
      <c r="FGT30" t="e">
        <v>#N/A</v>
      </c>
      <c r="FGU30" t="e">
        <v>#N/A</v>
      </c>
      <c r="FGV30" t="e">
        <v>#N/A</v>
      </c>
      <c r="FGW30" t="e">
        <v>#N/A</v>
      </c>
      <c r="FGX30" t="e">
        <v>#N/A</v>
      </c>
      <c r="FGY30" t="e">
        <v>#N/A</v>
      </c>
      <c r="FGZ30" t="e">
        <v>#N/A</v>
      </c>
      <c r="FHA30" t="e">
        <v>#N/A</v>
      </c>
      <c r="FHB30" t="e">
        <v>#N/A</v>
      </c>
      <c r="FHC30" t="e">
        <v>#N/A</v>
      </c>
      <c r="FHD30" t="e">
        <v>#N/A</v>
      </c>
      <c r="FHE30" t="e">
        <v>#N/A</v>
      </c>
      <c r="FHF30" t="e">
        <v>#N/A</v>
      </c>
      <c r="FHG30" t="e">
        <v>#N/A</v>
      </c>
      <c r="FHH30" t="e">
        <v>#N/A</v>
      </c>
      <c r="FHI30" t="e">
        <v>#N/A</v>
      </c>
      <c r="FHJ30" t="e">
        <v>#N/A</v>
      </c>
      <c r="FHK30" t="e">
        <v>#N/A</v>
      </c>
      <c r="FHL30" t="e">
        <v>#N/A</v>
      </c>
      <c r="FHM30" t="e">
        <v>#N/A</v>
      </c>
      <c r="FHN30" t="e">
        <v>#N/A</v>
      </c>
      <c r="FHO30" t="e">
        <v>#N/A</v>
      </c>
      <c r="FHP30" t="e">
        <v>#N/A</v>
      </c>
      <c r="FHQ30" t="e">
        <v>#N/A</v>
      </c>
      <c r="FHR30" t="e">
        <v>#N/A</v>
      </c>
      <c r="FHS30" t="e">
        <v>#N/A</v>
      </c>
      <c r="FHT30" t="e">
        <v>#N/A</v>
      </c>
      <c r="FHU30" t="e">
        <v>#N/A</v>
      </c>
      <c r="FHV30" t="e">
        <v>#N/A</v>
      </c>
      <c r="FHW30" t="e">
        <v>#N/A</v>
      </c>
      <c r="FHX30" t="e">
        <v>#N/A</v>
      </c>
      <c r="FHY30" t="e">
        <v>#N/A</v>
      </c>
      <c r="FHZ30" t="e">
        <v>#N/A</v>
      </c>
      <c r="FIA30" t="e">
        <v>#N/A</v>
      </c>
      <c r="FIB30" t="e">
        <v>#N/A</v>
      </c>
      <c r="FIC30" t="e">
        <v>#N/A</v>
      </c>
      <c r="FID30" t="e">
        <v>#N/A</v>
      </c>
      <c r="FIE30" t="e">
        <v>#N/A</v>
      </c>
      <c r="FIF30" t="e">
        <v>#N/A</v>
      </c>
      <c r="FIG30" t="e">
        <v>#N/A</v>
      </c>
      <c r="FIH30" t="e">
        <v>#N/A</v>
      </c>
      <c r="FII30" t="e">
        <v>#N/A</v>
      </c>
      <c r="FIJ30" t="e">
        <v>#N/A</v>
      </c>
      <c r="FIK30" t="e">
        <v>#N/A</v>
      </c>
      <c r="FIL30" t="e">
        <v>#N/A</v>
      </c>
      <c r="FIM30" t="e">
        <v>#N/A</v>
      </c>
      <c r="FIN30" t="e">
        <v>#N/A</v>
      </c>
      <c r="FIO30" t="e">
        <v>#N/A</v>
      </c>
      <c r="FIP30" t="e">
        <v>#N/A</v>
      </c>
      <c r="FIQ30" t="e">
        <v>#N/A</v>
      </c>
      <c r="FIR30" t="e">
        <v>#N/A</v>
      </c>
      <c r="FIS30" t="e">
        <v>#N/A</v>
      </c>
      <c r="FIT30" t="e">
        <v>#N/A</v>
      </c>
      <c r="FIU30" t="e">
        <v>#N/A</v>
      </c>
      <c r="FIV30" t="e">
        <v>#N/A</v>
      </c>
      <c r="FIW30" t="e">
        <v>#N/A</v>
      </c>
      <c r="FIX30" t="e">
        <v>#N/A</v>
      </c>
      <c r="FIY30" t="e">
        <v>#N/A</v>
      </c>
      <c r="FIZ30" t="e">
        <v>#N/A</v>
      </c>
      <c r="FJA30" t="e">
        <v>#N/A</v>
      </c>
      <c r="FJB30" t="e">
        <v>#N/A</v>
      </c>
      <c r="FJC30" t="e">
        <v>#N/A</v>
      </c>
      <c r="FJD30" t="e">
        <v>#N/A</v>
      </c>
      <c r="FJE30" t="e">
        <v>#N/A</v>
      </c>
      <c r="FJF30" t="e">
        <v>#N/A</v>
      </c>
      <c r="FJG30" t="e">
        <v>#N/A</v>
      </c>
      <c r="FJH30" t="e">
        <v>#N/A</v>
      </c>
      <c r="FJI30" t="e">
        <v>#N/A</v>
      </c>
      <c r="FJJ30" t="e">
        <v>#N/A</v>
      </c>
      <c r="FJK30" t="e">
        <v>#N/A</v>
      </c>
      <c r="FJL30" t="e">
        <v>#N/A</v>
      </c>
      <c r="FJM30" t="e">
        <v>#N/A</v>
      </c>
      <c r="FJN30" t="e">
        <v>#N/A</v>
      </c>
      <c r="FJO30" t="e">
        <v>#N/A</v>
      </c>
      <c r="FJP30" t="e">
        <v>#N/A</v>
      </c>
      <c r="FJQ30" t="e">
        <v>#N/A</v>
      </c>
      <c r="FJR30" t="e">
        <v>#N/A</v>
      </c>
      <c r="FJS30" t="e">
        <v>#N/A</v>
      </c>
      <c r="FJT30" t="e">
        <v>#N/A</v>
      </c>
      <c r="FJU30" t="e">
        <v>#N/A</v>
      </c>
      <c r="FJV30" t="e">
        <v>#N/A</v>
      </c>
      <c r="FJW30" t="e">
        <v>#N/A</v>
      </c>
      <c r="FJX30" t="e">
        <v>#N/A</v>
      </c>
      <c r="FJY30" t="e">
        <v>#N/A</v>
      </c>
      <c r="FJZ30" t="e">
        <v>#N/A</v>
      </c>
      <c r="FKA30" t="e">
        <v>#N/A</v>
      </c>
      <c r="FKB30" t="e">
        <v>#N/A</v>
      </c>
      <c r="FKC30" t="e">
        <v>#N/A</v>
      </c>
      <c r="FKD30" t="e">
        <v>#N/A</v>
      </c>
      <c r="FKE30" t="e">
        <v>#N/A</v>
      </c>
      <c r="FKF30" t="e">
        <v>#N/A</v>
      </c>
      <c r="FKG30" t="e">
        <v>#N/A</v>
      </c>
      <c r="FKH30" t="e">
        <v>#N/A</v>
      </c>
      <c r="FKI30" t="e">
        <v>#N/A</v>
      </c>
      <c r="FKJ30" t="e">
        <v>#N/A</v>
      </c>
      <c r="FKK30" t="e">
        <v>#N/A</v>
      </c>
      <c r="FKL30" t="e">
        <v>#N/A</v>
      </c>
      <c r="FKM30" t="e">
        <v>#N/A</v>
      </c>
      <c r="FKN30" t="e">
        <v>#N/A</v>
      </c>
      <c r="FKO30" t="e">
        <v>#N/A</v>
      </c>
      <c r="FKP30" t="e">
        <v>#N/A</v>
      </c>
      <c r="FKQ30" t="e">
        <v>#N/A</v>
      </c>
      <c r="FKR30" t="e">
        <v>#N/A</v>
      </c>
      <c r="FKS30" t="e">
        <v>#N/A</v>
      </c>
      <c r="FKT30" t="e">
        <v>#N/A</v>
      </c>
      <c r="FKU30" t="e">
        <v>#N/A</v>
      </c>
      <c r="FKV30" t="e">
        <v>#N/A</v>
      </c>
      <c r="FKW30" t="e">
        <v>#N/A</v>
      </c>
      <c r="FKX30" t="e">
        <v>#N/A</v>
      </c>
      <c r="FKY30" t="e">
        <v>#N/A</v>
      </c>
      <c r="FKZ30" t="e">
        <v>#N/A</v>
      </c>
      <c r="FLA30" t="e">
        <v>#N/A</v>
      </c>
      <c r="FLB30" t="e">
        <v>#N/A</v>
      </c>
      <c r="FLC30" t="e">
        <v>#N/A</v>
      </c>
      <c r="FLD30" t="e">
        <v>#N/A</v>
      </c>
      <c r="FLE30" t="e">
        <v>#N/A</v>
      </c>
      <c r="FLF30" t="e">
        <v>#N/A</v>
      </c>
      <c r="FLG30" t="e">
        <v>#N/A</v>
      </c>
      <c r="FLH30" t="e">
        <v>#N/A</v>
      </c>
      <c r="FLI30" t="e">
        <v>#N/A</v>
      </c>
      <c r="FLJ30" t="e">
        <v>#N/A</v>
      </c>
      <c r="FLK30" t="e">
        <v>#N/A</v>
      </c>
      <c r="FLL30" t="e">
        <v>#N/A</v>
      </c>
      <c r="FLM30" t="e">
        <v>#N/A</v>
      </c>
      <c r="FLN30" t="e">
        <v>#N/A</v>
      </c>
      <c r="FLO30" t="e">
        <v>#N/A</v>
      </c>
      <c r="FLP30" t="e">
        <v>#N/A</v>
      </c>
      <c r="FLQ30" t="e">
        <v>#N/A</v>
      </c>
      <c r="FLR30" t="e">
        <v>#N/A</v>
      </c>
      <c r="FLS30" t="e">
        <v>#N/A</v>
      </c>
      <c r="FLT30" t="e">
        <v>#N/A</v>
      </c>
      <c r="FLU30" t="e">
        <v>#N/A</v>
      </c>
      <c r="FLV30" t="e">
        <v>#N/A</v>
      </c>
      <c r="FLW30" t="e">
        <v>#N/A</v>
      </c>
      <c r="FLX30" t="e">
        <v>#N/A</v>
      </c>
      <c r="FLY30" t="e">
        <v>#N/A</v>
      </c>
      <c r="FLZ30" t="e">
        <v>#N/A</v>
      </c>
      <c r="FMA30" t="e">
        <v>#N/A</v>
      </c>
      <c r="FMB30" t="e">
        <v>#N/A</v>
      </c>
      <c r="FMC30" t="e">
        <v>#N/A</v>
      </c>
      <c r="FMD30" t="e">
        <v>#N/A</v>
      </c>
      <c r="FME30" t="e">
        <v>#N/A</v>
      </c>
      <c r="FMF30" t="e">
        <v>#N/A</v>
      </c>
      <c r="FMG30" t="e">
        <v>#N/A</v>
      </c>
      <c r="FMH30" t="e">
        <v>#N/A</v>
      </c>
      <c r="FMI30" t="e">
        <v>#N/A</v>
      </c>
      <c r="FMJ30" t="e">
        <v>#N/A</v>
      </c>
      <c r="FMK30" t="e">
        <v>#N/A</v>
      </c>
      <c r="FML30" t="e">
        <v>#N/A</v>
      </c>
      <c r="FMM30" t="e">
        <v>#N/A</v>
      </c>
      <c r="FMN30" t="e">
        <v>#N/A</v>
      </c>
      <c r="FMO30" t="e">
        <v>#N/A</v>
      </c>
      <c r="FMP30" t="e">
        <v>#N/A</v>
      </c>
      <c r="FMQ30" t="e">
        <v>#N/A</v>
      </c>
      <c r="FMR30" t="e">
        <v>#N/A</v>
      </c>
      <c r="FMS30" t="e">
        <v>#N/A</v>
      </c>
      <c r="FMT30" t="e">
        <v>#N/A</v>
      </c>
      <c r="FMU30" t="e">
        <v>#N/A</v>
      </c>
      <c r="FMV30" t="e">
        <v>#N/A</v>
      </c>
      <c r="FMW30" t="e">
        <v>#N/A</v>
      </c>
      <c r="FMX30" t="e">
        <v>#N/A</v>
      </c>
      <c r="FMY30" t="e">
        <v>#N/A</v>
      </c>
      <c r="FMZ30" t="e">
        <v>#N/A</v>
      </c>
      <c r="FNA30" t="e">
        <v>#N/A</v>
      </c>
      <c r="FNB30" t="e">
        <v>#N/A</v>
      </c>
      <c r="FNC30" t="e">
        <v>#N/A</v>
      </c>
      <c r="FND30" t="e">
        <v>#N/A</v>
      </c>
      <c r="FNE30" t="e">
        <v>#N/A</v>
      </c>
      <c r="FNF30" t="e">
        <v>#N/A</v>
      </c>
      <c r="FNG30" t="e">
        <v>#N/A</v>
      </c>
      <c r="FNH30" t="e">
        <v>#N/A</v>
      </c>
      <c r="FNI30" t="e">
        <v>#N/A</v>
      </c>
      <c r="FNJ30" t="e">
        <v>#N/A</v>
      </c>
      <c r="FNK30" t="e">
        <v>#N/A</v>
      </c>
      <c r="FNL30" t="e">
        <v>#N/A</v>
      </c>
      <c r="FNM30" t="e">
        <v>#N/A</v>
      </c>
      <c r="FNN30" t="e">
        <v>#N/A</v>
      </c>
      <c r="FNO30" t="e">
        <v>#N/A</v>
      </c>
      <c r="FNP30" t="e">
        <v>#N/A</v>
      </c>
      <c r="FNQ30" t="e">
        <v>#N/A</v>
      </c>
      <c r="FNR30" t="e">
        <v>#N/A</v>
      </c>
      <c r="FNS30" t="e">
        <v>#N/A</v>
      </c>
      <c r="FNT30" t="e">
        <v>#N/A</v>
      </c>
      <c r="FNU30" t="e">
        <v>#N/A</v>
      </c>
      <c r="FNV30" t="e">
        <v>#N/A</v>
      </c>
      <c r="FNW30" t="e">
        <v>#N/A</v>
      </c>
      <c r="FNX30" t="e">
        <v>#N/A</v>
      </c>
      <c r="FNY30" t="e">
        <v>#N/A</v>
      </c>
      <c r="FNZ30" t="e">
        <v>#N/A</v>
      </c>
      <c r="FOA30" t="e">
        <v>#N/A</v>
      </c>
      <c r="FOB30" t="e">
        <v>#N/A</v>
      </c>
      <c r="FOC30" t="e">
        <v>#N/A</v>
      </c>
      <c r="FOD30" t="e">
        <v>#N/A</v>
      </c>
      <c r="FOE30" t="e">
        <v>#N/A</v>
      </c>
      <c r="FOF30" t="e">
        <v>#N/A</v>
      </c>
      <c r="FOG30" t="e">
        <v>#N/A</v>
      </c>
      <c r="FOH30" t="e">
        <v>#N/A</v>
      </c>
      <c r="FOI30" t="e">
        <v>#N/A</v>
      </c>
      <c r="FOJ30" t="e">
        <v>#N/A</v>
      </c>
      <c r="FOK30" t="e">
        <v>#N/A</v>
      </c>
      <c r="FOL30" t="e">
        <v>#N/A</v>
      </c>
      <c r="FOM30" t="e">
        <v>#N/A</v>
      </c>
      <c r="FON30" t="e">
        <v>#N/A</v>
      </c>
      <c r="FOO30" t="e">
        <v>#N/A</v>
      </c>
      <c r="FOP30" t="e">
        <v>#N/A</v>
      </c>
      <c r="FOQ30" t="e">
        <v>#N/A</v>
      </c>
      <c r="FOR30" t="e">
        <v>#N/A</v>
      </c>
      <c r="FOS30" t="e">
        <v>#N/A</v>
      </c>
      <c r="FOT30" t="e">
        <v>#N/A</v>
      </c>
      <c r="FOU30" t="e">
        <v>#N/A</v>
      </c>
      <c r="FOV30" t="e">
        <v>#N/A</v>
      </c>
      <c r="FOW30" t="e">
        <v>#N/A</v>
      </c>
      <c r="FOX30" t="e">
        <v>#N/A</v>
      </c>
      <c r="FOY30" t="e">
        <v>#N/A</v>
      </c>
      <c r="FOZ30" t="e">
        <v>#N/A</v>
      </c>
      <c r="FPA30" t="e">
        <v>#N/A</v>
      </c>
      <c r="FPB30" t="e">
        <v>#N/A</v>
      </c>
      <c r="FPC30" t="e">
        <v>#N/A</v>
      </c>
      <c r="FPD30" t="e">
        <v>#N/A</v>
      </c>
      <c r="FPE30" t="e">
        <v>#N/A</v>
      </c>
      <c r="FPF30" t="e">
        <v>#N/A</v>
      </c>
      <c r="FPG30" t="e">
        <v>#N/A</v>
      </c>
      <c r="FPH30" t="e">
        <v>#N/A</v>
      </c>
      <c r="FPI30" t="e">
        <v>#N/A</v>
      </c>
      <c r="FPJ30" t="e">
        <v>#N/A</v>
      </c>
      <c r="FPK30" t="e">
        <v>#N/A</v>
      </c>
      <c r="FPL30" t="e">
        <v>#N/A</v>
      </c>
      <c r="FPM30" t="e">
        <v>#N/A</v>
      </c>
      <c r="FPN30" t="e">
        <v>#N/A</v>
      </c>
      <c r="FPO30" t="e">
        <v>#N/A</v>
      </c>
      <c r="FPP30" t="e">
        <v>#N/A</v>
      </c>
      <c r="FPQ30" t="e">
        <v>#N/A</v>
      </c>
      <c r="FPR30" t="e">
        <v>#N/A</v>
      </c>
      <c r="FPS30" t="e">
        <v>#N/A</v>
      </c>
      <c r="FPT30" t="e">
        <v>#N/A</v>
      </c>
      <c r="FPU30" t="e">
        <v>#N/A</v>
      </c>
      <c r="FPV30" t="e">
        <v>#N/A</v>
      </c>
      <c r="FPW30" t="e">
        <v>#N/A</v>
      </c>
      <c r="FPX30" t="e">
        <v>#N/A</v>
      </c>
      <c r="FPY30" t="e">
        <v>#N/A</v>
      </c>
      <c r="FPZ30" t="e">
        <v>#N/A</v>
      </c>
      <c r="FQA30" t="e">
        <v>#N/A</v>
      </c>
      <c r="FQB30" t="e">
        <v>#N/A</v>
      </c>
      <c r="FQC30" t="e">
        <v>#N/A</v>
      </c>
      <c r="FQD30" t="e">
        <v>#N/A</v>
      </c>
      <c r="FQE30" t="e">
        <v>#N/A</v>
      </c>
      <c r="FQF30" t="e">
        <v>#N/A</v>
      </c>
      <c r="FQG30" t="e">
        <v>#N/A</v>
      </c>
      <c r="FQH30" t="e">
        <v>#N/A</v>
      </c>
      <c r="FQI30" t="e">
        <v>#N/A</v>
      </c>
      <c r="FQJ30" t="e">
        <v>#N/A</v>
      </c>
      <c r="FQK30" t="e">
        <v>#N/A</v>
      </c>
      <c r="FQL30" t="e">
        <v>#N/A</v>
      </c>
      <c r="FQM30" t="e">
        <v>#N/A</v>
      </c>
      <c r="FQN30" t="e">
        <v>#N/A</v>
      </c>
      <c r="FQO30" t="e">
        <v>#N/A</v>
      </c>
      <c r="FQP30" t="e">
        <v>#N/A</v>
      </c>
      <c r="FQQ30" t="e">
        <v>#N/A</v>
      </c>
      <c r="FQR30" t="e">
        <v>#N/A</v>
      </c>
      <c r="FQS30" t="e">
        <v>#N/A</v>
      </c>
      <c r="FQT30" t="e">
        <v>#N/A</v>
      </c>
      <c r="FQU30" t="e">
        <v>#N/A</v>
      </c>
      <c r="FQV30" t="e">
        <v>#N/A</v>
      </c>
      <c r="FQW30" t="e">
        <v>#N/A</v>
      </c>
      <c r="FQX30" t="e">
        <v>#N/A</v>
      </c>
      <c r="FQY30" t="e">
        <v>#N/A</v>
      </c>
      <c r="FQZ30" t="e">
        <v>#N/A</v>
      </c>
      <c r="FRA30" t="e">
        <v>#N/A</v>
      </c>
      <c r="FRB30" t="e">
        <v>#N/A</v>
      </c>
      <c r="FRC30" t="e">
        <v>#N/A</v>
      </c>
      <c r="FRD30" t="e">
        <v>#N/A</v>
      </c>
      <c r="FRE30" t="e">
        <v>#N/A</v>
      </c>
      <c r="FRF30" t="e">
        <v>#N/A</v>
      </c>
      <c r="FRG30" t="e">
        <v>#N/A</v>
      </c>
      <c r="FRH30" t="e">
        <v>#N/A</v>
      </c>
      <c r="FRI30" t="e">
        <v>#N/A</v>
      </c>
      <c r="FRJ30" t="e">
        <v>#N/A</v>
      </c>
      <c r="FRK30" t="e">
        <v>#N/A</v>
      </c>
      <c r="FRL30" t="e">
        <v>#N/A</v>
      </c>
      <c r="FRM30" t="e">
        <v>#N/A</v>
      </c>
      <c r="FRN30" t="e">
        <v>#N/A</v>
      </c>
      <c r="FRO30" t="e">
        <v>#N/A</v>
      </c>
      <c r="FRP30" t="e">
        <v>#N/A</v>
      </c>
      <c r="FRQ30" t="e">
        <v>#N/A</v>
      </c>
      <c r="FRR30" t="e">
        <v>#N/A</v>
      </c>
      <c r="FRS30" t="e">
        <v>#N/A</v>
      </c>
      <c r="FRT30" t="e">
        <v>#N/A</v>
      </c>
      <c r="FRU30" t="e">
        <v>#N/A</v>
      </c>
      <c r="FRV30" t="e">
        <v>#N/A</v>
      </c>
      <c r="FRW30" t="e">
        <v>#N/A</v>
      </c>
      <c r="FRX30" t="e">
        <v>#N/A</v>
      </c>
      <c r="FRY30" t="e">
        <v>#N/A</v>
      </c>
      <c r="FRZ30" t="e">
        <v>#N/A</v>
      </c>
      <c r="FSA30" t="e">
        <v>#N/A</v>
      </c>
      <c r="FSB30" t="e">
        <v>#N/A</v>
      </c>
      <c r="FSC30" t="e">
        <v>#N/A</v>
      </c>
      <c r="FSD30" t="e">
        <v>#N/A</v>
      </c>
      <c r="FSE30" t="e">
        <v>#N/A</v>
      </c>
      <c r="FSF30" t="e">
        <v>#N/A</v>
      </c>
      <c r="FSG30" t="e">
        <v>#N/A</v>
      </c>
      <c r="FSH30" t="e">
        <v>#N/A</v>
      </c>
      <c r="FSI30" t="e">
        <v>#N/A</v>
      </c>
      <c r="FSJ30" t="e">
        <v>#N/A</v>
      </c>
      <c r="FSK30" t="e">
        <v>#N/A</v>
      </c>
      <c r="FSL30" t="e">
        <v>#N/A</v>
      </c>
      <c r="FSM30" t="e">
        <v>#N/A</v>
      </c>
      <c r="FSN30" t="e">
        <v>#N/A</v>
      </c>
      <c r="FSO30" t="e">
        <v>#N/A</v>
      </c>
      <c r="FSP30" t="e">
        <v>#N/A</v>
      </c>
      <c r="FSQ30" t="e">
        <v>#N/A</v>
      </c>
      <c r="FSR30" t="e">
        <v>#N/A</v>
      </c>
      <c r="FSS30" t="e">
        <v>#N/A</v>
      </c>
      <c r="FST30" t="e">
        <v>#N/A</v>
      </c>
      <c r="FSU30" t="e">
        <v>#N/A</v>
      </c>
      <c r="FSV30" t="e">
        <v>#N/A</v>
      </c>
      <c r="FSW30" t="e">
        <v>#N/A</v>
      </c>
      <c r="FSX30" t="e">
        <v>#N/A</v>
      </c>
      <c r="FSY30" t="e">
        <v>#N/A</v>
      </c>
      <c r="FSZ30" t="e">
        <v>#N/A</v>
      </c>
      <c r="FTA30" t="e">
        <v>#N/A</v>
      </c>
      <c r="FTB30" t="e">
        <v>#N/A</v>
      </c>
      <c r="FTC30" t="e">
        <v>#N/A</v>
      </c>
      <c r="FTD30" t="e">
        <v>#N/A</v>
      </c>
      <c r="FTE30" t="e">
        <v>#N/A</v>
      </c>
      <c r="FTF30" t="e">
        <v>#N/A</v>
      </c>
      <c r="FTG30" t="e">
        <v>#N/A</v>
      </c>
      <c r="FTH30" t="e">
        <v>#N/A</v>
      </c>
      <c r="FTI30" t="e">
        <v>#N/A</v>
      </c>
      <c r="FTJ30" t="e">
        <v>#N/A</v>
      </c>
      <c r="FTK30" t="e">
        <v>#N/A</v>
      </c>
      <c r="FTL30" t="e">
        <v>#N/A</v>
      </c>
      <c r="FTM30" t="e">
        <v>#N/A</v>
      </c>
      <c r="FTN30" t="e">
        <v>#N/A</v>
      </c>
      <c r="FTO30" t="e">
        <v>#N/A</v>
      </c>
      <c r="FTP30" t="e">
        <v>#N/A</v>
      </c>
      <c r="FTQ30" t="e">
        <v>#N/A</v>
      </c>
      <c r="FTR30" t="e">
        <v>#N/A</v>
      </c>
      <c r="FTS30" t="e">
        <v>#N/A</v>
      </c>
      <c r="FTT30" t="e">
        <v>#N/A</v>
      </c>
      <c r="FTU30" t="e">
        <v>#N/A</v>
      </c>
      <c r="FTV30" t="e">
        <v>#N/A</v>
      </c>
      <c r="FTW30" t="e">
        <v>#N/A</v>
      </c>
      <c r="FTX30" t="e">
        <v>#N/A</v>
      </c>
      <c r="FTY30" t="e">
        <v>#N/A</v>
      </c>
      <c r="FTZ30" t="e">
        <v>#N/A</v>
      </c>
      <c r="FUA30" t="e">
        <v>#N/A</v>
      </c>
      <c r="FUB30" t="e">
        <v>#N/A</v>
      </c>
      <c r="FUC30" t="e">
        <v>#N/A</v>
      </c>
      <c r="FUD30" t="e">
        <v>#N/A</v>
      </c>
      <c r="FUE30" t="e">
        <v>#N/A</v>
      </c>
      <c r="FUF30" t="e">
        <v>#N/A</v>
      </c>
      <c r="FUG30" t="e">
        <v>#N/A</v>
      </c>
      <c r="FUH30" t="e">
        <v>#N/A</v>
      </c>
      <c r="FUI30" t="e">
        <v>#N/A</v>
      </c>
      <c r="FUJ30" t="e">
        <v>#N/A</v>
      </c>
      <c r="FUK30" t="e">
        <v>#N/A</v>
      </c>
      <c r="FUL30" t="e">
        <v>#N/A</v>
      </c>
      <c r="FUM30" t="e">
        <v>#N/A</v>
      </c>
      <c r="FUN30" t="e">
        <v>#N/A</v>
      </c>
      <c r="FUO30" t="e">
        <v>#N/A</v>
      </c>
      <c r="FUP30" t="e">
        <v>#N/A</v>
      </c>
      <c r="FUQ30" t="e">
        <v>#N/A</v>
      </c>
      <c r="FUR30" t="e">
        <v>#N/A</v>
      </c>
      <c r="FUS30" t="e">
        <v>#N/A</v>
      </c>
      <c r="FUT30" t="e">
        <v>#N/A</v>
      </c>
      <c r="FUU30" t="e">
        <v>#N/A</v>
      </c>
      <c r="FUV30" t="e">
        <v>#N/A</v>
      </c>
      <c r="FUW30" t="e">
        <v>#N/A</v>
      </c>
      <c r="FUX30" t="e">
        <v>#N/A</v>
      </c>
      <c r="FUY30" t="e">
        <v>#N/A</v>
      </c>
      <c r="FUZ30" t="e">
        <v>#N/A</v>
      </c>
      <c r="FVA30" t="e">
        <v>#N/A</v>
      </c>
      <c r="FVB30" t="e">
        <v>#N/A</v>
      </c>
      <c r="FVC30" t="e">
        <v>#N/A</v>
      </c>
      <c r="FVD30" t="e">
        <v>#N/A</v>
      </c>
      <c r="FVE30" t="e">
        <v>#N/A</v>
      </c>
      <c r="FVF30" t="e">
        <v>#N/A</v>
      </c>
      <c r="FVG30" t="e">
        <v>#N/A</v>
      </c>
      <c r="FVH30" t="e">
        <v>#N/A</v>
      </c>
      <c r="FVI30" t="e">
        <v>#N/A</v>
      </c>
      <c r="FVJ30" t="e">
        <v>#N/A</v>
      </c>
      <c r="FVK30" t="e">
        <v>#N/A</v>
      </c>
      <c r="FVL30" t="e">
        <v>#N/A</v>
      </c>
      <c r="FVM30" t="e">
        <v>#N/A</v>
      </c>
      <c r="FVN30" t="e">
        <v>#N/A</v>
      </c>
      <c r="FVO30" t="e">
        <v>#N/A</v>
      </c>
      <c r="FVP30" t="e">
        <v>#N/A</v>
      </c>
      <c r="FVQ30" t="e">
        <v>#N/A</v>
      </c>
      <c r="FVR30" t="e">
        <v>#N/A</v>
      </c>
      <c r="FVS30" t="e">
        <v>#N/A</v>
      </c>
      <c r="FVT30" t="e">
        <v>#N/A</v>
      </c>
      <c r="FVU30" t="e">
        <v>#N/A</v>
      </c>
      <c r="FVV30" t="e">
        <v>#N/A</v>
      </c>
      <c r="FVW30" t="e">
        <v>#N/A</v>
      </c>
      <c r="FVX30" t="e">
        <v>#N/A</v>
      </c>
      <c r="FVY30" t="e">
        <v>#N/A</v>
      </c>
      <c r="FVZ30" t="e">
        <v>#N/A</v>
      </c>
      <c r="FWA30" t="e">
        <v>#N/A</v>
      </c>
      <c r="FWB30" t="e">
        <v>#N/A</v>
      </c>
      <c r="FWC30" t="e">
        <v>#N/A</v>
      </c>
      <c r="FWD30" t="e">
        <v>#N/A</v>
      </c>
      <c r="FWE30" t="e">
        <v>#N/A</v>
      </c>
      <c r="FWF30" t="e">
        <v>#N/A</v>
      </c>
      <c r="FWG30" t="e">
        <v>#N/A</v>
      </c>
      <c r="FWH30" t="e">
        <v>#N/A</v>
      </c>
      <c r="FWI30" t="e">
        <v>#N/A</v>
      </c>
      <c r="FWJ30" t="e">
        <v>#N/A</v>
      </c>
      <c r="FWK30" t="e">
        <v>#N/A</v>
      </c>
      <c r="FWL30" t="e">
        <v>#N/A</v>
      </c>
      <c r="FWM30" t="e">
        <v>#N/A</v>
      </c>
      <c r="FWN30" t="e">
        <v>#N/A</v>
      </c>
      <c r="FWO30" t="e">
        <v>#N/A</v>
      </c>
      <c r="FWP30" t="e">
        <v>#N/A</v>
      </c>
      <c r="FWQ30" t="e">
        <v>#N/A</v>
      </c>
      <c r="FWR30" t="e">
        <v>#N/A</v>
      </c>
      <c r="FWS30" t="e">
        <v>#N/A</v>
      </c>
      <c r="FWT30" t="e">
        <v>#N/A</v>
      </c>
      <c r="FWU30" t="e">
        <v>#N/A</v>
      </c>
      <c r="FWV30" t="e">
        <v>#N/A</v>
      </c>
      <c r="FWW30" t="e">
        <v>#N/A</v>
      </c>
      <c r="FWX30" t="e">
        <v>#N/A</v>
      </c>
      <c r="FWY30" t="e">
        <v>#N/A</v>
      </c>
      <c r="FWZ30" t="e">
        <v>#N/A</v>
      </c>
      <c r="FXA30" t="e">
        <v>#N/A</v>
      </c>
      <c r="FXB30" t="e">
        <v>#N/A</v>
      </c>
      <c r="FXC30" t="e">
        <v>#N/A</v>
      </c>
      <c r="FXD30" t="e">
        <v>#N/A</v>
      </c>
      <c r="FXE30" t="e">
        <v>#N/A</v>
      </c>
      <c r="FXF30" t="e">
        <v>#N/A</v>
      </c>
      <c r="FXG30" t="e">
        <v>#N/A</v>
      </c>
      <c r="FXH30" t="e">
        <v>#N/A</v>
      </c>
      <c r="FXI30" t="e">
        <v>#N/A</v>
      </c>
      <c r="FXJ30" t="e">
        <v>#N/A</v>
      </c>
      <c r="FXK30" t="e">
        <v>#N/A</v>
      </c>
      <c r="FXL30" t="e">
        <v>#N/A</v>
      </c>
      <c r="FXM30" t="e">
        <v>#N/A</v>
      </c>
      <c r="FXN30" t="e">
        <v>#N/A</v>
      </c>
      <c r="FXO30" t="e">
        <v>#N/A</v>
      </c>
      <c r="FXP30" t="e">
        <v>#N/A</v>
      </c>
      <c r="FXQ30" t="e">
        <v>#N/A</v>
      </c>
      <c r="FXR30" t="e">
        <v>#N/A</v>
      </c>
      <c r="FXS30" t="e">
        <v>#N/A</v>
      </c>
      <c r="FXT30" t="e">
        <v>#N/A</v>
      </c>
      <c r="FXU30" t="e">
        <v>#N/A</v>
      </c>
      <c r="FXV30" t="e">
        <v>#N/A</v>
      </c>
      <c r="FXW30" t="e">
        <v>#N/A</v>
      </c>
      <c r="FXX30" t="e">
        <v>#N/A</v>
      </c>
      <c r="FXY30" t="e">
        <v>#N/A</v>
      </c>
      <c r="FXZ30" t="e">
        <v>#N/A</v>
      </c>
      <c r="FYA30" t="e">
        <v>#N/A</v>
      </c>
      <c r="FYB30" t="e">
        <v>#N/A</v>
      </c>
      <c r="FYC30" t="e">
        <v>#N/A</v>
      </c>
      <c r="FYD30" t="e">
        <v>#N/A</v>
      </c>
      <c r="FYE30" t="e">
        <v>#N/A</v>
      </c>
      <c r="FYF30" t="e">
        <v>#N/A</v>
      </c>
      <c r="FYG30" t="e">
        <v>#N/A</v>
      </c>
      <c r="FYH30" t="e">
        <v>#N/A</v>
      </c>
      <c r="FYI30" t="e">
        <v>#N/A</v>
      </c>
      <c r="FYJ30" t="e">
        <v>#N/A</v>
      </c>
      <c r="FYK30" t="e">
        <v>#N/A</v>
      </c>
      <c r="FYL30" t="e">
        <v>#N/A</v>
      </c>
      <c r="FYM30" t="e">
        <v>#N/A</v>
      </c>
      <c r="FYN30" t="e">
        <v>#N/A</v>
      </c>
      <c r="FYO30" t="e">
        <v>#N/A</v>
      </c>
      <c r="FYP30" t="e">
        <v>#N/A</v>
      </c>
      <c r="FYQ30" t="e">
        <v>#N/A</v>
      </c>
      <c r="FYR30" t="e">
        <v>#N/A</v>
      </c>
      <c r="FYS30" t="e">
        <v>#N/A</v>
      </c>
      <c r="FYT30" t="e">
        <v>#N/A</v>
      </c>
      <c r="FYU30" t="e">
        <v>#N/A</v>
      </c>
      <c r="FYV30" t="e">
        <v>#N/A</v>
      </c>
      <c r="FYW30" t="e">
        <v>#N/A</v>
      </c>
      <c r="FYX30" t="e">
        <v>#N/A</v>
      </c>
      <c r="FYY30" t="e">
        <v>#N/A</v>
      </c>
      <c r="FYZ30" t="e">
        <v>#N/A</v>
      </c>
      <c r="FZA30" t="e">
        <v>#N/A</v>
      </c>
      <c r="FZB30" t="e">
        <v>#N/A</v>
      </c>
      <c r="FZC30" t="e">
        <v>#N/A</v>
      </c>
      <c r="FZD30" t="e">
        <v>#N/A</v>
      </c>
      <c r="FZE30" t="e">
        <v>#N/A</v>
      </c>
      <c r="FZF30" t="e">
        <v>#N/A</v>
      </c>
      <c r="FZG30" t="e">
        <v>#N/A</v>
      </c>
      <c r="FZH30" t="e">
        <v>#N/A</v>
      </c>
      <c r="FZI30" t="e">
        <v>#N/A</v>
      </c>
      <c r="FZJ30" t="e">
        <v>#N/A</v>
      </c>
      <c r="FZK30" t="e">
        <v>#N/A</v>
      </c>
      <c r="FZL30" t="e">
        <v>#N/A</v>
      </c>
      <c r="FZM30" t="e">
        <v>#N/A</v>
      </c>
      <c r="FZN30" t="e">
        <v>#N/A</v>
      </c>
      <c r="FZO30" t="e">
        <v>#N/A</v>
      </c>
      <c r="FZP30" t="e">
        <v>#N/A</v>
      </c>
      <c r="FZQ30" t="e">
        <v>#N/A</v>
      </c>
      <c r="FZR30" t="e">
        <v>#N/A</v>
      </c>
      <c r="FZS30" t="e">
        <v>#N/A</v>
      </c>
      <c r="FZT30" t="e">
        <v>#N/A</v>
      </c>
      <c r="FZU30" t="e">
        <v>#N/A</v>
      </c>
      <c r="FZV30" t="e">
        <v>#N/A</v>
      </c>
      <c r="FZW30" t="e">
        <v>#N/A</v>
      </c>
      <c r="FZX30" t="e">
        <v>#N/A</v>
      </c>
      <c r="FZY30" t="e">
        <v>#N/A</v>
      </c>
      <c r="FZZ30" t="e">
        <v>#N/A</v>
      </c>
      <c r="GAA30" t="e">
        <v>#N/A</v>
      </c>
      <c r="GAB30" t="e">
        <v>#N/A</v>
      </c>
      <c r="GAC30" t="e">
        <v>#N/A</v>
      </c>
      <c r="GAD30" t="e">
        <v>#N/A</v>
      </c>
      <c r="GAE30" t="e">
        <v>#N/A</v>
      </c>
      <c r="GAF30" t="e">
        <v>#N/A</v>
      </c>
      <c r="GAG30" t="e">
        <v>#N/A</v>
      </c>
      <c r="GAH30" t="e">
        <v>#N/A</v>
      </c>
      <c r="GAI30" t="e">
        <v>#N/A</v>
      </c>
      <c r="GAJ30" t="e">
        <v>#N/A</v>
      </c>
      <c r="GAK30" t="e">
        <v>#N/A</v>
      </c>
      <c r="GAL30" t="e">
        <v>#N/A</v>
      </c>
      <c r="GAM30" t="e">
        <v>#N/A</v>
      </c>
      <c r="GAN30" t="e">
        <v>#N/A</v>
      </c>
      <c r="GAO30" t="e">
        <v>#N/A</v>
      </c>
      <c r="GAP30" t="e">
        <v>#N/A</v>
      </c>
      <c r="GAQ30" t="e">
        <v>#N/A</v>
      </c>
      <c r="GAR30" t="e">
        <v>#N/A</v>
      </c>
      <c r="GAS30" t="e">
        <v>#N/A</v>
      </c>
      <c r="GAT30" t="e">
        <v>#N/A</v>
      </c>
      <c r="GAU30" t="e">
        <v>#N/A</v>
      </c>
      <c r="GAV30" t="e">
        <v>#N/A</v>
      </c>
      <c r="GAW30" t="e">
        <v>#N/A</v>
      </c>
      <c r="GAX30" t="e">
        <v>#N/A</v>
      </c>
      <c r="GAY30" t="e">
        <v>#N/A</v>
      </c>
      <c r="GAZ30" t="e">
        <v>#N/A</v>
      </c>
      <c r="GBA30" t="e">
        <v>#N/A</v>
      </c>
      <c r="GBB30" t="e">
        <v>#N/A</v>
      </c>
      <c r="GBC30" t="e">
        <v>#N/A</v>
      </c>
      <c r="GBD30" t="e">
        <v>#N/A</v>
      </c>
      <c r="GBE30" t="e">
        <v>#N/A</v>
      </c>
      <c r="GBF30" t="e">
        <v>#N/A</v>
      </c>
      <c r="GBG30" t="e">
        <v>#N/A</v>
      </c>
      <c r="GBH30" t="e">
        <v>#N/A</v>
      </c>
      <c r="GBI30" t="e">
        <v>#N/A</v>
      </c>
      <c r="GBJ30" t="e">
        <v>#N/A</v>
      </c>
      <c r="GBK30" t="e">
        <v>#N/A</v>
      </c>
      <c r="GBL30" t="e">
        <v>#N/A</v>
      </c>
      <c r="GBM30" t="e">
        <v>#N/A</v>
      </c>
      <c r="GBN30" t="e">
        <v>#N/A</v>
      </c>
      <c r="GBO30" t="e">
        <v>#N/A</v>
      </c>
      <c r="GBP30" t="e">
        <v>#N/A</v>
      </c>
      <c r="GBQ30" t="e">
        <v>#N/A</v>
      </c>
      <c r="GBR30" t="e">
        <v>#N/A</v>
      </c>
      <c r="GBS30" t="e">
        <v>#N/A</v>
      </c>
      <c r="GBT30" t="e">
        <v>#N/A</v>
      </c>
      <c r="GBU30" t="e">
        <v>#N/A</v>
      </c>
      <c r="GBV30" t="e">
        <v>#N/A</v>
      </c>
      <c r="GBW30" t="e">
        <v>#N/A</v>
      </c>
      <c r="GBX30" t="e">
        <v>#N/A</v>
      </c>
      <c r="GBY30" t="e">
        <v>#N/A</v>
      </c>
      <c r="GBZ30" t="e">
        <v>#N/A</v>
      </c>
      <c r="GCA30" t="e">
        <v>#N/A</v>
      </c>
      <c r="GCB30" t="e">
        <v>#N/A</v>
      </c>
      <c r="GCC30" t="e">
        <v>#N/A</v>
      </c>
      <c r="GCD30" t="e">
        <v>#N/A</v>
      </c>
      <c r="GCE30" t="e">
        <v>#N/A</v>
      </c>
      <c r="GCF30" t="e">
        <v>#N/A</v>
      </c>
      <c r="GCG30" t="e">
        <v>#N/A</v>
      </c>
      <c r="GCH30" t="e">
        <v>#N/A</v>
      </c>
      <c r="GCI30" t="e">
        <v>#N/A</v>
      </c>
      <c r="GCJ30" t="e">
        <v>#N/A</v>
      </c>
      <c r="GCK30" t="e">
        <v>#N/A</v>
      </c>
      <c r="GCL30" t="e">
        <v>#N/A</v>
      </c>
      <c r="GCM30" t="e">
        <v>#N/A</v>
      </c>
      <c r="GCN30" t="e">
        <v>#N/A</v>
      </c>
      <c r="GCO30" t="e">
        <v>#N/A</v>
      </c>
      <c r="GCP30" t="e">
        <v>#N/A</v>
      </c>
      <c r="GCQ30" t="e">
        <v>#N/A</v>
      </c>
      <c r="GCR30" t="e">
        <v>#N/A</v>
      </c>
      <c r="GCS30" t="e">
        <v>#N/A</v>
      </c>
      <c r="GCT30" t="e">
        <v>#N/A</v>
      </c>
      <c r="GCU30" t="e">
        <v>#N/A</v>
      </c>
      <c r="GCV30" t="e">
        <v>#N/A</v>
      </c>
      <c r="GCW30" t="e">
        <v>#N/A</v>
      </c>
      <c r="GCX30" t="e">
        <v>#N/A</v>
      </c>
      <c r="GCY30" t="e">
        <v>#N/A</v>
      </c>
      <c r="GCZ30" t="e">
        <v>#N/A</v>
      </c>
      <c r="GDA30" t="e">
        <v>#N/A</v>
      </c>
      <c r="GDB30" t="e">
        <v>#N/A</v>
      </c>
      <c r="GDC30" t="e">
        <v>#N/A</v>
      </c>
      <c r="GDD30" t="e">
        <v>#N/A</v>
      </c>
      <c r="GDE30" t="e">
        <v>#N/A</v>
      </c>
      <c r="GDF30" t="e">
        <v>#N/A</v>
      </c>
      <c r="GDG30" t="e">
        <v>#N/A</v>
      </c>
      <c r="GDH30" t="e">
        <v>#N/A</v>
      </c>
      <c r="GDI30" t="e">
        <v>#N/A</v>
      </c>
      <c r="GDJ30" t="e">
        <v>#N/A</v>
      </c>
      <c r="GDK30" t="e">
        <v>#N/A</v>
      </c>
      <c r="GDL30" t="e">
        <v>#N/A</v>
      </c>
      <c r="GDM30" t="e">
        <v>#N/A</v>
      </c>
      <c r="GDN30" t="e">
        <v>#N/A</v>
      </c>
      <c r="GDO30" t="e">
        <v>#N/A</v>
      </c>
      <c r="GDP30" t="e">
        <v>#N/A</v>
      </c>
      <c r="GDQ30" t="e">
        <v>#N/A</v>
      </c>
      <c r="GDR30" t="e">
        <v>#N/A</v>
      </c>
      <c r="GDS30" t="e">
        <v>#N/A</v>
      </c>
      <c r="GDT30" t="e">
        <v>#N/A</v>
      </c>
      <c r="GDU30" t="e">
        <v>#N/A</v>
      </c>
      <c r="GDV30" t="e">
        <v>#N/A</v>
      </c>
      <c r="GDW30" t="e">
        <v>#N/A</v>
      </c>
      <c r="GDX30" t="e">
        <v>#N/A</v>
      </c>
      <c r="GDY30" t="e">
        <v>#N/A</v>
      </c>
      <c r="GDZ30" t="e">
        <v>#N/A</v>
      </c>
      <c r="GEA30" t="e">
        <v>#N/A</v>
      </c>
      <c r="GEB30" t="e">
        <v>#N/A</v>
      </c>
      <c r="GEC30" t="e">
        <v>#N/A</v>
      </c>
      <c r="GED30" t="e">
        <v>#N/A</v>
      </c>
      <c r="GEE30" t="e">
        <v>#N/A</v>
      </c>
      <c r="GEF30" t="e">
        <v>#N/A</v>
      </c>
      <c r="GEG30" t="e">
        <v>#N/A</v>
      </c>
      <c r="GEH30" t="e">
        <v>#N/A</v>
      </c>
      <c r="GEI30" t="e">
        <v>#N/A</v>
      </c>
      <c r="GEJ30" t="e">
        <v>#N/A</v>
      </c>
      <c r="GEK30" t="e">
        <v>#N/A</v>
      </c>
      <c r="GEL30" t="e">
        <v>#N/A</v>
      </c>
      <c r="GEM30" t="e">
        <v>#N/A</v>
      </c>
      <c r="GEN30" t="e">
        <v>#N/A</v>
      </c>
      <c r="GEO30" t="e">
        <v>#N/A</v>
      </c>
      <c r="GEP30" t="e">
        <v>#N/A</v>
      </c>
      <c r="GEQ30" t="e">
        <v>#N/A</v>
      </c>
      <c r="GER30" t="e">
        <v>#N/A</v>
      </c>
      <c r="GES30" t="e">
        <v>#N/A</v>
      </c>
      <c r="GET30" t="e">
        <v>#N/A</v>
      </c>
      <c r="GEU30" t="e">
        <v>#N/A</v>
      </c>
      <c r="GEV30" t="e">
        <v>#N/A</v>
      </c>
      <c r="GEW30" t="e">
        <v>#N/A</v>
      </c>
      <c r="GEX30" t="e">
        <v>#N/A</v>
      </c>
      <c r="GEY30" t="e">
        <v>#N/A</v>
      </c>
      <c r="GEZ30" t="e">
        <v>#N/A</v>
      </c>
      <c r="GFA30" t="e">
        <v>#N/A</v>
      </c>
      <c r="GFB30" t="e">
        <v>#N/A</v>
      </c>
      <c r="GFC30" t="e">
        <v>#N/A</v>
      </c>
      <c r="GFD30" t="e">
        <v>#N/A</v>
      </c>
      <c r="GFE30" t="e">
        <v>#N/A</v>
      </c>
      <c r="GFF30" t="e">
        <v>#N/A</v>
      </c>
      <c r="GFG30" t="e">
        <v>#N/A</v>
      </c>
      <c r="GFH30" t="e">
        <v>#N/A</v>
      </c>
      <c r="GFI30" t="e">
        <v>#N/A</v>
      </c>
      <c r="GFJ30" t="e">
        <v>#N/A</v>
      </c>
      <c r="GFK30" t="e">
        <v>#N/A</v>
      </c>
      <c r="GFL30" t="e">
        <v>#N/A</v>
      </c>
      <c r="GFM30" t="e">
        <v>#N/A</v>
      </c>
      <c r="GFN30" t="e">
        <v>#N/A</v>
      </c>
      <c r="GFO30" t="e">
        <v>#N/A</v>
      </c>
      <c r="GFP30" t="e">
        <v>#N/A</v>
      </c>
      <c r="GFQ30" t="e">
        <v>#N/A</v>
      </c>
      <c r="GFR30" t="e">
        <v>#N/A</v>
      </c>
      <c r="GFS30" t="e">
        <v>#N/A</v>
      </c>
      <c r="GFT30" t="e">
        <v>#N/A</v>
      </c>
      <c r="GFU30" t="e">
        <v>#N/A</v>
      </c>
      <c r="GFV30" t="e">
        <v>#N/A</v>
      </c>
      <c r="GFW30" t="e">
        <v>#N/A</v>
      </c>
      <c r="GFX30" t="e">
        <v>#N/A</v>
      </c>
      <c r="GFY30" t="e">
        <v>#N/A</v>
      </c>
      <c r="GFZ30" t="e">
        <v>#N/A</v>
      </c>
      <c r="GGA30" t="e">
        <v>#N/A</v>
      </c>
      <c r="GGB30" t="e">
        <v>#N/A</v>
      </c>
      <c r="GGC30" t="e">
        <v>#N/A</v>
      </c>
      <c r="GGD30" t="e">
        <v>#N/A</v>
      </c>
      <c r="GGE30" t="e">
        <v>#N/A</v>
      </c>
      <c r="GGF30" t="e">
        <v>#N/A</v>
      </c>
      <c r="GGG30" t="e">
        <v>#N/A</v>
      </c>
      <c r="GGH30" t="e">
        <v>#N/A</v>
      </c>
      <c r="GGI30" t="e">
        <v>#N/A</v>
      </c>
      <c r="GGJ30" t="e">
        <v>#N/A</v>
      </c>
      <c r="GGK30" t="e">
        <v>#N/A</v>
      </c>
      <c r="GGL30" t="e">
        <v>#N/A</v>
      </c>
      <c r="GGM30" t="e">
        <v>#N/A</v>
      </c>
      <c r="GGN30" t="e">
        <v>#N/A</v>
      </c>
      <c r="GGO30" t="e">
        <v>#N/A</v>
      </c>
      <c r="GGP30" t="e">
        <v>#N/A</v>
      </c>
      <c r="GGQ30" t="e">
        <v>#N/A</v>
      </c>
      <c r="GGR30" t="e">
        <v>#N/A</v>
      </c>
      <c r="GGS30" t="e">
        <v>#N/A</v>
      </c>
      <c r="GGT30" t="e">
        <v>#N/A</v>
      </c>
      <c r="GGU30" t="e">
        <v>#N/A</v>
      </c>
      <c r="GGV30" t="e">
        <v>#N/A</v>
      </c>
      <c r="GGW30" t="e">
        <v>#N/A</v>
      </c>
      <c r="GGX30" t="e">
        <v>#N/A</v>
      </c>
      <c r="GGY30" t="e">
        <v>#N/A</v>
      </c>
      <c r="GGZ30" t="e">
        <v>#N/A</v>
      </c>
      <c r="GHA30" t="e">
        <v>#N/A</v>
      </c>
      <c r="GHB30" t="e">
        <v>#N/A</v>
      </c>
      <c r="GHC30" t="e">
        <v>#N/A</v>
      </c>
      <c r="GHD30" t="e">
        <v>#N/A</v>
      </c>
      <c r="GHE30" t="e">
        <v>#N/A</v>
      </c>
      <c r="GHF30" t="e">
        <v>#N/A</v>
      </c>
      <c r="GHG30" t="e">
        <v>#N/A</v>
      </c>
      <c r="GHH30" t="e">
        <v>#N/A</v>
      </c>
      <c r="GHI30" t="e">
        <v>#N/A</v>
      </c>
      <c r="GHJ30" t="e">
        <v>#N/A</v>
      </c>
      <c r="GHK30" t="e">
        <v>#N/A</v>
      </c>
      <c r="GHL30" t="e">
        <v>#N/A</v>
      </c>
      <c r="GHM30" t="e">
        <v>#N/A</v>
      </c>
      <c r="GHN30" t="e">
        <v>#N/A</v>
      </c>
      <c r="GHO30" t="e">
        <v>#N/A</v>
      </c>
      <c r="GHP30" t="e">
        <v>#N/A</v>
      </c>
      <c r="GHQ30" t="e">
        <v>#N/A</v>
      </c>
      <c r="GHR30" t="e">
        <v>#N/A</v>
      </c>
      <c r="GHS30" t="e">
        <v>#N/A</v>
      </c>
      <c r="GHT30" t="e">
        <v>#N/A</v>
      </c>
      <c r="GHU30" t="e">
        <v>#N/A</v>
      </c>
      <c r="GHV30" t="e">
        <v>#N/A</v>
      </c>
      <c r="GHW30" t="e">
        <v>#N/A</v>
      </c>
      <c r="GHX30" t="e">
        <v>#N/A</v>
      </c>
      <c r="GHY30" t="e">
        <v>#N/A</v>
      </c>
      <c r="GHZ30" t="e">
        <v>#N/A</v>
      </c>
      <c r="GIA30" t="e">
        <v>#N/A</v>
      </c>
      <c r="GIB30" t="e">
        <v>#N/A</v>
      </c>
      <c r="GIC30" t="e">
        <v>#N/A</v>
      </c>
      <c r="GID30" t="e">
        <v>#N/A</v>
      </c>
      <c r="GIE30" t="e">
        <v>#N/A</v>
      </c>
      <c r="GIF30" t="e">
        <v>#N/A</v>
      </c>
      <c r="GIG30" t="e">
        <v>#N/A</v>
      </c>
      <c r="GIH30" t="e">
        <v>#N/A</v>
      </c>
      <c r="GII30" t="e">
        <v>#N/A</v>
      </c>
      <c r="GIJ30" t="e">
        <v>#N/A</v>
      </c>
      <c r="GIK30" t="e">
        <v>#N/A</v>
      </c>
      <c r="GIL30" t="e">
        <v>#N/A</v>
      </c>
      <c r="GIM30" t="e">
        <v>#N/A</v>
      </c>
      <c r="GIN30" t="e">
        <v>#N/A</v>
      </c>
      <c r="GIO30" t="e">
        <v>#N/A</v>
      </c>
      <c r="GIP30" t="e">
        <v>#N/A</v>
      </c>
      <c r="GIQ30" t="e">
        <v>#N/A</v>
      </c>
      <c r="GIR30" t="e">
        <v>#N/A</v>
      </c>
      <c r="GIS30" t="e">
        <v>#N/A</v>
      </c>
      <c r="GIT30" t="e">
        <v>#N/A</v>
      </c>
      <c r="GIU30" t="e">
        <v>#N/A</v>
      </c>
      <c r="GIV30" t="e">
        <v>#N/A</v>
      </c>
      <c r="GIW30" t="e">
        <v>#N/A</v>
      </c>
      <c r="GIX30" t="e">
        <v>#N/A</v>
      </c>
      <c r="GIY30" t="e">
        <v>#N/A</v>
      </c>
      <c r="GIZ30" t="e">
        <v>#N/A</v>
      </c>
      <c r="GJA30" t="e">
        <v>#N/A</v>
      </c>
      <c r="GJB30" t="e">
        <v>#N/A</v>
      </c>
      <c r="GJC30" t="e">
        <v>#N/A</v>
      </c>
      <c r="GJD30" t="e">
        <v>#N/A</v>
      </c>
      <c r="GJE30" t="e">
        <v>#N/A</v>
      </c>
      <c r="GJF30" t="e">
        <v>#N/A</v>
      </c>
      <c r="GJG30" t="e">
        <v>#N/A</v>
      </c>
      <c r="GJH30" t="e">
        <v>#N/A</v>
      </c>
      <c r="GJI30" t="e">
        <v>#N/A</v>
      </c>
      <c r="GJJ30" t="e">
        <v>#N/A</v>
      </c>
      <c r="GJK30" t="e">
        <v>#N/A</v>
      </c>
      <c r="GJL30" t="e">
        <v>#N/A</v>
      </c>
      <c r="GJM30" t="e">
        <v>#N/A</v>
      </c>
      <c r="GJN30" t="e">
        <v>#N/A</v>
      </c>
      <c r="GJO30" t="e">
        <v>#N/A</v>
      </c>
      <c r="GJP30" t="e">
        <v>#N/A</v>
      </c>
      <c r="GJQ30" t="e">
        <v>#N/A</v>
      </c>
      <c r="GJR30" t="e">
        <v>#N/A</v>
      </c>
      <c r="GJS30" t="e">
        <v>#N/A</v>
      </c>
      <c r="GJT30" t="e">
        <v>#N/A</v>
      </c>
      <c r="GJU30" t="e">
        <v>#N/A</v>
      </c>
      <c r="GJV30" t="e">
        <v>#N/A</v>
      </c>
      <c r="GJW30" t="e">
        <v>#N/A</v>
      </c>
      <c r="GJX30" t="e">
        <v>#N/A</v>
      </c>
      <c r="GJY30" t="e">
        <v>#N/A</v>
      </c>
      <c r="GJZ30" t="e">
        <v>#N/A</v>
      </c>
      <c r="GKA30" t="e">
        <v>#N/A</v>
      </c>
      <c r="GKB30" t="e">
        <v>#N/A</v>
      </c>
      <c r="GKC30" t="e">
        <v>#N/A</v>
      </c>
      <c r="GKD30" t="e">
        <v>#N/A</v>
      </c>
      <c r="GKE30" t="e">
        <v>#N/A</v>
      </c>
      <c r="GKF30" t="e">
        <v>#N/A</v>
      </c>
      <c r="GKG30" t="e">
        <v>#N/A</v>
      </c>
      <c r="GKH30" t="e">
        <v>#N/A</v>
      </c>
      <c r="GKI30" t="e">
        <v>#N/A</v>
      </c>
      <c r="GKJ30" t="e">
        <v>#N/A</v>
      </c>
      <c r="GKK30" t="e">
        <v>#N/A</v>
      </c>
      <c r="GKL30" t="e">
        <v>#N/A</v>
      </c>
      <c r="GKM30" t="e">
        <v>#N/A</v>
      </c>
      <c r="GKN30" t="e">
        <v>#N/A</v>
      </c>
      <c r="GKO30" t="e">
        <v>#N/A</v>
      </c>
      <c r="GKP30" t="e">
        <v>#N/A</v>
      </c>
      <c r="GKQ30" t="e">
        <v>#N/A</v>
      </c>
      <c r="GKR30" t="e">
        <v>#N/A</v>
      </c>
      <c r="GKS30" t="e">
        <v>#N/A</v>
      </c>
      <c r="GKT30" t="e">
        <v>#N/A</v>
      </c>
      <c r="GKU30" t="e">
        <v>#N/A</v>
      </c>
      <c r="GKV30" t="e">
        <v>#N/A</v>
      </c>
      <c r="GKW30" t="e">
        <v>#N/A</v>
      </c>
      <c r="GKX30" t="e">
        <v>#N/A</v>
      </c>
      <c r="GKY30" t="e">
        <v>#N/A</v>
      </c>
      <c r="GKZ30" t="e">
        <v>#N/A</v>
      </c>
      <c r="GLA30" t="e">
        <v>#N/A</v>
      </c>
      <c r="GLB30" t="e">
        <v>#N/A</v>
      </c>
      <c r="GLC30" t="e">
        <v>#N/A</v>
      </c>
      <c r="GLD30" t="e">
        <v>#N/A</v>
      </c>
      <c r="GLE30" t="e">
        <v>#N/A</v>
      </c>
      <c r="GLF30" t="e">
        <v>#N/A</v>
      </c>
      <c r="GLG30" t="e">
        <v>#N/A</v>
      </c>
      <c r="GLH30" t="e">
        <v>#N/A</v>
      </c>
      <c r="GLI30" t="e">
        <v>#N/A</v>
      </c>
      <c r="GLJ30" t="e">
        <v>#N/A</v>
      </c>
      <c r="GLK30" t="e">
        <v>#N/A</v>
      </c>
      <c r="GLL30" t="e">
        <v>#N/A</v>
      </c>
      <c r="GLM30" t="e">
        <v>#N/A</v>
      </c>
      <c r="GLN30" t="e">
        <v>#N/A</v>
      </c>
      <c r="GLO30" t="e">
        <v>#N/A</v>
      </c>
      <c r="GLP30" t="e">
        <v>#N/A</v>
      </c>
      <c r="GLQ30" t="e">
        <v>#N/A</v>
      </c>
      <c r="GLR30" t="e">
        <v>#N/A</v>
      </c>
      <c r="GLS30" t="e">
        <v>#N/A</v>
      </c>
      <c r="GLT30" t="e">
        <v>#N/A</v>
      </c>
      <c r="GLU30" t="e">
        <v>#N/A</v>
      </c>
      <c r="GLV30" t="e">
        <v>#N/A</v>
      </c>
      <c r="GLW30" t="e">
        <v>#N/A</v>
      </c>
      <c r="GLX30" t="e">
        <v>#N/A</v>
      </c>
      <c r="GLY30" t="e">
        <v>#N/A</v>
      </c>
      <c r="GLZ30" t="e">
        <v>#N/A</v>
      </c>
      <c r="GMA30" t="e">
        <v>#N/A</v>
      </c>
      <c r="GMB30" t="e">
        <v>#N/A</v>
      </c>
      <c r="GMC30" t="e">
        <v>#N/A</v>
      </c>
      <c r="GMD30" t="e">
        <v>#N/A</v>
      </c>
      <c r="GME30" t="e">
        <v>#N/A</v>
      </c>
      <c r="GMF30" t="e">
        <v>#N/A</v>
      </c>
      <c r="GMG30" t="e">
        <v>#N/A</v>
      </c>
      <c r="GMH30" t="e">
        <v>#N/A</v>
      </c>
      <c r="GMI30" t="e">
        <v>#N/A</v>
      </c>
      <c r="GMJ30" t="e">
        <v>#N/A</v>
      </c>
      <c r="GMK30" t="e">
        <v>#N/A</v>
      </c>
      <c r="GML30" t="e">
        <v>#N/A</v>
      </c>
      <c r="GMM30" t="e">
        <v>#N/A</v>
      </c>
      <c r="GMN30" t="e">
        <v>#N/A</v>
      </c>
      <c r="GMO30" t="e">
        <v>#N/A</v>
      </c>
      <c r="GMP30" t="e">
        <v>#N/A</v>
      </c>
      <c r="GMQ30" t="e">
        <v>#N/A</v>
      </c>
      <c r="GMR30" t="e">
        <v>#N/A</v>
      </c>
      <c r="GMS30" t="e">
        <v>#N/A</v>
      </c>
      <c r="GMT30" t="e">
        <v>#N/A</v>
      </c>
      <c r="GMU30" t="e">
        <v>#N/A</v>
      </c>
      <c r="GMV30" t="e">
        <v>#N/A</v>
      </c>
      <c r="GMW30" t="e">
        <v>#N/A</v>
      </c>
      <c r="GMX30" t="e">
        <v>#N/A</v>
      </c>
      <c r="GMY30" t="e">
        <v>#N/A</v>
      </c>
      <c r="GMZ30" t="e">
        <v>#N/A</v>
      </c>
      <c r="GNA30" t="e">
        <v>#N/A</v>
      </c>
      <c r="GNB30" t="e">
        <v>#N/A</v>
      </c>
      <c r="GNC30" t="e">
        <v>#N/A</v>
      </c>
      <c r="GND30" t="e">
        <v>#N/A</v>
      </c>
      <c r="GNE30" t="e">
        <v>#N/A</v>
      </c>
      <c r="GNF30" t="e">
        <v>#N/A</v>
      </c>
      <c r="GNG30" t="e">
        <v>#N/A</v>
      </c>
      <c r="GNH30" t="e">
        <v>#N/A</v>
      </c>
      <c r="GNI30" t="e">
        <v>#N/A</v>
      </c>
      <c r="GNJ30" t="e">
        <v>#N/A</v>
      </c>
      <c r="GNK30" t="e">
        <v>#N/A</v>
      </c>
      <c r="GNL30" t="e">
        <v>#N/A</v>
      </c>
      <c r="GNM30" t="e">
        <v>#N/A</v>
      </c>
      <c r="GNN30" t="e">
        <v>#N/A</v>
      </c>
      <c r="GNO30" t="e">
        <v>#N/A</v>
      </c>
      <c r="GNP30" t="e">
        <v>#N/A</v>
      </c>
      <c r="GNQ30" t="e">
        <v>#N/A</v>
      </c>
      <c r="GNR30" t="e">
        <v>#N/A</v>
      </c>
      <c r="GNS30" t="e">
        <v>#N/A</v>
      </c>
      <c r="GNT30" t="e">
        <v>#N/A</v>
      </c>
      <c r="GNU30" t="e">
        <v>#N/A</v>
      </c>
      <c r="GNV30" t="e">
        <v>#N/A</v>
      </c>
      <c r="GNW30" t="e">
        <v>#N/A</v>
      </c>
      <c r="GNX30" t="e">
        <v>#N/A</v>
      </c>
      <c r="GNY30" t="e">
        <v>#N/A</v>
      </c>
      <c r="GNZ30" t="e">
        <v>#N/A</v>
      </c>
      <c r="GOA30" t="e">
        <v>#N/A</v>
      </c>
      <c r="GOB30" t="e">
        <v>#N/A</v>
      </c>
      <c r="GOC30" t="e">
        <v>#N/A</v>
      </c>
      <c r="GOD30" t="e">
        <v>#N/A</v>
      </c>
      <c r="GOE30" t="e">
        <v>#N/A</v>
      </c>
      <c r="GOF30" t="e">
        <v>#N/A</v>
      </c>
      <c r="GOG30" t="e">
        <v>#N/A</v>
      </c>
      <c r="GOH30" t="e">
        <v>#N/A</v>
      </c>
      <c r="GOI30" t="e">
        <v>#N/A</v>
      </c>
      <c r="GOJ30" t="e">
        <v>#N/A</v>
      </c>
      <c r="GOK30" t="e">
        <v>#N/A</v>
      </c>
      <c r="GOL30" t="e">
        <v>#N/A</v>
      </c>
      <c r="GOM30" t="e">
        <v>#N/A</v>
      </c>
      <c r="GON30" t="e">
        <v>#N/A</v>
      </c>
      <c r="GOO30" t="e">
        <v>#N/A</v>
      </c>
      <c r="GOP30" t="e">
        <v>#N/A</v>
      </c>
      <c r="GOQ30" t="e">
        <v>#N/A</v>
      </c>
      <c r="GOR30" t="e">
        <v>#N/A</v>
      </c>
      <c r="GOS30" t="e">
        <v>#N/A</v>
      </c>
      <c r="GOT30" t="e">
        <v>#N/A</v>
      </c>
      <c r="GOU30" t="e">
        <v>#N/A</v>
      </c>
      <c r="GOV30" t="e">
        <v>#N/A</v>
      </c>
      <c r="GOW30" t="e">
        <v>#N/A</v>
      </c>
      <c r="GOX30" t="e">
        <v>#N/A</v>
      </c>
      <c r="GOY30" t="e">
        <v>#N/A</v>
      </c>
      <c r="GOZ30" t="e">
        <v>#N/A</v>
      </c>
      <c r="GPA30" t="e">
        <v>#N/A</v>
      </c>
      <c r="GPB30" t="e">
        <v>#N/A</v>
      </c>
      <c r="GPC30" t="e">
        <v>#N/A</v>
      </c>
      <c r="GPD30" t="e">
        <v>#N/A</v>
      </c>
      <c r="GPE30" t="e">
        <v>#N/A</v>
      </c>
      <c r="GPF30" t="e">
        <v>#N/A</v>
      </c>
      <c r="GPG30" t="e">
        <v>#N/A</v>
      </c>
      <c r="GPH30" t="e">
        <v>#N/A</v>
      </c>
      <c r="GPI30" t="e">
        <v>#N/A</v>
      </c>
      <c r="GPJ30" t="e">
        <v>#N/A</v>
      </c>
      <c r="GPK30" t="e">
        <v>#N/A</v>
      </c>
      <c r="GPL30" t="e">
        <v>#N/A</v>
      </c>
      <c r="GPM30" t="e">
        <v>#N/A</v>
      </c>
      <c r="GPN30" t="e">
        <v>#N/A</v>
      </c>
      <c r="GPO30" t="e">
        <v>#N/A</v>
      </c>
      <c r="GPP30" t="e">
        <v>#N/A</v>
      </c>
      <c r="GPQ30" t="e">
        <v>#N/A</v>
      </c>
      <c r="GPR30" t="e">
        <v>#N/A</v>
      </c>
      <c r="GPS30" t="e">
        <v>#N/A</v>
      </c>
      <c r="GPT30" t="e">
        <v>#N/A</v>
      </c>
      <c r="GPU30" t="e">
        <v>#N/A</v>
      </c>
      <c r="GPV30" t="e">
        <v>#N/A</v>
      </c>
      <c r="GPW30" t="e">
        <v>#N/A</v>
      </c>
      <c r="GPX30" t="e">
        <v>#N/A</v>
      </c>
      <c r="GPY30" t="e">
        <v>#N/A</v>
      </c>
      <c r="GPZ30" t="e">
        <v>#N/A</v>
      </c>
      <c r="GQA30" t="e">
        <v>#N/A</v>
      </c>
      <c r="GQB30" t="e">
        <v>#N/A</v>
      </c>
      <c r="GQC30" t="e">
        <v>#N/A</v>
      </c>
      <c r="GQD30" t="e">
        <v>#N/A</v>
      </c>
      <c r="GQE30" t="e">
        <v>#N/A</v>
      </c>
      <c r="GQF30" t="e">
        <v>#N/A</v>
      </c>
      <c r="GQG30" t="e">
        <v>#N/A</v>
      </c>
      <c r="GQH30" t="e">
        <v>#N/A</v>
      </c>
      <c r="GQI30" t="e">
        <v>#N/A</v>
      </c>
      <c r="GQJ30" t="e">
        <v>#N/A</v>
      </c>
      <c r="GQK30" t="e">
        <v>#N/A</v>
      </c>
      <c r="GQL30" t="e">
        <v>#N/A</v>
      </c>
      <c r="GQM30" t="e">
        <v>#N/A</v>
      </c>
      <c r="GQN30" t="e">
        <v>#N/A</v>
      </c>
      <c r="GQO30" t="e">
        <v>#N/A</v>
      </c>
      <c r="GQP30" t="e">
        <v>#N/A</v>
      </c>
      <c r="GQQ30" t="e">
        <v>#N/A</v>
      </c>
      <c r="GQR30" t="e">
        <v>#N/A</v>
      </c>
      <c r="GQS30" t="e">
        <v>#N/A</v>
      </c>
      <c r="GQT30" t="e">
        <v>#N/A</v>
      </c>
      <c r="GQU30" t="e">
        <v>#N/A</v>
      </c>
      <c r="GQV30" t="e">
        <v>#N/A</v>
      </c>
      <c r="GQW30" t="e">
        <v>#N/A</v>
      </c>
      <c r="GQX30" t="e">
        <v>#N/A</v>
      </c>
      <c r="GQY30" t="e">
        <v>#N/A</v>
      </c>
      <c r="GQZ30" t="e">
        <v>#N/A</v>
      </c>
      <c r="GRA30" t="e">
        <v>#N/A</v>
      </c>
      <c r="GRB30" t="e">
        <v>#N/A</v>
      </c>
      <c r="GRC30" t="e">
        <v>#N/A</v>
      </c>
      <c r="GRD30" t="e">
        <v>#N/A</v>
      </c>
      <c r="GRE30" t="e">
        <v>#N/A</v>
      </c>
      <c r="GRF30" t="e">
        <v>#N/A</v>
      </c>
      <c r="GRG30" t="e">
        <v>#N/A</v>
      </c>
      <c r="GRH30" t="e">
        <v>#N/A</v>
      </c>
      <c r="GRI30" t="e">
        <v>#N/A</v>
      </c>
      <c r="GRJ30" t="e">
        <v>#N/A</v>
      </c>
      <c r="GRK30" t="e">
        <v>#N/A</v>
      </c>
      <c r="GRL30" t="e">
        <v>#N/A</v>
      </c>
      <c r="GRM30" t="e">
        <v>#N/A</v>
      </c>
      <c r="GRN30" t="e">
        <v>#N/A</v>
      </c>
      <c r="GRO30" t="e">
        <v>#N/A</v>
      </c>
      <c r="GRP30" t="e">
        <v>#N/A</v>
      </c>
      <c r="GRQ30" t="e">
        <v>#N/A</v>
      </c>
      <c r="GRR30" t="e">
        <v>#N/A</v>
      </c>
      <c r="GRS30" t="e">
        <v>#N/A</v>
      </c>
      <c r="GRT30" t="e">
        <v>#N/A</v>
      </c>
      <c r="GRU30" t="e">
        <v>#N/A</v>
      </c>
      <c r="GRV30" t="e">
        <v>#N/A</v>
      </c>
      <c r="GRW30" t="e">
        <v>#N/A</v>
      </c>
      <c r="GRX30" t="e">
        <v>#N/A</v>
      </c>
      <c r="GRY30" t="e">
        <v>#N/A</v>
      </c>
      <c r="GRZ30" t="e">
        <v>#N/A</v>
      </c>
      <c r="GSA30" t="e">
        <v>#N/A</v>
      </c>
      <c r="GSB30" t="e">
        <v>#N/A</v>
      </c>
      <c r="GSC30" t="e">
        <v>#N/A</v>
      </c>
      <c r="GSD30" t="e">
        <v>#N/A</v>
      </c>
      <c r="GSE30" t="e">
        <v>#N/A</v>
      </c>
      <c r="GSF30" t="e">
        <v>#N/A</v>
      </c>
      <c r="GSG30" t="e">
        <v>#N/A</v>
      </c>
      <c r="GSH30" t="e">
        <v>#N/A</v>
      </c>
      <c r="GSI30" t="e">
        <v>#N/A</v>
      </c>
      <c r="GSJ30" t="e">
        <v>#N/A</v>
      </c>
      <c r="GSK30" t="e">
        <v>#N/A</v>
      </c>
      <c r="GSL30" t="e">
        <v>#N/A</v>
      </c>
      <c r="GSM30" t="e">
        <v>#N/A</v>
      </c>
      <c r="GSN30" t="e">
        <v>#N/A</v>
      </c>
      <c r="GSO30" t="e">
        <v>#N/A</v>
      </c>
      <c r="GSP30" t="e">
        <v>#N/A</v>
      </c>
      <c r="GSQ30" t="e">
        <v>#N/A</v>
      </c>
      <c r="GSR30" t="e">
        <v>#N/A</v>
      </c>
      <c r="GSS30" t="e">
        <v>#N/A</v>
      </c>
      <c r="GST30" t="e">
        <v>#N/A</v>
      </c>
      <c r="GSU30" t="e">
        <v>#N/A</v>
      </c>
      <c r="GSV30" t="e">
        <v>#N/A</v>
      </c>
      <c r="GSW30" t="e">
        <v>#N/A</v>
      </c>
      <c r="GSX30" t="e">
        <v>#N/A</v>
      </c>
      <c r="GSY30" t="e">
        <v>#N/A</v>
      </c>
      <c r="GSZ30" t="e">
        <v>#N/A</v>
      </c>
      <c r="GTA30" t="e">
        <v>#N/A</v>
      </c>
      <c r="GTB30" t="e">
        <v>#N/A</v>
      </c>
      <c r="GTC30" t="e">
        <v>#N/A</v>
      </c>
      <c r="GTD30" t="e">
        <v>#N/A</v>
      </c>
      <c r="GTE30" t="e">
        <v>#N/A</v>
      </c>
      <c r="GTF30" t="e">
        <v>#N/A</v>
      </c>
      <c r="GTG30" t="e">
        <v>#N/A</v>
      </c>
      <c r="GTH30" t="e">
        <v>#N/A</v>
      </c>
      <c r="GTI30" t="e">
        <v>#N/A</v>
      </c>
      <c r="GTJ30" t="e">
        <v>#N/A</v>
      </c>
      <c r="GTK30" t="e">
        <v>#N/A</v>
      </c>
      <c r="GTL30" t="e">
        <v>#N/A</v>
      </c>
      <c r="GTM30" t="e">
        <v>#N/A</v>
      </c>
      <c r="GTN30" t="e">
        <v>#N/A</v>
      </c>
      <c r="GTO30" t="e">
        <v>#N/A</v>
      </c>
      <c r="GTP30" t="e">
        <v>#N/A</v>
      </c>
      <c r="GTQ30" t="e">
        <v>#N/A</v>
      </c>
      <c r="GTR30" t="e">
        <v>#N/A</v>
      </c>
      <c r="GTS30" t="e">
        <v>#N/A</v>
      </c>
      <c r="GTT30" t="e">
        <v>#N/A</v>
      </c>
      <c r="GTU30" t="e">
        <v>#N/A</v>
      </c>
      <c r="GTV30" t="e">
        <v>#N/A</v>
      </c>
      <c r="GTW30" t="e">
        <v>#N/A</v>
      </c>
      <c r="GTX30" t="e">
        <v>#N/A</v>
      </c>
      <c r="GTY30" t="e">
        <v>#N/A</v>
      </c>
      <c r="GTZ30" t="e">
        <v>#N/A</v>
      </c>
      <c r="GUA30" t="e">
        <v>#N/A</v>
      </c>
      <c r="GUB30" t="e">
        <v>#N/A</v>
      </c>
      <c r="GUC30" t="e">
        <v>#N/A</v>
      </c>
      <c r="GUD30" t="e">
        <v>#N/A</v>
      </c>
      <c r="GUE30" t="e">
        <v>#N/A</v>
      </c>
      <c r="GUF30" t="e">
        <v>#N/A</v>
      </c>
      <c r="GUG30" t="e">
        <v>#N/A</v>
      </c>
      <c r="GUH30" t="e">
        <v>#N/A</v>
      </c>
      <c r="GUI30" t="e">
        <v>#N/A</v>
      </c>
      <c r="GUJ30" t="e">
        <v>#N/A</v>
      </c>
      <c r="GUK30" t="e">
        <v>#N/A</v>
      </c>
      <c r="GUL30" t="e">
        <v>#N/A</v>
      </c>
      <c r="GUM30" t="e">
        <v>#N/A</v>
      </c>
      <c r="GUN30" t="e">
        <v>#N/A</v>
      </c>
      <c r="GUO30" t="e">
        <v>#N/A</v>
      </c>
      <c r="GUP30" t="e">
        <v>#N/A</v>
      </c>
      <c r="GUQ30" t="e">
        <v>#N/A</v>
      </c>
      <c r="GUR30" t="e">
        <v>#N/A</v>
      </c>
      <c r="GUS30" t="e">
        <v>#N/A</v>
      </c>
      <c r="GUT30" t="e">
        <v>#N/A</v>
      </c>
      <c r="GUU30" t="e">
        <v>#N/A</v>
      </c>
      <c r="GUV30" t="e">
        <v>#N/A</v>
      </c>
      <c r="GUW30" t="e">
        <v>#N/A</v>
      </c>
      <c r="GUX30" t="e">
        <v>#N/A</v>
      </c>
      <c r="GUY30" t="e">
        <v>#N/A</v>
      </c>
      <c r="GUZ30" t="e">
        <v>#N/A</v>
      </c>
      <c r="GVA30" t="e">
        <v>#N/A</v>
      </c>
      <c r="GVB30" t="e">
        <v>#N/A</v>
      </c>
      <c r="GVC30" t="e">
        <v>#N/A</v>
      </c>
      <c r="GVD30" t="e">
        <v>#N/A</v>
      </c>
      <c r="GVE30" t="e">
        <v>#N/A</v>
      </c>
      <c r="GVF30" t="e">
        <v>#N/A</v>
      </c>
      <c r="GVG30" t="e">
        <v>#N/A</v>
      </c>
      <c r="GVH30" t="e">
        <v>#N/A</v>
      </c>
      <c r="GVI30" t="e">
        <v>#N/A</v>
      </c>
      <c r="GVJ30" t="e">
        <v>#N/A</v>
      </c>
      <c r="GVK30" t="e">
        <v>#N/A</v>
      </c>
      <c r="GVL30" t="e">
        <v>#N/A</v>
      </c>
      <c r="GVM30" t="e">
        <v>#N/A</v>
      </c>
      <c r="GVN30" t="e">
        <v>#N/A</v>
      </c>
      <c r="GVO30" t="e">
        <v>#N/A</v>
      </c>
      <c r="GVP30" t="e">
        <v>#N/A</v>
      </c>
      <c r="GVQ30" t="e">
        <v>#N/A</v>
      </c>
      <c r="GVR30" t="e">
        <v>#N/A</v>
      </c>
      <c r="GVS30" t="e">
        <v>#N/A</v>
      </c>
      <c r="GVT30" t="e">
        <v>#N/A</v>
      </c>
      <c r="GVU30" t="e">
        <v>#N/A</v>
      </c>
      <c r="GVV30" t="e">
        <v>#N/A</v>
      </c>
      <c r="GVW30" t="e">
        <v>#N/A</v>
      </c>
      <c r="GVX30" t="e">
        <v>#N/A</v>
      </c>
      <c r="GVY30" t="e">
        <v>#N/A</v>
      </c>
      <c r="GVZ30" t="e">
        <v>#N/A</v>
      </c>
      <c r="GWA30" t="e">
        <v>#N/A</v>
      </c>
      <c r="GWB30" t="e">
        <v>#N/A</v>
      </c>
      <c r="GWC30" t="e">
        <v>#N/A</v>
      </c>
      <c r="GWD30" t="e">
        <v>#N/A</v>
      </c>
      <c r="GWE30" t="e">
        <v>#N/A</v>
      </c>
      <c r="GWF30" t="e">
        <v>#N/A</v>
      </c>
      <c r="GWG30" t="e">
        <v>#N/A</v>
      </c>
      <c r="GWH30" t="e">
        <v>#N/A</v>
      </c>
      <c r="GWI30" t="e">
        <v>#N/A</v>
      </c>
      <c r="GWJ30" t="e">
        <v>#N/A</v>
      </c>
      <c r="GWK30" t="e">
        <v>#N/A</v>
      </c>
      <c r="GWL30" t="e">
        <v>#N/A</v>
      </c>
      <c r="GWM30" t="e">
        <v>#N/A</v>
      </c>
      <c r="GWN30" t="e">
        <v>#N/A</v>
      </c>
      <c r="GWO30" t="e">
        <v>#N/A</v>
      </c>
      <c r="GWP30" t="e">
        <v>#N/A</v>
      </c>
      <c r="GWQ30" t="e">
        <v>#N/A</v>
      </c>
      <c r="GWR30" t="e">
        <v>#N/A</v>
      </c>
      <c r="GWS30" t="e">
        <v>#N/A</v>
      </c>
      <c r="GWT30" t="e">
        <v>#N/A</v>
      </c>
      <c r="GWU30" t="e">
        <v>#N/A</v>
      </c>
      <c r="GWV30" t="e">
        <v>#N/A</v>
      </c>
      <c r="GWW30" t="e">
        <v>#N/A</v>
      </c>
      <c r="GWX30" t="e">
        <v>#N/A</v>
      </c>
      <c r="GWY30" t="e">
        <v>#N/A</v>
      </c>
      <c r="GWZ30" t="e">
        <v>#N/A</v>
      </c>
      <c r="GXA30" t="e">
        <v>#N/A</v>
      </c>
      <c r="GXB30" t="e">
        <v>#N/A</v>
      </c>
      <c r="GXC30" t="e">
        <v>#N/A</v>
      </c>
      <c r="GXD30" t="e">
        <v>#N/A</v>
      </c>
      <c r="GXE30" t="e">
        <v>#N/A</v>
      </c>
      <c r="GXF30" t="e">
        <v>#N/A</v>
      </c>
      <c r="GXG30" t="e">
        <v>#N/A</v>
      </c>
      <c r="GXH30" t="e">
        <v>#N/A</v>
      </c>
      <c r="GXI30" t="e">
        <v>#N/A</v>
      </c>
      <c r="GXJ30" t="e">
        <v>#N/A</v>
      </c>
      <c r="GXK30" t="e">
        <v>#N/A</v>
      </c>
      <c r="GXL30" t="e">
        <v>#N/A</v>
      </c>
      <c r="GXM30" t="e">
        <v>#N/A</v>
      </c>
      <c r="GXN30" t="e">
        <v>#N/A</v>
      </c>
      <c r="GXO30" t="e">
        <v>#N/A</v>
      </c>
      <c r="GXP30" t="e">
        <v>#N/A</v>
      </c>
      <c r="GXQ30" t="e">
        <v>#N/A</v>
      </c>
      <c r="GXR30" t="e">
        <v>#N/A</v>
      </c>
      <c r="GXS30" t="e">
        <v>#N/A</v>
      </c>
      <c r="GXT30" t="e">
        <v>#N/A</v>
      </c>
      <c r="GXU30" t="e">
        <v>#N/A</v>
      </c>
      <c r="GXV30" t="e">
        <v>#N/A</v>
      </c>
      <c r="GXW30" t="e">
        <v>#N/A</v>
      </c>
      <c r="GXX30" t="e">
        <v>#N/A</v>
      </c>
      <c r="GXY30" t="e">
        <v>#N/A</v>
      </c>
      <c r="GXZ30" t="e">
        <v>#N/A</v>
      </c>
      <c r="GYA30" t="e">
        <v>#N/A</v>
      </c>
      <c r="GYB30" t="e">
        <v>#N/A</v>
      </c>
      <c r="GYC30" t="e">
        <v>#N/A</v>
      </c>
      <c r="GYD30" t="e">
        <v>#N/A</v>
      </c>
      <c r="GYE30" t="e">
        <v>#N/A</v>
      </c>
      <c r="GYF30" t="e">
        <v>#N/A</v>
      </c>
      <c r="GYG30" t="e">
        <v>#N/A</v>
      </c>
      <c r="GYH30" t="e">
        <v>#N/A</v>
      </c>
      <c r="GYI30" t="e">
        <v>#N/A</v>
      </c>
      <c r="GYJ30" t="e">
        <v>#N/A</v>
      </c>
      <c r="GYK30" t="e">
        <v>#N/A</v>
      </c>
      <c r="GYL30" t="e">
        <v>#N/A</v>
      </c>
      <c r="GYM30" t="e">
        <v>#N/A</v>
      </c>
      <c r="GYN30" t="e">
        <v>#N/A</v>
      </c>
      <c r="GYO30" t="e">
        <v>#N/A</v>
      </c>
      <c r="GYP30" t="e">
        <v>#N/A</v>
      </c>
      <c r="GYQ30" t="e">
        <v>#N/A</v>
      </c>
      <c r="GYR30" t="e">
        <v>#N/A</v>
      </c>
      <c r="GYS30" t="e">
        <v>#N/A</v>
      </c>
      <c r="GYT30" t="e">
        <v>#N/A</v>
      </c>
      <c r="GYU30" t="e">
        <v>#N/A</v>
      </c>
      <c r="GYV30" t="e">
        <v>#N/A</v>
      </c>
      <c r="GYW30" t="e">
        <v>#N/A</v>
      </c>
      <c r="GYX30" t="e">
        <v>#N/A</v>
      </c>
      <c r="GYY30" t="e">
        <v>#N/A</v>
      </c>
      <c r="GYZ30" t="e">
        <v>#N/A</v>
      </c>
      <c r="GZA30" t="e">
        <v>#N/A</v>
      </c>
      <c r="GZB30" t="e">
        <v>#N/A</v>
      </c>
      <c r="GZC30" t="e">
        <v>#N/A</v>
      </c>
      <c r="GZD30" t="e">
        <v>#N/A</v>
      </c>
      <c r="GZE30" t="e">
        <v>#N/A</v>
      </c>
      <c r="GZF30" t="e">
        <v>#N/A</v>
      </c>
      <c r="GZG30" t="e">
        <v>#N/A</v>
      </c>
      <c r="GZH30" t="e">
        <v>#N/A</v>
      </c>
      <c r="GZI30" t="e">
        <v>#N/A</v>
      </c>
      <c r="GZJ30" t="e">
        <v>#N/A</v>
      </c>
      <c r="GZK30" t="e">
        <v>#N/A</v>
      </c>
      <c r="GZL30" t="e">
        <v>#N/A</v>
      </c>
      <c r="GZM30" t="e">
        <v>#N/A</v>
      </c>
      <c r="GZN30" t="e">
        <v>#N/A</v>
      </c>
      <c r="GZO30" t="e">
        <v>#N/A</v>
      </c>
      <c r="GZP30" t="e">
        <v>#N/A</v>
      </c>
      <c r="GZQ30" t="e">
        <v>#N/A</v>
      </c>
      <c r="GZR30" t="e">
        <v>#N/A</v>
      </c>
      <c r="GZS30" t="e">
        <v>#N/A</v>
      </c>
      <c r="GZT30" t="e">
        <v>#N/A</v>
      </c>
      <c r="GZU30" t="e">
        <v>#N/A</v>
      </c>
      <c r="GZV30" t="e">
        <v>#N/A</v>
      </c>
      <c r="GZW30" t="e">
        <v>#N/A</v>
      </c>
      <c r="GZX30" t="e">
        <v>#N/A</v>
      </c>
      <c r="GZY30" t="e">
        <v>#N/A</v>
      </c>
      <c r="GZZ30" t="e">
        <v>#N/A</v>
      </c>
      <c r="HAA30" t="e">
        <v>#N/A</v>
      </c>
      <c r="HAB30" t="e">
        <v>#N/A</v>
      </c>
      <c r="HAC30" t="e">
        <v>#N/A</v>
      </c>
      <c r="HAD30" t="e">
        <v>#N/A</v>
      </c>
      <c r="HAE30" t="e">
        <v>#N/A</v>
      </c>
      <c r="HAF30" t="e">
        <v>#N/A</v>
      </c>
      <c r="HAG30" t="e">
        <v>#N/A</v>
      </c>
      <c r="HAH30" t="e">
        <v>#N/A</v>
      </c>
      <c r="HAI30" t="e">
        <v>#N/A</v>
      </c>
      <c r="HAJ30" t="e">
        <v>#N/A</v>
      </c>
      <c r="HAK30" t="e">
        <v>#N/A</v>
      </c>
      <c r="HAL30" t="e">
        <v>#N/A</v>
      </c>
      <c r="HAM30" t="e">
        <v>#N/A</v>
      </c>
      <c r="HAN30" t="e">
        <v>#N/A</v>
      </c>
      <c r="HAO30" t="e">
        <v>#N/A</v>
      </c>
      <c r="HAP30" t="e">
        <v>#N/A</v>
      </c>
      <c r="HAQ30" t="e">
        <v>#N/A</v>
      </c>
      <c r="HAR30" t="e">
        <v>#N/A</v>
      </c>
      <c r="HAS30" t="e">
        <v>#N/A</v>
      </c>
      <c r="HAT30" t="e">
        <v>#N/A</v>
      </c>
      <c r="HAU30" t="e">
        <v>#N/A</v>
      </c>
      <c r="HAV30" t="e">
        <v>#N/A</v>
      </c>
      <c r="HAW30" t="e">
        <v>#N/A</v>
      </c>
      <c r="HAX30" t="e">
        <v>#N/A</v>
      </c>
      <c r="HAY30" t="e">
        <v>#N/A</v>
      </c>
      <c r="HAZ30" t="e">
        <v>#N/A</v>
      </c>
      <c r="HBA30" t="e">
        <v>#N/A</v>
      </c>
      <c r="HBB30" t="e">
        <v>#N/A</v>
      </c>
      <c r="HBC30" t="e">
        <v>#N/A</v>
      </c>
      <c r="HBD30" t="e">
        <v>#N/A</v>
      </c>
      <c r="HBE30" t="e">
        <v>#N/A</v>
      </c>
      <c r="HBF30" t="e">
        <v>#N/A</v>
      </c>
      <c r="HBG30" t="e">
        <v>#N/A</v>
      </c>
      <c r="HBH30" t="e">
        <v>#N/A</v>
      </c>
      <c r="HBI30" t="e">
        <v>#N/A</v>
      </c>
      <c r="HBJ30" t="e">
        <v>#N/A</v>
      </c>
      <c r="HBK30" t="e">
        <v>#N/A</v>
      </c>
      <c r="HBL30" t="e">
        <v>#N/A</v>
      </c>
      <c r="HBM30" t="e">
        <v>#N/A</v>
      </c>
      <c r="HBN30" t="e">
        <v>#N/A</v>
      </c>
      <c r="HBO30" t="e">
        <v>#N/A</v>
      </c>
      <c r="HBP30" t="e">
        <v>#N/A</v>
      </c>
      <c r="HBQ30" t="e">
        <v>#N/A</v>
      </c>
      <c r="HBR30" t="e">
        <v>#N/A</v>
      </c>
      <c r="HBS30" t="e">
        <v>#N/A</v>
      </c>
      <c r="HBT30" t="e">
        <v>#N/A</v>
      </c>
      <c r="HBU30" t="e">
        <v>#N/A</v>
      </c>
      <c r="HBV30" t="e">
        <v>#N/A</v>
      </c>
      <c r="HBW30" t="e">
        <v>#N/A</v>
      </c>
      <c r="HBX30" t="e">
        <v>#N/A</v>
      </c>
      <c r="HBY30" t="e">
        <v>#N/A</v>
      </c>
      <c r="HBZ30" t="e">
        <v>#N/A</v>
      </c>
      <c r="HCA30" t="e">
        <v>#N/A</v>
      </c>
      <c r="HCB30" t="e">
        <v>#N/A</v>
      </c>
      <c r="HCC30" t="e">
        <v>#N/A</v>
      </c>
      <c r="HCD30" t="e">
        <v>#N/A</v>
      </c>
      <c r="HCE30" t="e">
        <v>#N/A</v>
      </c>
      <c r="HCF30" t="e">
        <v>#N/A</v>
      </c>
      <c r="HCG30" t="e">
        <v>#N/A</v>
      </c>
      <c r="HCH30" t="e">
        <v>#N/A</v>
      </c>
      <c r="HCI30" t="e">
        <v>#N/A</v>
      </c>
      <c r="HCJ30" t="e">
        <v>#N/A</v>
      </c>
      <c r="HCK30" t="e">
        <v>#N/A</v>
      </c>
      <c r="HCL30" t="e">
        <v>#N/A</v>
      </c>
      <c r="HCM30" t="e">
        <v>#N/A</v>
      </c>
      <c r="HCN30" t="e">
        <v>#N/A</v>
      </c>
      <c r="HCO30" t="e">
        <v>#N/A</v>
      </c>
      <c r="HCP30" t="e">
        <v>#N/A</v>
      </c>
      <c r="HCQ30" t="e">
        <v>#N/A</v>
      </c>
      <c r="HCR30" t="e">
        <v>#N/A</v>
      </c>
      <c r="HCS30" t="e">
        <v>#N/A</v>
      </c>
      <c r="HCT30" t="e">
        <v>#N/A</v>
      </c>
      <c r="HCU30" t="e">
        <v>#N/A</v>
      </c>
      <c r="HCV30" t="e">
        <v>#N/A</v>
      </c>
      <c r="HCW30" t="e">
        <v>#N/A</v>
      </c>
      <c r="HCX30" t="e">
        <v>#N/A</v>
      </c>
      <c r="HCY30" t="e">
        <v>#N/A</v>
      </c>
      <c r="HCZ30" t="e">
        <v>#N/A</v>
      </c>
      <c r="HDA30" t="e">
        <v>#N/A</v>
      </c>
      <c r="HDB30" t="e">
        <v>#N/A</v>
      </c>
      <c r="HDC30" t="e">
        <v>#N/A</v>
      </c>
      <c r="HDD30" t="e">
        <v>#N/A</v>
      </c>
      <c r="HDE30" t="e">
        <v>#N/A</v>
      </c>
      <c r="HDF30" t="e">
        <v>#N/A</v>
      </c>
      <c r="HDG30" t="e">
        <v>#N/A</v>
      </c>
      <c r="HDH30" t="e">
        <v>#N/A</v>
      </c>
      <c r="HDI30" t="e">
        <v>#N/A</v>
      </c>
      <c r="HDJ30" t="e">
        <v>#N/A</v>
      </c>
      <c r="HDK30" t="e">
        <v>#N/A</v>
      </c>
      <c r="HDL30" t="e">
        <v>#N/A</v>
      </c>
      <c r="HDM30" t="e">
        <v>#N/A</v>
      </c>
      <c r="HDN30" t="e">
        <v>#N/A</v>
      </c>
      <c r="HDO30" t="e">
        <v>#N/A</v>
      </c>
      <c r="HDP30" t="e">
        <v>#N/A</v>
      </c>
      <c r="HDQ30" t="e">
        <v>#N/A</v>
      </c>
      <c r="HDR30" t="e">
        <v>#N/A</v>
      </c>
      <c r="HDS30" t="e">
        <v>#N/A</v>
      </c>
      <c r="HDT30" t="e">
        <v>#N/A</v>
      </c>
      <c r="HDU30" t="e">
        <v>#N/A</v>
      </c>
      <c r="HDV30" t="e">
        <v>#N/A</v>
      </c>
      <c r="HDW30" t="e">
        <v>#N/A</v>
      </c>
      <c r="HDX30" t="e">
        <v>#N/A</v>
      </c>
      <c r="HDY30" t="e">
        <v>#N/A</v>
      </c>
      <c r="HDZ30" t="e">
        <v>#N/A</v>
      </c>
      <c r="HEA30" t="e">
        <v>#N/A</v>
      </c>
      <c r="HEB30" t="e">
        <v>#N/A</v>
      </c>
      <c r="HEC30" t="e">
        <v>#N/A</v>
      </c>
      <c r="HED30" t="e">
        <v>#N/A</v>
      </c>
      <c r="HEE30" t="e">
        <v>#N/A</v>
      </c>
      <c r="HEF30" t="e">
        <v>#N/A</v>
      </c>
      <c r="HEG30" t="e">
        <v>#N/A</v>
      </c>
      <c r="HEH30" t="e">
        <v>#N/A</v>
      </c>
      <c r="HEI30" t="e">
        <v>#N/A</v>
      </c>
      <c r="HEJ30" t="e">
        <v>#N/A</v>
      </c>
      <c r="HEK30" t="e">
        <v>#N/A</v>
      </c>
      <c r="HEL30" t="e">
        <v>#N/A</v>
      </c>
      <c r="HEM30" t="e">
        <v>#N/A</v>
      </c>
      <c r="HEN30" t="e">
        <v>#N/A</v>
      </c>
      <c r="HEO30" t="e">
        <v>#N/A</v>
      </c>
      <c r="HEP30" t="e">
        <v>#N/A</v>
      </c>
      <c r="HEQ30" t="e">
        <v>#N/A</v>
      </c>
      <c r="HER30" t="e">
        <v>#N/A</v>
      </c>
      <c r="HES30" t="e">
        <v>#N/A</v>
      </c>
      <c r="HET30" t="e">
        <v>#N/A</v>
      </c>
      <c r="HEU30" t="e">
        <v>#N/A</v>
      </c>
      <c r="HEV30" t="e">
        <v>#N/A</v>
      </c>
      <c r="HEW30" t="e">
        <v>#N/A</v>
      </c>
      <c r="HEX30" t="e">
        <v>#N/A</v>
      </c>
      <c r="HEY30" t="e">
        <v>#N/A</v>
      </c>
      <c r="HEZ30" t="e">
        <v>#N/A</v>
      </c>
      <c r="HFA30" t="e">
        <v>#N/A</v>
      </c>
      <c r="HFB30" t="e">
        <v>#N/A</v>
      </c>
      <c r="HFC30" t="e">
        <v>#N/A</v>
      </c>
      <c r="HFD30" t="e">
        <v>#N/A</v>
      </c>
      <c r="HFE30" t="e">
        <v>#N/A</v>
      </c>
      <c r="HFF30" t="e">
        <v>#N/A</v>
      </c>
      <c r="HFG30" t="e">
        <v>#N/A</v>
      </c>
      <c r="HFH30" t="e">
        <v>#N/A</v>
      </c>
      <c r="HFI30" t="e">
        <v>#N/A</v>
      </c>
      <c r="HFJ30" t="e">
        <v>#N/A</v>
      </c>
      <c r="HFK30" t="e">
        <v>#N/A</v>
      </c>
      <c r="HFL30" t="e">
        <v>#N/A</v>
      </c>
      <c r="HFM30" t="e">
        <v>#N/A</v>
      </c>
      <c r="HFN30" t="e">
        <v>#N/A</v>
      </c>
      <c r="HFO30" t="e">
        <v>#N/A</v>
      </c>
      <c r="HFP30" t="e">
        <v>#N/A</v>
      </c>
      <c r="HFQ30" t="e">
        <v>#N/A</v>
      </c>
      <c r="HFR30" t="e">
        <v>#N/A</v>
      </c>
      <c r="HFS30" t="e">
        <v>#N/A</v>
      </c>
      <c r="HFT30" t="e">
        <v>#N/A</v>
      </c>
      <c r="HFU30" t="e">
        <v>#N/A</v>
      </c>
      <c r="HFV30" t="e">
        <v>#N/A</v>
      </c>
      <c r="HFW30" t="e">
        <v>#N/A</v>
      </c>
      <c r="HFX30" t="e">
        <v>#N/A</v>
      </c>
      <c r="HFY30" t="e">
        <v>#N/A</v>
      </c>
      <c r="HFZ30" t="e">
        <v>#N/A</v>
      </c>
      <c r="HGA30" t="e">
        <v>#N/A</v>
      </c>
      <c r="HGB30" t="e">
        <v>#N/A</v>
      </c>
      <c r="HGC30" t="e">
        <v>#N/A</v>
      </c>
      <c r="HGD30" t="e">
        <v>#N/A</v>
      </c>
      <c r="HGE30" t="e">
        <v>#N/A</v>
      </c>
      <c r="HGF30" t="e">
        <v>#N/A</v>
      </c>
      <c r="HGG30" t="e">
        <v>#N/A</v>
      </c>
      <c r="HGH30" t="e">
        <v>#N/A</v>
      </c>
      <c r="HGI30" t="e">
        <v>#N/A</v>
      </c>
      <c r="HGJ30" t="e">
        <v>#N/A</v>
      </c>
      <c r="HGK30" t="e">
        <v>#N/A</v>
      </c>
      <c r="HGL30" t="e">
        <v>#N/A</v>
      </c>
      <c r="HGM30" t="e">
        <v>#N/A</v>
      </c>
      <c r="HGN30" t="e">
        <v>#N/A</v>
      </c>
      <c r="HGO30" t="e">
        <v>#N/A</v>
      </c>
      <c r="HGP30" t="e">
        <v>#N/A</v>
      </c>
      <c r="HGQ30" t="e">
        <v>#N/A</v>
      </c>
      <c r="HGR30" t="e">
        <v>#N/A</v>
      </c>
      <c r="HGS30" t="e">
        <v>#N/A</v>
      </c>
      <c r="HGT30" t="e">
        <v>#N/A</v>
      </c>
      <c r="HGU30" t="e">
        <v>#N/A</v>
      </c>
      <c r="HGV30" t="e">
        <v>#N/A</v>
      </c>
      <c r="HGW30" t="e">
        <v>#N/A</v>
      </c>
      <c r="HGX30" t="e">
        <v>#N/A</v>
      </c>
      <c r="HGY30" t="e">
        <v>#N/A</v>
      </c>
      <c r="HGZ30" t="e">
        <v>#N/A</v>
      </c>
      <c r="HHA30" t="e">
        <v>#N/A</v>
      </c>
      <c r="HHB30" t="e">
        <v>#N/A</v>
      </c>
      <c r="HHC30" t="e">
        <v>#N/A</v>
      </c>
      <c r="HHD30" t="e">
        <v>#N/A</v>
      </c>
      <c r="HHE30" t="e">
        <v>#N/A</v>
      </c>
      <c r="HHF30" t="e">
        <v>#N/A</v>
      </c>
      <c r="HHG30" t="e">
        <v>#N/A</v>
      </c>
      <c r="HHH30" t="e">
        <v>#N/A</v>
      </c>
      <c r="HHI30" t="e">
        <v>#N/A</v>
      </c>
      <c r="HHJ30" t="e">
        <v>#N/A</v>
      </c>
      <c r="HHK30" t="e">
        <v>#N/A</v>
      </c>
      <c r="HHL30" t="e">
        <v>#N/A</v>
      </c>
      <c r="HHM30" t="e">
        <v>#N/A</v>
      </c>
      <c r="HHN30" t="e">
        <v>#N/A</v>
      </c>
      <c r="HHO30" t="e">
        <v>#N/A</v>
      </c>
      <c r="HHP30" t="e">
        <v>#N/A</v>
      </c>
      <c r="HHQ30" t="e">
        <v>#N/A</v>
      </c>
      <c r="HHR30" t="e">
        <v>#N/A</v>
      </c>
      <c r="HHS30" t="e">
        <v>#N/A</v>
      </c>
      <c r="HHT30" t="e">
        <v>#N/A</v>
      </c>
      <c r="HHU30" t="e">
        <v>#N/A</v>
      </c>
      <c r="HHV30" t="e">
        <v>#N/A</v>
      </c>
      <c r="HHW30" t="e">
        <v>#N/A</v>
      </c>
      <c r="HHX30" t="e">
        <v>#N/A</v>
      </c>
      <c r="HHY30" t="e">
        <v>#N/A</v>
      </c>
      <c r="HHZ30" t="e">
        <v>#N/A</v>
      </c>
      <c r="HIA30" t="e">
        <v>#N/A</v>
      </c>
      <c r="HIB30" t="e">
        <v>#N/A</v>
      </c>
      <c r="HIC30" t="e">
        <v>#N/A</v>
      </c>
      <c r="HID30" t="e">
        <v>#N/A</v>
      </c>
      <c r="HIE30" t="e">
        <v>#N/A</v>
      </c>
      <c r="HIF30" t="e">
        <v>#N/A</v>
      </c>
      <c r="HIG30" t="e">
        <v>#N/A</v>
      </c>
      <c r="HIH30" t="e">
        <v>#N/A</v>
      </c>
      <c r="HII30" t="e">
        <v>#N/A</v>
      </c>
      <c r="HIJ30" t="e">
        <v>#N/A</v>
      </c>
      <c r="HIK30" t="e">
        <v>#N/A</v>
      </c>
      <c r="HIL30" t="e">
        <v>#N/A</v>
      </c>
      <c r="HIM30" t="e">
        <v>#N/A</v>
      </c>
      <c r="HIN30" t="e">
        <v>#N/A</v>
      </c>
      <c r="HIO30" t="e">
        <v>#N/A</v>
      </c>
      <c r="HIP30" t="e">
        <v>#N/A</v>
      </c>
      <c r="HIQ30" t="e">
        <v>#N/A</v>
      </c>
      <c r="HIR30" t="e">
        <v>#N/A</v>
      </c>
      <c r="HIS30" t="e">
        <v>#N/A</v>
      </c>
      <c r="HIT30" t="e">
        <v>#N/A</v>
      </c>
      <c r="HIU30" t="e">
        <v>#N/A</v>
      </c>
      <c r="HIV30" t="e">
        <v>#N/A</v>
      </c>
      <c r="HIW30" t="e">
        <v>#N/A</v>
      </c>
      <c r="HIX30" t="e">
        <v>#N/A</v>
      </c>
      <c r="HIY30" t="e">
        <v>#N/A</v>
      </c>
      <c r="HIZ30" t="e">
        <v>#N/A</v>
      </c>
      <c r="HJA30" t="e">
        <v>#N/A</v>
      </c>
      <c r="HJB30" t="e">
        <v>#N/A</v>
      </c>
      <c r="HJC30" t="e">
        <v>#N/A</v>
      </c>
      <c r="HJD30" t="e">
        <v>#N/A</v>
      </c>
      <c r="HJE30" t="e">
        <v>#N/A</v>
      </c>
      <c r="HJF30" t="e">
        <v>#N/A</v>
      </c>
      <c r="HJG30" t="e">
        <v>#N/A</v>
      </c>
      <c r="HJH30" t="e">
        <v>#N/A</v>
      </c>
      <c r="HJI30" t="e">
        <v>#N/A</v>
      </c>
      <c r="HJJ30" t="e">
        <v>#N/A</v>
      </c>
      <c r="HJK30" t="e">
        <v>#N/A</v>
      </c>
      <c r="HJL30" t="e">
        <v>#N/A</v>
      </c>
      <c r="HJM30" t="e">
        <v>#N/A</v>
      </c>
      <c r="HJN30" t="e">
        <v>#N/A</v>
      </c>
      <c r="HJO30" t="e">
        <v>#N/A</v>
      </c>
      <c r="HJP30" t="e">
        <v>#N/A</v>
      </c>
      <c r="HJQ30" t="e">
        <v>#N/A</v>
      </c>
      <c r="HJR30" t="e">
        <v>#N/A</v>
      </c>
      <c r="HJS30" t="e">
        <v>#N/A</v>
      </c>
      <c r="HJT30" t="e">
        <v>#N/A</v>
      </c>
      <c r="HJU30" t="e">
        <v>#N/A</v>
      </c>
      <c r="HJV30" t="e">
        <v>#N/A</v>
      </c>
      <c r="HJW30" t="e">
        <v>#N/A</v>
      </c>
      <c r="HJX30" t="e">
        <v>#N/A</v>
      </c>
      <c r="HJY30" t="e">
        <v>#N/A</v>
      </c>
      <c r="HJZ30" t="e">
        <v>#N/A</v>
      </c>
      <c r="HKA30" t="e">
        <v>#N/A</v>
      </c>
      <c r="HKB30" t="e">
        <v>#N/A</v>
      </c>
      <c r="HKC30" t="e">
        <v>#N/A</v>
      </c>
      <c r="HKD30" t="e">
        <v>#N/A</v>
      </c>
      <c r="HKE30" t="e">
        <v>#N/A</v>
      </c>
      <c r="HKF30" t="e">
        <v>#N/A</v>
      </c>
      <c r="HKG30" t="e">
        <v>#N/A</v>
      </c>
      <c r="HKH30" t="e">
        <v>#N/A</v>
      </c>
      <c r="HKI30" t="e">
        <v>#N/A</v>
      </c>
      <c r="HKJ30" t="e">
        <v>#N/A</v>
      </c>
      <c r="HKK30" t="e">
        <v>#N/A</v>
      </c>
      <c r="HKL30" t="e">
        <v>#N/A</v>
      </c>
      <c r="HKM30" t="e">
        <v>#N/A</v>
      </c>
      <c r="HKN30" t="e">
        <v>#N/A</v>
      </c>
      <c r="HKO30" t="e">
        <v>#N/A</v>
      </c>
      <c r="HKP30" t="e">
        <v>#N/A</v>
      </c>
      <c r="HKQ30" t="e">
        <v>#N/A</v>
      </c>
      <c r="HKR30" t="e">
        <v>#N/A</v>
      </c>
      <c r="HKS30" t="e">
        <v>#N/A</v>
      </c>
      <c r="HKT30" t="e">
        <v>#N/A</v>
      </c>
      <c r="HKU30" t="e">
        <v>#N/A</v>
      </c>
      <c r="HKV30" t="e">
        <v>#N/A</v>
      </c>
      <c r="HKW30" t="e">
        <v>#N/A</v>
      </c>
      <c r="HKX30" t="e">
        <v>#N/A</v>
      </c>
      <c r="HKY30" t="e">
        <v>#N/A</v>
      </c>
      <c r="HKZ30" t="e">
        <v>#N/A</v>
      </c>
      <c r="HLA30" t="e">
        <v>#N/A</v>
      </c>
      <c r="HLB30" t="e">
        <v>#N/A</v>
      </c>
      <c r="HLC30" t="e">
        <v>#N/A</v>
      </c>
      <c r="HLD30" t="e">
        <v>#N/A</v>
      </c>
      <c r="HLE30" t="e">
        <v>#N/A</v>
      </c>
      <c r="HLF30" t="e">
        <v>#N/A</v>
      </c>
      <c r="HLG30" t="e">
        <v>#N/A</v>
      </c>
      <c r="HLH30" t="e">
        <v>#N/A</v>
      </c>
      <c r="HLI30" t="e">
        <v>#N/A</v>
      </c>
      <c r="HLJ30" t="e">
        <v>#N/A</v>
      </c>
      <c r="HLK30" t="e">
        <v>#N/A</v>
      </c>
      <c r="HLL30" t="e">
        <v>#N/A</v>
      </c>
      <c r="HLM30" t="e">
        <v>#N/A</v>
      </c>
      <c r="HLN30" t="e">
        <v>#N/A</v>
      </c>
      <c r="HLO30" t="e">
        <v>#N/A</v>
      </c>
      <c r="HLP30" t="e">
        <v>#N/A</v>
      </c>
      <c r="HLQ30" t="e">
        <v>#N/A</v>
      </c>
      <c r="HLR30" t="e">
        <v>#N/A</v>
      </c>
      <c r="HLS30" t="e">
        <v>#N/A</v>
      </c>
      <c r="HLT30" t="e">
        <v>#N/A</v>
      </c>
      <c r="HLU30" t="e">
        <v>#N/A</v>
      </c>
      <c r="HLV30" t="e">
        <v>#N/A</v>
      </c>
      <c r="HLW30" t="e">
        <v>#N/A</v>
      </c>
      <c r="HLX30" t="e">
        <v>#N/A</v>
      </c>
      <c r="HLY30" t="e">
        <v>#N/A</v>
      </c>
      <c r="HLZ30" t="e">
        <v>#N/A</v>
      </c>
      <c r="HMA30" t="e">
        <v>#N/A</v>
      </c>
      <c r="HMB30" t="e">
        <v>#N/A</v>
      </c>
      <c r="HMC30" t="e">
        <v>#N/A</v>
      </c>
      <c r="HMD30" t="e">
        <v>#N/A</v>
      </c>
      <c r="HME30" t="e">
        <v>#N/A</v>
      </c>
      <c r="HMF30" t="e">
        <v>#N/A</v>
      </c>
      <c r="HMG30" t="e">
        <v>#N/A</v>
      </c>
      <c r="HMH30" t="e">
        <v>#N/A</v>
      </c>
      <c r="HMI30" t="e">
        <v>#N/A</v>
      </c>
      <c r="HMJ30" t="e">
        <v>#N/A</v>
      </c>
      <c r="HMK30" t="e">
        <v>#N/A</v>
      </c>
      <c r="HML30" t="e">
        <v>#N/A</v>
      </c>
      <c r="HMM30" t="e">
        <v>#N/A</v>
      </c>
      <c r="HMN30" t="e">
        <v>#N/A</v>
      </c>
      <c r="HMO30" t="e">
        <v>#N/A</v>
      </c>
      <c r="HMP30" t="e">
        <v>#N/A</v>
      </c>
      <c r="HMQ30" t="e">
        <v>#N/A</v>
      </c>
      <c r="HMR30" t="e">
        <v>#N/A</v>
      </c>
      <c r="HMS30" t="e">
        <v>#N/A</v>
      </c>
      <c r="HMT30" t="e">
        <v>#N/A</v>
      </c>
      <c r="HMU30" t="e">
        <v>#N/A</v>
      </c>
      <c r="HMV30" t="e">
        <v>#N/A</v>
      </c>
      <c r="HMW30" t="e">
        <v>#N/A</v>
      </c>
      <c r="HMX30" t="e">
        <v>#N/A</v>
      </c>
      <c r="HMY30" t="e">
        <v>#N/A</v>
      </c>
      <c r="HMZ30" t="e">
        <v>#N/A</v>
      </c>
      <c r="HNA30" t="e">
        <v>#N/A</v>
      </c>
      <c r="HNB30" t="e">
        <v>#N/A</v>
      </c>
      <c r="HNC30" t="e">
        <v>#N/A</v>
      </c>
      <c r="HND30" t="e">
        <v>#N/A</v>
      </c>
      <c r="HNE30" t="e">
        <v>#N/A</v>
      </c>
      <c r="HNF30" t="e">
        <v>#N/A</v>
      </c>
      <c r="HNG30" t="e">
        <v>#N/A</v>
      </c>
      <c r="HNH30" t="e">
        <v>#N/A</v>
      </c>
      <c r="HNI30" t="e">
        <v>#N/A</v>
      </c>
      <c r="HNJ30" t="e">
        <v>#N/A</v>
      </c>
      <c r="HNK30" t="e">
        <v>#N/A</v>
      </c>
      <c r="HNL30" t="e">
        <v>#N/A</v>
      </c>
      <c r="HNM30" t="e">
        <v>#N/A</v>
      </c>
      <c r="HNN30" t="e">
        <v>#N/A</v>
      </c>
      <c r="HNO30" t="e">
        <v>#N/A</v>
      </c>
      <c r="HNP30" t="e">
        <v>#N/A</v>
      </c>
      <c r="HNQ30" t="e">
        <v>#N/A</v>
      </c>
      <c r="HNR30" t="e">
        <v>#N/A</v>
      </c>
      <c r="HNS30" t="e">
        <v>#N/A</v>
      </c>
      <c r="HNT30" t="e">
        <v>#N/A</v>
      </c>
      <c r="HNU30" t="e">
        <v>#N/A</v>
      </c>
      <c r="HNV30" t="e">
        <v>#N/A</v>
      </c>
      <c r="HNW30" t="e">
        <v>#N/A</v>
      </c>
      <c r="HNX30" t="e">
        <v>#N/A</v>
      </c>
      <c r="HNY30" t="e">
        <v>#N/A</v>
      </c>
      <c r="HNZ30" t="e">
        <v>#N/A</v>
      </c>
      <c r="HOA30" t="e">
        <v>#N/A</v>
      </c>
      <c r="HOB30" t="e">
        <v>#N/A</v>
      </c>
      <c r="HOC30" t="e">
        <v>#N/A</v>
      </c>
      <c r="HOD30" t="e">
        <v>#N/A</v>
      </c>
      <c r="HOE30" t="e">
        <v>#N/A</v>
      </c>
      <c r="HOF30" t="e">
        <v>#N/A</v>
      </c>
      <c r="HOG30" t="e">
        <v>#N/A</v>
      </c>
      <c r="HOH30" t="e">
        <v>#N/A</v>
      </c>
      <c r="HOI30" t="e">
        <v>#N/A</v>
      </c>
      <c r="HOJ30" t="e">
        <v>#N/A</v>
      </c>
      <c r="HOK30" t="e">
        <v>#N/A</v>
      </c>
      <c r="HOL30" t="e">
        <v>#N/A</v>
      </c>
      <c r="HOM30" t="e">
        <v>#N/A</v>
      </c>
      <c r="HON30" t="e">
        <v>#N/A</v>
      </c>
      <c r="HOO30" t="e">
        <v>#N/A</v>
      </c>
      <c r="HOP30" t="e">
        <v>#N/A</v>
      </c>
      <c r="HOQ30" t="e">
        <v>#N/A</v>
      </c>
      <c r="HOR30" t="e">
        <v>#N/A</v>
      </c>
      <c r="HOS30" t="e">
        <v>#N/A</v>
      </c>
      <c r="HOT30" t="e">
        <v>#N/A</v>
      </c>
      <c r="HOU30" t="e">
        <v>#N/A</v>
      </c>
      <c r="HOV30" t="e">
        <v>#N/A</v>
      </c>
      <c r="HOW30" t="e">
        <v>#N/A</v>
      </c>
      <c r="HOX30" t="e">
        <v>#N/A</v>
      </c>
      <c r="HOY30" t="e">
        <v>#N/A</v>
      </c>
      <c r="HOZ30" t="e">
        <v>#N/A</v>
      </c>
      <c r="HPA30" t="e">
        <v>#N/A</v>
      </c>
      <c r="HPB30" t="e">
        <v>#N/A</v>
      </c>
      <c r="HPC30" t="e">
        <v>#N/A</v>
      </c>
      <c r="HPD30" t="e">
        <v>#N/A</v>
      </c>
      <c r="HPE30" t="e">
        <v>#N/A</v>
      </c>
      <c r="HPF30" t="e">
        <v>#N/A</v>
      </c>
      <c r="HPG30" t="e">
        <v>#N/A</v>
      </c>
      <c r="HPH30" t="e">
        <v>#N/A</v>
      </c>
      <c r="HPI30" t="e">
        <v>#N/A</v>
      </c>
      <c r="HPJ30" t="e">
        <v>#N/A</v>
      </c>
      <c r="HPK30" t="e">
        <v>#N/A</v>
      </c>
      <c r="HPL30" t="e">
        <v>#N/A</v>
      </c>
      <c r="HPM30" t="e">
        <v>#N/A</v>
      </c>
      <c r="HPN30" t="e">
        <v>#N/A</v>
      </c>
      <c r="HPO30" t="e">
        <v>#N/A</v>
      </c>
      <c r="HPP30" t="e">
        <v>#N/A</v>
      </c>
      <c r="HPQ30" t="e">
        <v>#N/A</v>
      </c>
      <c r="HPR30" t="e">
        <v>#N/A</v>
      </c>
      <c r="HPS30" t="e">
        <v>#N/A</v>
      </c>
      <c r="HPT30" t="e">
        <v>#N/A</v>
      </c>
      <c r="HPU30" t="e">
        <v>#N/A</v>
      </c>
      <c r="HPV30" t="e">
        <v>#N/A</v>
      </c>
      <c r="HPW30" t="e">
        <v>#N/A</v>
      </c>
      <c r="HPX30" t="e">
        <v>#N/A</v>
      </c>
      <c r="HPY30" t="e">
        <v>#N/A</v>
      </c>
      <c r="HPZ30" t="e">
        <v>#N/A</v>
      </c>
      <c r="HQA30" t="e">
        <v>#N/A</v>
      </c>
      <c r="HQB30" t="e">
        <v>#N/A</v>
      </c>
      <c r="HQC30" t="e">
        <v>#N/A</v>
      </c>
      <c r="HQD30" t="e">
        <v>#N/A</v>
      </c>
      <c r="HQE30" t="e">
        <v>#N/A</v>
      </c>
      <c r="HQF30" t="e">
        <v>#N/A</v>
      </c>
      <c r="HQG30" t="e">
        <v>#N/A</v>
      </c>
      <c r="HQH30" t="e">
        <v>#N/A</v>
      </c>
      <c r="HQI30" t="e">
        <v>#N/A</v>
      </c>
      <c r="HQJ30" t="e">
        <v>#N/A</v>
      </c>
      <c r="HQK30" t="e">
        <v>#N/A</v>
      </c>
      <c r="HQL30" t="e">
        <v>#N/A</v>
      </c>
      <c r="HQM30" t="e">
        <v>#N/A</v>
      </c>
      <c r="HQN30" t="e">
        <v>#N/A</v>
      </c>
      <c r="HQO30" t="e">
        <v>#N/A</v>
      </c>
      <c r="HQP30" t="e">
        <v>#N/A</v>
      </c>
      <c r="HQQ30" t="e">
        <v>#N/A</v>
      </c>
      <c r="HQR30" t="e">
        <v>#N/A</v>
      </c>
      <c r="HQS30" t="e">
        <v>#N/A</v>
      </c>
      <c r="HQT30" t="e">
        <v>#N/A</v>
      </c>
      <c r="HQU30" t="e">
        <v>#N/A</v>
      </c>
      <c r="HQV30" t="e">
        <v>#N/A</v>
      </c>
      <c r="HQW30" t="e">
        <v>#N/A</v>
      </c>
      <c r="HQX30" t="e">
        <v>#N/A</v>
      </c>
      <c r="HQY30" t="e">
        <v>#N/A</v>
      </c>
      <c r="HQZ30" t="e">
        <v>#N/A</v>
      </c>
      <c r="HRA30" t="e">
        <v>#N/A</v>
      </c>
      <c r="HRB30" t="e">
        <v>#N/A</v>
      </c>
      <c r="HRC30" t="e">
        <v>#N/A</v>
      </c>
      <c r="HRD30" t="e">
        <v>#N/A</v>
      </c>
      <c r="HRE30" t="e">
        <v>#N/A</v>
      </c>
      <c r="HRF30" t="e">
        <v>#N/A</v>
      </c>
      <c r="HRG30" t="e">
        <v>#N/A</v>
      </c>
      <c r="HRH30" t="e">
        <v>#N/A</v>
      </c>
      <c r="HRI30" t="e">
        <v>#N/A</v>
      </c>
      <c r="HRJ30" t="e">
        <v>#N/A</v>
      </c>
      <c r="HRK30" t="e">
        <v>#N/A</v>
      </c>
      <c r="HRL30" t="e">
        <v>#N/A</v>
      </c>
      <c r="HRM30" t="e">
        <v>#N/A</v>
      </c>
      <c r="HRN30" t="e">
        <v>#N/A</v>
      </c>
      <c r="HRO30" t="e">
        <v>#N/A</v>
      </c>
      <c r="HRP30" t="e">
        <v>#N/A</v>
      </c>
      <c r="HRQ30" t="e">
        <v>#N/A</v>
      </c>
      <c r="HRR30" t="e">
        <v>#N/A</v>
      </c>
      <c r="HRS30" t="e">
        <v>#N/A</v>
      </c>
      <c r="HRT30" t="e">
        <v>#N/A</v>
      </c>
      <c r="HRU30" t="e">
        <v>#N/A</v>
      </c>
      <c r="HRV30" t="e">
        <v>#N/A</v>
      </c>
      <c r="HRW30" t="e">
        <v>#N/A</v>
      </c>
      <c r="HRX30" t="e">
        <v>#N/A</v>
      </c>
      <c r="HRY30" t="e">
        <v>#N/A</v>
      </c>
      <c r="HRZ30" t="e">
        <v>#N/A</v>
      </c>
      <c r="HSA30" t="e">
        <v>#N/A</v>
      </c>
      <c r="HSB30" t="e">
        <v>#N/A</v>
      </c>
      <c r="HSC30" t="e">
        <v>#N/A</v>
      </c>
      <c r="HSD30" t="e">
        <v>#N/A</v>
      </c>
      <c r="HSE30" t="e">
        <v>#N/A</v>
      </c>
      <c r="HSF30" t="e">
        <v>#N/A</v>
      </c>
      <c r="HSG30" t="e">
        <v>#N/A</v>
      </c>
      <c r="HSH30" t="e">
        <v>#N/A</v>
      </c>
      <c r="HSI30" t="e">
        <v>#N/A</v>
      </c>
      <c r="HSJ30" t="e">
        <v>#N/A</v>
      </c>
      <c r="HSK30" t="e">
        <v>#N/A</v>
      </c>
      <c r="HSL30" t="e">
        <v>#N/A</v>
      </c>
      <c r="HSM30" t="e">
        <v>#N/A</v>
      </c>
      <c r="HSN30" t="e">
        <v>#N/A</v>
      </c>
      <c r="HSO30" t="e">
        <v>#N/A</v>
      </c>
      <c r="HSP30" t="e">
        <v>#N/A</v>
      </c>
      <c r="HSQ30" t="e">
        <v>#N/A</v>
      </c>
      <c r="HSR30" t="e">
        <v>#N/A</v>
      </c>
      <c r="HSS30" t="e">
        <v>#N/A</v>
      </c>
      <c r="HST30" t="e">
        <v>#N/A</v>
      </c>
      <c r="HSU30" t="e">
        <v>#N/A</v>
      </c>
      <c r="HSV30" t="e">
        <v>#N/A</v>
      </c>
      <c r="HSW30" t="e">
        <v>#N/A</v>
      </c>
      <c r="HSX30" t="e">
        <v>#N/A</v>
      </c>
      <c r="HSY30" t="e">
        <v>#N/A</v>
      </c>
      <c r="HSZ30" t="e">
        <v>#N/A</v>
      </c>
      <c r="HTA30" t="e">
        <v>#N/A</v>
      </c>
      <c r="HTB30" t="e">
        <v>#N/A</v>
      </c>
      <c r="HTC30" t="e">
        <v>#N/A</v>
      </c>
      <c r="HTD30" t="e">
        <v>#N/A</v>
      </c>
      <c r="HTE30" t="e">
        <v>#N/A</v>
      </c>
      <c r="HTF30" t="e">
        <v>#N/A</v>
      </c>
      <c r="HTG30" t="e">
        <v>#N/A</v>
      </c>
      <c r="HTH30" t="e">
        <v>#N/A</v>
      </c>
      <c r="HTI30" t="e">
        <v>#N/A</v>
      </c>
      <c r="HTJ30" t="e">
        <v>#N/A</v>
      </c>
      <c r="HTK30" t="e">
        <v>#N/A</v>
      </c>
      <c r="HTL30" t="e">
        <v>#N/A</v>
      </c>
      <c r="HTM30" t="e">
        <v>#N/A</v>
      </c>
      <c r="HTN30" t="e">
        <v>#N/A</v>
      </c>
      <c r="HTO30" t="e">
        <v>#N/A</v>
      </c>
      <c r="HTP30" t="e">
        <v>#N/A</v>
      </c>
      <c r="HTQ30" t="e">
        <v>#N/A</v>
      </c>
      <c r="HTR30" t="e">
        <v>#N/A</v>
      </c>
      <c r="HTS30" t="e">
        <v>#N/A</v>
      </c>
      <c r="HTT30" t="e">
        <v>#N/A</v>
      </c>
      <c r="HTU30" t="e">
        <v>#N/A</v>
      </c>
      <c r="HTV30" t="e">
        <v>#N/A</v>
      </c>
      <c r="HTW30" t="e">
        <v>#N/A</v>
      </c>
      <c r="HTX30" t="e">
        <v>#N/A</v>
      </c>
      <c r="HTY30" t="e">
        <v>#N/A</v>
      </c>
      <c r="HTZ30" t="e">
        <v>#N/A</v>
      </c>
      <c r="HUA30" t="e">
        <v>#N/A</v>
      </c>
      <c r="HUB30" t="e">
        <v>#N/A</v>
      </c>
      <c r="HUC30" t="e">
        <v>#N/A</v>
      </c>
      <c r="HUD30" t="e">
        <v>#N/A</v>
      </c>
      <c r="HUE30" t="e">
        <v>#N/A</v>
      </c>
      <c r="HUF30" t="e">
        <v>#N/A</v>
      </c>
      <c r="HUG30" t="e">
        <v>#N/A</v>
      </c>
      <c r="HUH30" t="e">
        <v>#N/A</v>
      </c>
      <c r="HUI30" t="e">
        <v>#N/A</v>
      </c>
      <c r="HUJ30" t="e">
        <v>#N/A</v>
      </c>
      <c r="HUK30" t="e">
        <v>#N/A</v>
      </c>
      <c r="HUL30" t="e">
        <v>#N/A</v>
      </c>
      <c r="HUM30" t="e">
        <v>#N/A</v>
      </c>
      <c r="HUN30" t="e">
        <v>#N/A</v>
      </c>
      <c r="HUO30" t="e">
        <v>#N/A</v>
      </c>
      <c r="HUP30" t="e">
        <v>#N/A</v>
      </c>
      <c r="HUQ30" t="e">
        <v>#N/A</v>
      </c>
      <c r="HUR30" t="e">
        <v>#N/A</v>
      </c>
      <c r="HUS30" t="e">
        <v>#N/A</v>
      </c>
      <c r="HUT30" t="e">
        <v>#N/A</v>
      </c>
      <c r="HUU30" t="e">
        <v>#N/A</v>
      </c>
      <c r="HUV30" t="e">
        <v>#N/A</v>
      </c>
      <c r="HUW30" t="e">
        <v>#N/A</v>
      </c>
      <c r="HUX30" t="e">
        <v>#N/A</v>
      </c>
      <c r="HUY30" t="e">
        <v>#N/A</v>
      </c>
      <c r="HUZ30" t="e">
        <v>#N/A</v>
      </c>
      <c r="HVA30" t="e">
        <v>#N/A</v>
      </c>
      <c r="HVB30" t="e">
        <v>#N/A</v>
      </c>
      <c r="HVC30" t="e">
        <v>#N/A</v>
      </c>
      <c r="HVD30" t="e">
        <v>#N/A</v>
      </c>
      <c r="HVE30" t="e">
        <v>#N/A</v>
      </c>
      <c r="HVF30" t="e">
        <v>#N/A</v>
      </c>
      <c r="HVG30" t="e">
        <v>#N/A</v>
      </c>
      <c r="HVH30" t="e">
        <v>#N/A</v>
      </c>
      <c r="HVI30" t="e">
        <v>#N/A</v>
      </c>
      <c r="HVJ30" t="e">
        <v>#N/A</v>
      </c>
      <c r="HVK30" t="e">
        <v>#N/A</v>
      </c>
      <c r="HVL30" t="e">
        <v>#N/A</v>
      </c>
      <c r="HVM30" t="e">
        <v>#N/A</v>
      </c>
      <c r="HVN30" t="e">
        <v>#N/A</v>
      </c>
      <c r="HVO30" t="e">
        <v>#N/A</v>
      </c>
      <c r="HVP30" t="e">
        <v>#N/A</v>
      </c>
      <c r="HVQ30" t="e">
        <v>#N/A</v>
      </c>
      <c r="HVR30" t="e">
        <v>#N/A</v>
      </c>
      <c r="HVS30" t="e">
        <v>#N/A</v>
      </c>
      <c r="HVT30" t="e">
        <v>#N/A</v>
      </c>
      <c r="HVU30" t="e">
        <v>#N/A</v>
      </c>
      <c r="HVV30" t="e">
        <v>#N/A</v>
      </c>
      <c r="HVW30" t="e">
        <v>#N/A</v>
      </c>
      <c r="HVX30" t="e">
        <v>#N/A</v>
      </c>
      <c r="HVY30" t="e">
        <v>#N/A</v>
      </c>
      <c r="HVZ30" t="e">
        <v>#N/A</v>
      </c>
      <c r="HWA30" t="e">
        <v>#N/A</v>
      </c>
      <c r="HWB30" t="e">
        <v>#N/A</v>
      </c>
      <c r="HWC30" t="e">
        <v>#N/A</v>
      </c>
      <c r="HWD30" t="e">
        <v>#N/A</v>
      </c>
      <c r="HWE30" t="e">
        <v>#N/A</v>
      </c>
      <c r="HWF30" t="e">
        <v>#N/A</v>
      </c>
      <c r="HWG30" t="e">
        <v>#N/A</v>
      </c>
      <c r="HWH30" t="e">
        <v>#N/A</v>
      </c>
      <c r="HWI30" t="e">
        <v>#N/A</v>
      </c>
      <c r="HWJ30" t="e">
        <v>#N/A</v>
      </c>
      <c r="HWK30" t="e">
        <v>#N/A</v>
      </c>
      <c r="HWL30" t="e">
        <v>#N/A</v>
      </c>
      <c r="HWM30" t="e">
        <v>#N/A</v>
      </c>
      <c r="HWN30" t="e">
        <v>#N/A</v>
      </c>
      <c r="HWO30" t="e">
        <v>#N/A</v>
      </c>
      <c r="HWP30" t="e">
        <v>#N/A</v>
      </c>
      <c r="HWQ30" t="e">
        <v>#N/A</v>
      </c>
      <c r="HWR30" t="e">
        <v>#N/A</v>
      </c>
      <c r="HWS30" t="e">
        <v>#N/A</v>
      </c>
      <c r="HWT30" t="e">
        <v>#N/A</v>
      </c>
      <c r="HWU30" t="e">
        <v>#N/A</v>
      </c>
      <c r="HWV30" t="e">
        <v>#N/A</v>
      </c>
      <c r="HWW30" t="e">
        <v>#N/A</v>
      </c>
      <c r="HWX30" t="e">
        <v>#N/A</v>
      </c>
      <c r="HWY30" t="e">
        <v>#N/A</v>
      </c>
      <c r="HWZ30" t="e">
        <v>#N/A</v>
      </c>
      <c r="HXA30" t="e">
        <v>#N/A</v>
      </c>
      <c r="HXB30" t="e">
        <v>#N/A</v>
      </c>
      <c r="HXC30" t="e">
        <v>#N/A</v>
      </c>
      <c r="HXD30" t="e">
        <v>#N/A</v>
      </c>
      <c r="HXE30" t="e">
        <v>#N/A</v>
      </c>
      <c r="HXF30" t="e">
        <v>#N/A</v>
      </c>
      <c r="HXG30" t="e">
        <v>#N/A</v>
      </c>
      <c r="HXH30" t="e">
        <v>#N/A</v>
      </c>
      <c r="HXI30" t="e">
        <v>#N/A</v>
      </c>
      <c r="HXJ30" t="e">
        <v>#N/A</v>
      </c>
      <c r="HXK30" t="e">
        <v>#N/A</v>
      </c>
      <c r="HXL30" t="e">
        <v>#N/A</v>
      </c>
      <c r="HXM30" t="e">
        <v>#N/A</v>
      </c>
      <c r="HXN30" t="e">
        <v>#N/A</v>
      </c>
      <c r="HXO30" t="e">
        <v>#N/A</v>
      </c>
      <c r="HXP30" t="e">
        <v>#N/A</v>
      </c>
      <c r="HXQ30" t="e">
        <v>#N/A</v>
      </c>
      <c r="HXR30" t="e">
        <v>#N/A</v>
      </c>
      <c r="HXS30" t="e">
        <v>#N/A</v>
      </c>
      <c r="HXT30" t="e">
        <v>#N/A</v>
      </c>
      <c r="HXU30" t="e">
        <v>#N/A</v>
      </c>
      <c r="HXV30" t="e">
        <v>#N/A</v>
      </c>
      <c r="HXW30" t="e">
        <v>#N/A</v>
      </c>
      <c r="HXX30" t="e">
        <v>#N/A</v>
      </c>
      <c r="HXY30" t="e">
        <v>#N/A</v>
      </c>
      <c r="HXZ30" t="e">
        <v>#N/A</v>
      </c>
      <c r="HYA30" t="e">
        <v>#N/A</v>
      </c>
      <c r="HYB30" t="e">
        <v>#N/A</v>
      </c>
      <c r="HYC30" t="e">
        <v>#N/A</v>
      </c>
      <c r="HYD30" t="e">
        <v>#N/A</v>
      </c>
      <c r="HYE30" t="e">
        <v>#N/A</v>
      </c>
      <c r="HYF30" t="e">
        <v>#N/A</v>
      </c>
      <c r="HYG30" t="e">
        <v>#N/A</v>
      </c>
      <c r="HYH30" t="e">
        <v>#N/A</v>
      </c>
      <c r="HYI30" t="e">
        <v>#N/A</v>
      </c>
      <c r="HYJ30" t="e">
        <v>#N/A</v>
      </c>
      <c r="HYK30" t="e">
        <v>#N/A</v>
      </c>
      <c r="HYL30" t="e">
        <v>#N/A</v>
      </c>
      <c r="HYM30" t="e">
        <v>#N/A</v>
      </c>
      <c r="HYN30" t="e">
        <v>#N/A</v>
      </c>
      <c r="HYO30" t="e">
        <v>#N/A</v>
      </c>
      <c r="HYP30" t="e">
        <v>#N/A</v>
      </c>
      <c r="HYQ30" t="e">
        <v>#N/A</v>
      </c>
      <c r="HYR30" t="e">
        <v>#N/A</v>
      </c>
      <c r="HYS30" t="e">
        <v>#N/A</v>
      </c>
      <c r="HYT30" t="e">
        <v>#N/A</v>
      </c>
      <c r="HYU30" t="e">
        <v>#N/A</v>
      </c>
      <c r="HYV30" t="e">
        <v>#N/A</v>
      </c>
      <c r="HYW30" t="e">
        <v>#N/A</v>
      </c>
      <c r="HYX30" t="e">
        <v>#N/A</v>
      </c>
      <c r="HYY30" t="e">
        <v>#N/A</v>
      </c>
      <c r="HYZ30" t="e">
        <v>#N/A</v>
      </c>
      <c r="HZA30" t="e">
        <v>#N/A</v>
      </c>
      <c r="HZB30" t="e">
        <v>#N/A</v>
      </c>
      <c r="HZC30" t="e">
        <v>#N/A</v>
      </c>
      <c r="HZD30" t="e">
        <v>#N/A</v>
      </c>
      <c r="HZE30" t="e">
        <v>#N/A</v>
      </c>
      <c r="HZF30" t="e">
        <v>#N/A</v>
      </c>
      <c r="HZG30" t="e">
        <v>#N/A</v>
      </c>
      <c r="HZH30" t="e">
        <v>#N/A</v>
      </c>
      <c r="HZI30" t="e">
        <v>#N/A</v>
      </c>
      <c r="HZJ30" t="e">
        <v>#N/A</v>
      </c>
      <c r="HZK30" t="e">
        <v>#N/A</v>
      </c>
      <c r="HZL30" t="e">
        <v>#N/A</v>
      </c>
      <c r="HZM30" t="e">
        <v>#N/A</v>
      </c>
      <c r="HZN30" t="e">
        <v>#N/A</v>
      </c>
      <c r="HZO30" t="e">
        <v>#N/A</v>
      </c>
      <c r="HZP30" t="e">
        <v>#N/A</v>
      </c>
      <c r="HZQ30" t="e">
        <v>#N/A</v>
      </c>
      <c r="HZR30" t="e">
        <v>#N/A</v>
      </c>
      <c r="HZS30" t="e">
        <v>#N/A</v>
      </c>
      <c r="HZT30" t="e">
        <v>#N/A</v>
      </c>
      <c r="HZU30" t="e">
        <v>#N/A</v>
      </c>
      <c r="HZV30" t="e">
        <v>#N/A</v>
      </c>
      <c r="HZW30" t="e">
        <v>#N/A</v>
      </c>
      <c r="HZX30" t="e">
        <v>#N/A</v>
      </c>
      <c r="HZY30" t="e">
        <v>#N/A</v>
      </c>
      <c r="HZZ30" t="e">
        <v>#N/A</v>
      </c>
      <c r="IAA30" t="e">
        <v>#N/A</v>
      </c>
      <c r="IAB30" t="e">
        <v>#N/A</v>
      </c>
      <c r="IAC30" t="e">
        <v>#N/A</v>
      </c>
      <c r="IAD30" t="e">
        <v>#N/A</v>
      </c>
      <c r="IAE30" t="e">
        <v>#N/A</v>
      </c>
      <c r="IAF30" t="e">
        <v>#N/A</v>
      </c>
      <c r="IAG30" t="e">
        <v>#N/A</v>
      </c>
      <c r="IAH30" t="e">
        <v>#N/A</v>
      </c>
      <c r="IAI30" t="e">
        <v>#N/A</v>
      </c>
      <c r="IAJ30" t="e">
        <v>#N/A</v>
      </c>
      <c r="IAK30" t="e">
        <v>#N/A</v>
      </c>
      <c r="IAL30" t="e">
        <v>#N/A</v>
      </c>
      <c r="IAM30" t="e">
        <v>#N/A</v>
      </c>
      <c r="IAN30" t="e">
        <v>#N/A</v>
      </c>
      <c r="IAO30" t="e">
        <v>#N/A</v>
      </c>
      <c r="IAP30" t="e">
        <v>#N/A</v>
      </c>
      <c r="IAQ30" t="e">
        <v>#N/A</v>
      </c>
      <c r="IAR30" t="e">
        <v>#N/A</v>
      </c>
      <c r="IAS30" t="e">
        <v>#N/A</v>
      </c>
      <c r="IAT30" t="e">
        <v>#N/A</v>
      </c>
      <c r="IAU30" t="e">
        <v>#N/A</v>
      </c>
      <c r="IAV30" t="e">
        <v>#N/A</v>
      </c>
      <c r="IAW30" t="e">
        <v>#N/A</v>
      </c>
      <c r="IAX30" t="e">
        <v>#N/A</v>
      </c>
      <c r="IAY30" t="e">
        <v>#N/A</v>
      </c>
      <c r="IAZ30" t="e">
        <v>#N/A</v>
      </c>
      <c r="IBA30" t="e">
        <v>#N/A</v>
      </c>
      <c r="IBB30" t="e">
        <v>#N/A</v>
      </c>
      <c r="IBC30" t="e">
        <v>#N/A</v>
      </c>
      <c r="IBD30" t="e">
        <v>#N/A</v>
      </c>
      <c r="IBE30" t="e">
        <v>#N/A</v>
      </c>
      <c r="IBF30" t="e">
        <v>#N/A</v>
      </c>
      <c r="IBG30" t="e">
        <v>#N/A</v>
      </c>
      <c r="IBH30" t="e">
        <v>#N/A</v>
      </c>
      <c r="IBI30" t="e">
        <v>#N/A</v>
      </c>
      <c r="IBJ30" t="e">
        <v>#N/A</v>
      </c>
      <c r="IBK30" t="e">
        <v>#N/A</v>
      </c>
      <c r="IBL30" t="e">
        <v>#N/A</v>
      </c>
      <c r="IBM30" t="e">
        <v>#N/A</v>
      </c>
      <c r="IBN30" t="e">
        <v>#N/A</v>
      </c>
      <c r="IBO30" t="e">
        <v>#N/A</v>
      </c>
      <c r="IBP30" t="e">
        <v>#N/A</v>
      </c>
      <c r="IBQ30" t="e">
        <v>#N/A</v>
      </c>
      <c r="IBR30" t="e">
        <v>#N/A</v>
      </c>
      <c r="IBS30" t="e">
        <v>#N/A</v>
      </c>
      <c r="IBT30" t="e">
        <v>#N/A</v>
      </c>
      <c r="IBU30" t="e">
        <v>#N/A</v>
      </c>
      <c r="IBV30" t="e">
        <v>#N/A</v>
      </c>
      <c r="IBW30" t="e">
        <v>#N/A</v>
      </c>
      <c r="IBX30" t="e">
        <v>#N/A</v>
      </c>
      <c r="IBY30" t="e">
        <v>#N/A</v>
      </c>
      <c r="IBZ30" t="e">
        <v>#N/A</v>
      </c>
      <c r="ICA30" t="e">
        <v>#N/A</v>
      </c>
      <c r="ICB30" t="e">
        <v>#N/A</v>
      </c>
      <c r="ICC30" t="e">
        <v>#N/A</v>
      </c>
      <c r="ICD30" t="e">
        <v>#N/A</v>
      </c>
      <c r="ICE30" t="e">
        <v>#N/A</v>
      </c>
      <c r="ICF30" t="e">
        <v>#N/A</v>
      </c>
      <c r="ICG30" t="e">
        <v>#N/A</v>
      </c>
      <c r="ICH30" t="e">
        <v>#N/A</v>
      </c>
      <c r="ICI30" t="e">
        <v>#N/A</v>
      </c>
      <c r="ICJ30" t="e">
        <v>#N/A</v>
      </c>
      <c r="ICK30" t="e">
        <v>#N/A</v>
      </c>
      <c r="ICL30" t="e">
        <v>#N/A</v>
      </c>
      <c r="ICM30" t="e">
        <v>#N/A</v>
      </c>
      <c r="ICN30" t="e">
        <v>#N/A</v>
      </c>
      <c r="ICO30" t="e">
        <v>#N/A</v>
      </c>
      <c r="ICP30" t="e">
        <v>#N/A</v>
      </c>
      <c r="ICQ30" t="e">
        <v>#N/A</v>
      </c>
      <c r="ICR30" t="e">
        <v>#N/A</v>
      </c>
      <c r="ICS30" t="e">
        <v>#N/A</v>
      </c>
      <c r="ICT30" t="e">
        <v>#N/A</v>
      </c>
      <c r="ICU30" t="e">
        <v>#N/A</v>
      </c>
      <c r="ICV30" t="e">
        <v>#N/A</v>
      </c>
      <c r="ICW30" t="e">
        <v>#N/A</v>
      </c>
      <c r="ICX30" t="e">
        <v>#N/A</v>
      </c>
      <c r="ICY30" t="e">
        <v>#N/A</v>
      </c>
      <c r="ICZ30" t="e">
        <v>#N/A</v>
      </c>
      <c r="IDA30" t="e">
        <v>#N/A</v>
      </c>
      <c r="IDB30" t="e">
        <v>#N/A</v>
      </c>
      <c r="IDC30" t="e">
        <v>#N/A</v>
      </c>
      <c r="IDD30" t="e">
        <v>#N/A</v>
      </c>
      <c r="IDE30" t="e">
        <v>#N/A</v>
      </c>
      <c r="IDF30" t="e">
        <v>#N/A</v>
      </c>
      <c r="IDG30" t="e">
        <v>#N/A</v>
      </c>
      <c r="IDH30" t="e">
        <v>#N/A</v>
      </c>
      <c r="IDI30" t="e">
        <v>#N/A</v>
      </c>
      <c r="IDJ30" t="e">
        <v>#N/A</v>
      </c>
      <c r="IDK30" t="e">
        <v>#N/A</v>
      </c>
      <c r="IDL30" t="e">
        <v>#N/A</v>
      </c>
      <c r="IDM30" t="e">
        <v>#N/A</v>
      </c>
      <c r="IDN30" t="e">
        <v>#N/A</v>
      </c>
      <c r="IDO30" t="e">
        <v>#N/A</v>
      </c>
      <c r="IDP30" t="e">
        <v>#N/A</v>
      </c>
      <c r="IDQ30" t="e">
        <v>#N/A</v>
      </c>
      <c r="IDR30" t="e">
        <v>#N/A</v>
      </c>
      <c r="IDS30" t="e">
        <v>#N/A</v>
      </c>
      <c r="IDT30" t="e">
        <v>#N/A</v>
      </c>
      <c r="IDU30" t="e">
        <v>#N/A</v>
      </c>
      <c r="IDV30" t="e">
        <v>#N/A</v>
      </c>
      <c r="IDW30" t="e">
        <v>#N/A</v>
      </c>
      <c r="IDX30" t="e">
        <v>#N/A</v>
      </c>
      <c r="IDY30" t="e">
        <v>#N/A</v>
      </c>
      <c r="IDZ30" t="e">
        <v>#N/A</v>
      </c>
      <c r="IEA30" t="e">
        <v>#N/A</v>
      </c>
      <c r="IEB30" t="e">
        <v>#N/A</v>
      </c>
      <c r="IEC30" t="e">
        <v>#N/A</v>
      </c>
      <c r="IED30" t="e">
        <v>#N/A</v>
      </c>
      <c r="IEE30" t="e">
        <v>#N/A</v>
      </c>
      <c r="IEF30" t="e">
        <v>#N/A</v>
      </c>
      <c r="IEG30" t="e">
        <v>#N/A</v>
      </c>
      <c r="IEH30" t="e">
        <v>#N/A</v>
      </c>
      <c r="IEI30" t="e">
        <v>#N/A</v>
      </c>
      <c r="IEJ30" t="e">
        <v>#N/A</v>
      </c>
      <c r="IEK30" t="e">
        <v>#N/A</v>
      </c>
      <c r="IEL30" t="e">
        <v>#N/A</v>
      </c>
      <c r="IEM30" t="e">
        <v>#N/A</v>
      </c>
      <c r="IEN30" t="e">
        <v>#N/A</v>
      </c>
      <c r="IEO30" t="e">
        <v>#N/A</v>
      </c>
      <c r="IEP30" t="e">
        <v>#N/A</v>
      </c>
      <c r="IEQ30" t="e">
        <v>#N/A</v>
      </c>
      <c r="IER30" t="e">
        <v>#N/A</v>
      </c>
      <c r="IES30" t="e">
        <v>#N/A</v>
      </c>
      <c r="IET30" t="e">
        <v>#N/A</v>
      </c>
      <c r="IEU30" t="e">
        <v>#N/A</v>
      </c>
      <c r="IEV30" t="e">
        <v>#N/A</v>
      </c>
      <c r="IEW30" t="e">
        <v>#N/A</v>
      </c>
      <c r="IEX30" t="e">
        <v>#N/A</v>
      </c>
      <c r="IEY30" t="e">
        <v>#N/A</v>
      </c>
      <c r="IEZ30" t="e">
        <v>#N/A</v>
      </c>
      <c r="IFA30" t="e">
        <v>#N/A</v>
      </c>
      <c r="IFB30" t="e">
        <v>#N/A</v>
      </c>
      <c r="IFC30" t="e">
        <v>#N/A</v>
      </c>
      <c r="IFD30" t="e">
        <v>#N/A</v>
      </c>
      <c r="IFE30" t="e">
        <v>#N/A</v>
      </c>
      <c r="IFF30" t="e">
        <v>#N/A</v>
      </c>
      <c r="IFG30" t="e">
        <v>#N/A</v>
      </c>
      <c r="IFH30" t="e">
        <v>#N/A</v>
      </c>
      <c r="IFI30" t="e">
        <v>#N/A</v>
      </c>
      <c r="IFJ30" t="e">
        <v>#N/A</v>
      </c>
      <c r="IFK30" t="e">
        <v>#N/A</v>
      </c>
      <c r="IFL30" t="e">
        <v>#N/A</v>
      </c>
      <c r="IFM30" t="e">
        <v>#N/A</v>
      </c>
      <c r="IFN30" t="e">
        <v>#N/A</v>
      </c>
      <c r="IFO30" t="e">
        <v>#N/A</v>
      </c>
      <c r="IFP30" t="e">
        <v>#N/A</v>
      </c>
      <c r="IFQ30" t="e">
        <v>#N/A</v>
      </c>
      <c r="IFR30" t="e">
        <v>#N/A</v>
      </c>
      <c r="IFS30" t="e">
        <v>#N/A</v>
      </c>
      <c r="IFT30" t="e">
        <v>#N/A</v>
      </c>
      <c r="IFU30" t="e">
        <v>#N/A</v>
      </c>
      <c r="IFV30" t="e">
        <v>#N/A</v>
      </c>
      <c r="IFW30" t="e">
        <v>#N/A</v>
      </c>
      <c r="IFX30" t="e">
        <v>#N/A</v>
      </c>
      <c r="IFY30" t="e">
        <v>#N/A</v>
      </c>
      <c r="IFZ30" t="e">
        <v>#N/A</v>
      </c>
      <c r="IGA30" t="e">
        <v>#N/A</v>
      </c>
      <c r="IGB30" t="e">
        <v>#N/A</v>
      </c>
      <c r="IGC30" t="e">
        <v>#N/A</v>
      </c>
      <c r="IGD30" t="e">
        <v>#N/A</v>
      </c>
      <c r="IGE30" t="e">
        <v>#N/A</v>
      </c>
      <c r="IGF30" t="e">
        <v>#N/A</v>
      </c>
      <c r="IGG30" t="e">
        <v>#N/A</v>
      </c>
      <c r="IGH30" t="e">
        <v>#N/A</v>
      </c>
      <c r="IGI30" t="e">
        <v>#N/A</v>
      </c>
      <c r="IGJ30" t="e">
        <v>#N/A</v>
      </c>
      <c r="IGK30" t="e">
        <v>#N/A</v>
      </c>
      <c r="IGL30" t="e">
        <v>#N/A</v>
      </c>
      <c r="IGM30" t="e">
        <v>#N/A</v>
      </c>
      <c r="IGN30" t="e">
        <v>#N/A</v>
      </c>
      <c r="IGO30" t="e">
        <v>#N/A</v>
      </c>
      <c r="IGP30" t="e">
        <v>#N/A</v>
      </c>
      <c r="IGQ30" t="e">
        <v>#N/A</v>
      </c>
      <c r="IGR30" t="e">
        <v>#N/A</v>
      </c>
      <c r="IGS30" t="e">
        <v>#N/A</v>
      </c>
      <c r="IGT30" t="e">
        <v>#N/A</v>
      </c>
      <c r="IGU30" t="e">
        <v>#N/A</v>
      </c>
      <c r="IGV30" t="e">
        <v>#N/A</v>
      </c>
      <c r="IGW30" t="e">
        <v>#N/A</v>
      </c>
      <c r="IGX30" t="e">
        <v>#N/A</v>
      </c>
      <c r="IGY30" t="e">
        <v>#N/A</v>
      </c>
      <c r="IGZ30" t="e">
        <v>#N/A</v>
      </c>
      <c r="IHA30" t="e">
        <v>#N/A</v>
      </c>
      <c r="IHB30" t="e">
        <v>#N/A</v>
      </c>
      <c r="IHC30" t="e">
        <v>#N/A</v>
      </c>
      <c r="IHD30" t="e">
        <v>#N/A</v>
      </c>
      <c r="IHE30" t="e">
        <v>#N/A</v>
      </c>
      <c r="IHF30" t="e">
        <v>#N/A</v>
      </c>
      <c r="IHG30" t="e">
        <v>#N/A</v>
      </c>
      <c r="IHH30" t="e">
        <v>#N/A</v>
      </c>
      <c r="IHI30" t="e">
        <v>#N/A</v>
      </c>
      <c r="IHJ30" t="e">
        <v>#N/A</v>
      </c>
      <c r="IHK30" t="e">
        <v>#N/A</v>
      </c>
      <c r="IHL30" t="e">
        <v>#N/A</v>
      </c>
      <c r="IHM30" t="e">
        <v>#N/A</v>
      </c>
      <c r="IHN30" t="e">
        <v>#N/A</v>
      </c>
      <c r="IHO30" t="e">
        <v>#N/A</v>
      </c>
      <c r="IHP30" t="e">
        <v>#N/A</v>
      </c>
      <c r="IHQ30" t="e">
        <v>#N/A</v>
      </c>
      <c r="IHR30" t="e">
        <v>#N/A</v>
      </c>
      <c r="IHS30" t="e">
        <v>#N/A</v>
      </c>
      <c r="IHT30" t="e">
        <v>#N/A</v>
      </c>
      <c r="IHU30" t="e">
        <v>#N/A</v>
      </c>
      <c r="IHV30" t="e">
        <v>#N/A</v>
      </c>
      <c r="IHW30" t="e">
        <v>#N/A</v>
      </c>
      <c r="IHX30" t="e">
        <v>#N/A</v>
      </c>
      <c r="IHY30" t="e">
        <v>#N/A</v>
      </c>
      <c r="IHZ30" t="e">
        <v>#N/A</v>
      </c>
      <c r="IIA30" t="e">
        <v>#N/A</v>
      </c>
      <c r="IIB30" t="e">
        <v>#N/A</v>
      </c>
      <c r="IIC30" t="e">
        <v>#N/A</v>
      </c>
      <c r="IID30" t="e">
        <v>#N/A</v>
      </c>
      <c r="IIE30" t="e">
        <v>#N/A</v>
      </c>
      <c r="IIF30" t="e">
        <v>#N/A</v>
      </c>
      <c r="IIG30" t="e">
        <v>#N/A</v>
      </c>
      <c r="IIH30" t="e">
        <v>#N/A</v>
      </c>
      <c r="III30" t="e">
        <v>#N/A</v>
      </c>
      <c r="IIJ30" t="e">
        <v>#N/A</v>
      </c>
      <c r="IIK30" t="e">
        <v>#N/A</v>
      </c>
      <c r="IIL30" t="e">
        <v>#N/A</v>
      </c>
      <c r="IIM30" t="e">
        <v>#N/A</v>
      </c>
      <c r="IIN30" t="e">
        <v>#N/A</v>
      </c>
      <c r="IIO30" t="e">
        <v>#N/A</v>
      </c>
      <c r="IIP30" t="e">
        <v>#N/A</v>
      </c>
      <c r="IIQ30" t="e">
        <v>#N/A</v>
      </c>
      <c r="IIR30" t="e">
        <v>#N/A</v>
      </c>
      <c r="IIS30" t="e">
        <v>#N/A</v>
      </c>
      <c r="IIT30" t="e">
        <v>#N/A</v>
      </c>
      <c r="IIU30" t="e">
        <v>#N/A</v>
      </c>
      <c r="IIV30" t="e">
        <v>#N/A</v>
      </c>
      <c r="IIW30" t="e">
        <v>#N/A</v>
      </c>
      <c r="IIX30" t="e">
        <v>#N/A</v>
      </c>
      <c r="IIY30" t="e">
        <v>#N/A</v>
      </c>
      <c r="IIZ30" t="e">
        <v>#N/A</v>
      </c>
      <c r="IJA30" t="e">
        <v>#N/A</v>
      </c>
      <c r="IJB30" t="e">
        <v>#N/A</v>
      </c>
      <c r="IJC30" t="e">
        <v>#N/A</v>
      </c>
      <c r="IJD30" t="e">
        <v>#N/A</v>
      </c>
      <c r="IJE30" t="e">
        <v>#N/A</v>
      </c>
      <c r="IJF30" t="e">
        <v>#N/A</v>
      </c>
      <c r="IJG30" t="e">
        <v>#N/A</v>
      </c>
      <c r="IJH30" t="e">
        <v>#N/A</v>
      </c>
      <c r="IJI30" t="e">
        <v>#N/A</v>
      </c>
      <c r="IJJ30" t="e">
        <v>#N/A</v>
      </c>
      <c r="IJK30" t="e">
        <v>#N/A</v>
      </c>
      <c r="IJL30" t="e">
        <v>#N/A</v>
      </c>
      <c r="IJM30" t="e">
        <v>#N/A</v>
      </c>
      <c r="IJN30" t="e">
        <v>#N/A</v>
      </c>
      <c r="IJO30" t="e">
        <v>#N/A</v>
      </c>
      <c r="IJP30" t="e">
        <v>#N/A</v>
      </c>
      <c r="IJQ30" t="e">
        <v>#N/A</v>
      </c>
      <c r="IJR30" t="e">
        <v>#N/A</v>
      </c>
      <c r="IJS30" t="e">
        <v>#N/A</v>
      </c>
      <c r="IJT30" t="e">
        <v>#N/A</v>
      </c>
      <c r="IJU30" t="e">
        <v>#N/A</v>
      </c>
      <c r="IJV30" t="e">
        <v>#N/A</v>
      </c>
      <c r="IJW30" t="e">
        <v>#N/A</v>
      </c>
      <c r="IJX30" t="e">
        <v>#N/A</v>
      </c>
      <c r="IJY30" t="e">
        <v>#N/A</v>
      </c>
      <c r="IJZ30" t="e">
        <v>#N/A</v>
      </c>
      <c r="IKA30" t="e">
        <v>#N/A</v>
      </c>
      <c r="IKB30" t="e">
        <v>#N/A</v>
      </c>
      <c r="IKC30" t="e">
        <v>#N/A</v>
      </c>
      <c r="IKD30" t="e">
        <v>#N/A</v>
      </c>
      <c r="IKE30" t="e">
        <v>#N/A</v>
      </c>
      <c r="IKF30" t="e">
        <v>#N/A</v>
      </c>
      <c r="IKG30" t="e">
        <v>#N/A</v>
      </c>
      <c r="IKH30" t="e">
        <v>#N/A</v>
      </c>
      <c r="IKI30" t="e">
        <v>#N/A</v>
      </c>
      <c r="IKJ30" t="e">
        <v>#N/A</v>
      </c>
      <c r="IKK30" t="e">
        <v>#N/A</v>
      </c>
      <c r="IKL30" t="e">
        <v>#N/A</v>
      </c>
      <c r="IKM30" t="e">
        <v>#N/A</v>
      </c>
      <c r="IKN30" t="e">
        <v>#N/A</v>
      </c>
      <c r="IKO30" t="e">
        <v>#N/A</v>
      </c>
      <c r="IKP30" t="e">
        <v>#N/A</v>
      </c>
      <c r="IKQ30" t="e">
        <v>#N/A</v>
      </c>
      <c r="IKR30" t="e">
        <v>#N/A</v>
      </c>
      <c r="IKS30" t="e">
        <v>#N/A</v>
      </c>
      <c r="IKT30" t="e">
        <v>#N/A</v>
      </c>
      <c r="IKU30" t="e">
        <v>#N/A</v>
      </c>
      <c r="IKV30" t="e">
        <v>#N/A</v>
      </c>
      <c r="IKW30" t="e">
        <v>#N/A</v>
      </c>
      <c r="IKX30" t="e">
        <v>#N/A</v>
      </c>
      <c r="IKY30" t="e">
        <v>#N/A</v>
      </c>
      <c r="IKZ30" t="e">
        <v>#N/A</v>
      </c>
      <c r="ILA30" t="e">
        <v>#N/A</v>
      </c>
      <c r="ILB30" t="e">
        <v>#N/A</v>
      </c>
      <c r="ILC30" t="e">
        <v>#N/A</v>
      </c>
      <c r="ILD30" t="e">
        <v>#N/A</v>
      </c>
      <c r="ILE30" t="e">
        <v>#N/A</v>
      </c>
      <c r="ILF30" t="e">
        <v>#N/A</v>
      </c>
      <c r="ILG30" t="e">
        <v>#N/A</v>
      </c>
      <c r="ILH30" t="e">
        <v>#N/A</v>
      </c>
      <c r="ILI30" t="e">
        <v>#N/A</v>
      </c>
      <c r="ILJ30" t="e">
        <v>#N/A</v>
      </c>
      <c r="ILK30" t="e">
        <v>#N/A</v>
      </c>
      <c r="ILL30" t="e">
        <v>#N/A</v>
      </c>
      <c r="ILM30" t="e">
        <v>#N/A</v>
      </c>
      <c r="ILN30" t="e">
        <v>#N/A</v>
      </c>
      <c r="ILO30" t="e">
        <v>#N/A</v>
      </c>
      <c r="ILP30" t="e">
        <v>#N/A</v>
      </c>
      <c r="ILQ30" t="e">
        <v>#N/A</v>
      </c>
      <c r="ILR30" t="e">
        <v>#N/A</v>
      </c>
      <c r="ILS30" t="e">
        <v>#N/A</v>
      </c>
      <c r="ILT30" t="e">
        <v>#N/A</v>
      </c>
      <c r="ILU30" t="e">
        <v>#N/A</v>
      </c>
      <c r="ILV30" t="e">
        <v>#N/A</v>
      </c>
      <c r="ILW30" t="e">
        <v>#N/A</v>
      </c>
      <c r="ILX30" t="e">
        <v>#N/A</v>
      </c>
      <c r="ILY30" t="e">
        <v>#N/A</v>
      </c>
      <c r="ILZ30" t="e">
        <v>#N/A</v>
      </c>
      <c r="IMA30" t="e">
        <v>#N/A</v>
      </c>
      <c r="IMB30" t="e">
        <v>#N/A</v>
      </c>
      <c r="IMC30" t="e">
        <v>#N/A</v>
      </c>
      <c r="IMD30" t="e">
        <v>#N/A</v>
      </c>
      <c r="IME30" t="e">
        <v>#N/A</v>
      </c>
      <c r="IMF30" t="e">
        <v>#N/A</v>
      </c>
      <c r="IMG30" t="e">
        <v>#N/A</v>
      </c>
      <c r="IMH30" t="e">
        <v>#N/A</v>
      </c>
      <c r="IMI30" t="e">
        <v>#N/A</v>
      </c>
      <c r="IMJ30" t="e">
        <v>#N/A</v>
      </c>
      <c r="IMK30" t="e">
        <v>#N/A</v>
      </c>
      <c r="IML30" t="e">
        <v>#N/A</v>
      </c>
      <c r="IMM30" t="e">
        <v>#N/A</v>
      </c>
      <c r="IMN30" t="e">
        <v>#N/A</v>
      </c>
      <c r="IMO30" t="e">
        <v>#N/A</v>
      </c>
      <c r="IMP30" t="e">
        <v>#N/A</v>
      </c>
      <c r="IMQ30" t="e">
        <v>#N/A</v>
      </c>
      <c r="IMR30" t="e">
        <v>#N/A</v>
      </c>
      <c r="IMS30" t="e">
        <v>#N/A</v>
      </c>
      <c r="IMT30" t="e">
        <v>#N/A</v>
      </c>
      <c r="IMU30" t="e">
        <v>#N/A</v>
      </c>
      <c r="IMV30" t="e">
        <v>#N/A</v>
      </c>
      <c r="IMW30" t="e">
        <v>#N/A</v>
      </c>
      <c r="IMX30" t="e">
        <v>#N/A</v>
      </c>
      <c r="IMY30" t="e">
        <v>#N/A</v>
      </c>
      <c r="IMZ30" t="e">
        <v>#N/A</v>
      </c>
      <c r="INA30" t="e">
        <v>#N/A</v>
      </c>
      <c r="INB30" t="e">
        <v>#N/A</v>
      </c>
      <c r="INC30" t="e">
        <v>#N/A</v>
      </c>
      <c r="IND30" t="e">
        <v>#N/A</v>
      </c>
      <c r="INE30" t="e">
        <v>#N/A</v>
      </c>
      <c r="INF30" t="e">
        <v>#N/A</v>
      </c>
      <c r="ING30" t="e">
        <v>#N/A</v>
      </c>
      <c r="INH30" t="e">
        <v>#N/A</v>
      </c>
      <c r="INI30" t="e">
        <v>#N/A</v>
      </c>
      <c r="INJ30" t="e">
        <v>#N/A</v>
      </c>
      <c r="INK30" t="e">
        <v>#N/A</v>
      </c>
      <c r="INL30" t="e">
        <v>#N/A</v>
      </c>
      <c r="INM30" t="e">
        <v>#N/A</v>
      </c>
      <c r="INN30" t="e">
        <v>#N/A</v>
      </c>
      <c r="INO30" t="e">
        <v>#N/A</v>
      </c>
      <c r="INP30" t="e">
        <v>#N/A</v>
      </c>
      <c r="INQ30" t="e">
        <v>#N/A</v>
      </c>
      <c r="INR30" t="e">
        <v>#N/A</v>
      </c>
      <c r="INS30" t="e">
        <v>#N/A</v>
      </c>
      <c r="INT30" t="e">
        <v>#N/A</v>
      </c>
      <c r="INU30" t="e">
        <v>#N/A</v>
      </c>
      <c r="INV30" t="e">
        <v>#N/A</v>
      </c>
      <c r="INW30" t="e">
        <v>#N/A</v>
      </c>
      <c r="INX30" t="e">
        <v>#N/A</v>
      </c>
      <c r="INY30" t="e">
        <v>#N/A</v>
      </c>
      <c r="INZ30" t="e">
        <v>#N/A</v>
      </c>
      <c r="IOA30" t="e">
        <v>#N/A</v>
      </c>
      <c r="IOB30" t="e">
        <v>#N/A</v>
      </c>
      <c r="IOC30" t="e">
        <v>#N/A</v>
      </c>
      <c r="IOD30" t="e">
        <v>#N/A</v>
      </c>
      <c r="IOE30" t="e">
        <v>#N/A</v>
      </c>
      <c r="IOF30" t="e">
        <v>#N/A</v>
      </c>
      <c r="IOG30" t="e">
        <v>#N/A</v>
      </c>
      <c r="IOH30" t="e">
        <v>#N/A</v>
      </c>
      <c r="IOI30" t="e">
        <v>#N/A</v>
      </c>
      <c r="IOJ30" t="e">
        <v>#N/A</v>
      </c>
      <c r="IOK30" t="e">
        <v>#N/A</v>
      </c>
      <c r="IOL30" t="e">
        <v>#N/A</v>
      </c>
      <c r="IOM30" t="e">
        <v>#N/A</v>
      </c>
      <c r="ION30" t="e">
        <v>#N/A</v>
      </c>
      <c r="IOO30" t="e">
        <v>#N/A</v>
      </c>
      <c r="IOP30" t="e">
        <v>#N/A</v>
      </c>
      <c r="IOQ30" t="e">
        <v>#N/A</v>
      </c>
      <c r="IOR30" t="e">
        <v>#N/A</v>
      </c>
      <c r="IOS30" t="e">
        <v>#N/A</v>
      </c>
      <c r="IOT30" t="e">
        <v>#N/A</v>
      </c>
      <c r="IOU30" t="e">
        <v>#N/A</v>
      </c>
      <c r="IOV30" t="e">
        <v>#N/A</v>
      </c>
      <c r="IOW30" t="e">
        <v>#N/A</v>
      </c>
      <c r="IOX30" t="e">
        <v>#N/A</v>
      </c>
      <c r="IOY30" t="e">
        <v>#N/A</v>
      </c>
      <c r="IOZ30" t="e">
        <v>#N/A</v>
      </c>
      <c r="IPA30" t="e">
        <v>#N/A</v>
      </c>
      <c r="IPB30" t="e">
        <v>#N/A</v>
      </c>
      <c r="IPC30" t="e">
        <v>#N/A</v>
      </c>
      <c r="IPD30" t="e">
        <v>#N/A</v>
      </c>
      <c r="IPE30" t="e">
        <v>#N/A</v>
      </c>
      <c r="IPF30" t="e">
        <v>#N/A</v>
      </c>
      <c r="IPG30" t="e">
        <v>#N/A</v>
      </c>
      <c r="IPH30" t="e">
        <v>#N/A</v>
      </c>
      <c r="IPI30" t="e">
        <v>#N/A</v>
      </c>
      <c r="IPJ30" t="e">
        <v>#N/A</v>
      </c>
      <c r="IPK30" t="e">
        <v>#N/A</v>
      </c>
      <c r="IPL30" t="e">
        <v>#N/A</v>
      </c>
      <c r="IPM30" t="e">
        <v>#N/A</v>
      </c>
      <c r="IPN30" t="e">
        <v>#N/A</v>
      </c>
      <c r="IPO30" t="e">
        <v>#N/A</v>
      </c>
      <c r="IPP30" t="e">
        <v>#N/A</v>
      </c>
      <c r="IPQ30" t="e">
        <v>#N/A</v>
      </c>
      <c r="IPR30" t="e">
        <v>#N/A</v>
      </c>
      <c r="IPS30" t="e">
        <v>#N/A</v>
      </c>
      <c r="IPT30" t="e">
        <v>#N/A</v>
      </c>
      <c r="IPU30" t="e">
        <v>#N/A</v>
      </c>
      <c r="IPV30" t="e">
        <v>#N/A</v>
      </c>
      <c r="IPW30" t="e">
        <v>#N/A</v>
      </c>
      <c r="IPX30" t="e">
        <v>#N/A</v>
      </c>
      <c r="IPY30" t="e">
        <v>#N/A</v>
      </c>
      <c r="IPZ30" t="e">
        <v>#N/A</v>
      </c>
      <c r="IQA30" t="e">
        <v>#N/A</v>
      </c>
      <c r="IQB30" t="e">
        <v>#N/A</v>
      </c>
      <c r="IQC30" t="e">
        <v>#N/A</v>
      </c>
      <c r="IQD30" t="e">
        <v>#N/A</v>
      </c>
      <c r="IQE30" t="e">
        <v>#N/A</v>
      </c>
      <c r="IQF30" t="e">
        <v>#N/A</v>
      </c>
      <c r="IQG30" t="e">
        <v>#N/A</v>
      </c>
      <c r="IQH30" t="e">
        <v>#N/A</v>
      </c>
      <c r="IQI30" t="e">
        <v>#N/A</v>
      </c>
      <c r="IQJ30" t="e">
        <v>#N/A</v>
      </c>
      <c r="IQK30" t="e">
        <v>#N/A</v>
      </c>
      <c r="IQL30" t="e">
        <v>#N/A</v>
      </c>
      <c r="IQM30" t="e">
        <v>#N/A</v>
      </c>
      <c r="IQN30" t="e">
        <v>#N/A</v>
      </c>
      <c r="IQO30" t="e">
        <v>#N/A</v>
      </c>
      <c r="IQP30" t="e">
        <v>#N/A</v>
      </c>
      <c r="IQQ30" t="e">
        <v>#N/A</v>
      </c>
      <c r="IQR30" t="e">
        <v>#N/A</v>
      </c>
      <c r="IQS30" t="e">
        <v>#N/A</v>
      </c>
      <c r="IQT30" t="e">
        <v>#N/A</v>
      </c>
      <c r="IQU30" t="e">
        <v>#N/A</v>
      </c>
      <c r="IQV30" t="e">
        <v>#N/A</v>
      </c>
      <c r="IQW30" t="e">
        <v>#N/A</v>
      </c>
      <c r="IQX30" t="e">
        <v>#N/A</v>
      </c>
      <c r="IQY30" t="e">
        <v>#N/A</v>
      </c>
      <c r="IQZ30" t="e">
        <v>#N/A</v>
      </c>
      <c r="IRA30" t="e">
        <v>#N/A</v>
      </c>
      <c r="IRB30" t="e">
        <v>#N/A</v>
      </c>
      <c r="IRC30" t="e">
        <v>#N/A</v>
      </c>
      <c r="IRD30" t="e">
        <v>#N/A</v>
      </c>
      <c r="IRE30" t="e">
        <v>#N/A</v>
      </c>
      <c r="IRF30" t="e">
        <v>#N/A</v>
      </c>
      <c r="IRG30" t="e">
        <v>#N/A</v>
      </c>
      <c r="IRH30" t="e">
        <v>#N/A</v>
      </c>
      <c r="IRI30" t="e">
        <v>#N/A</v>
      </c>
      <c r="IRJ30" t="e">
        <v>#N/A</v>
      </c>
      <c r="IRK30" t="e">
        <v>#N/A</v>
      </c>
      <c r="IRL30" t="e">
        <v>#N/A</v>
      </c>
      <c r="IRM30" t="e">
        <v>#N/A</v>
      </c>
      <c r="IRN30" t="e">
        <v>#N/A</v>
      </c>
      <c r="IRO30" t="e">
        <v>#N/A</v>
      </c>
      <c r="IRP30" t="e">
        <v>#N/A</v>
      </c>
      <c r="IRQ30" t="e">
        <v>#N/A</v>
      </c>
      <c r="IRR30" t="e">
        <v>#N/A</v>
      </c>
      <c r="IRS30" t="e">
        <v>#N/A</v>
      </c>
      <c r="IRT30" t="e">
        <v>#N/A</v>
      </c>
      <c r="IRU30" t="e">
        <v>#N/A</v>
      </c>
      <c r="IRV30" t="e">
        <v>#N/A</v>
      </c>
      <c r="IRW30" t="e">
        <v>#N/A</v>
      </c>
      <c r="IRX30" t="e">
        <v>#N/A</v>
      </c>
      <c r="IRY30" t="e">
        <v>#N/A</v>
      </c>
      <c r="IRZ30" t="e">
        <v>#N/A</v>
      </c>
      <c r="ISA30" t="e">
        <v>#N/A</v>
      </c>
      <c r="ISB30" t="e">
        <v>#N/A</v>
      </c>
      <c r="ISC30" t="e">
        <v>#N/A</v>
      </c>
      <c r="ISD30" t="e">
        <v>#N/A</v>
      </c>
      <c r="ISE30" t="e">
        <v>#N/A</v>
      </c>
      <c r="ISF30" t="e">
        <v>#N/A</v>
      </c>
      <c r="ISG30" t="e">
        <v>#N/A</v>
      </c>
      <c r="ISH30" t="e">
        <v>#N/A</v>
      </c>
      <c r="ISI30" t="e">
        <v>#N/A</v>
      </c>
      <c r="ISJ30" t="e">
        <v>#N/A</v>
      </c>
      <c r="ISK30" t="e">
        <v>#N/A</v>
      </c>
      <c r="ISL30" t="e">
        <v>#N/A</v>
      </c>
      <c r="ISM30" t="e">
        <v>#N/A</v>
      </c>
      <c r="ISN30" t="e">
        <v>#N/A</v>
      </c>
      <c r="ISO30" t="e">
        <v>#N/A</v>
      </c>
      <c r="ISP30" t="e">
        <v>#N/A</v>
      </c>
      <c r="ISQ30" t="e">
        <v>#N/A</v>
      </c>
      <c r="ISR30" t="e">
        <v>#N/A</v>
      </c>
      <c r="ISS30" t="e">
        <v>#N/A</v>
      </c>
      <c r="IST30" t="e">
        <v>#N/A</v>
      </c>
      <c r="ISU30" t="e">
        <v>#N/A</v>
      </c>
      <c r="ISV30" t="e">
        <v>#N/A</v>
      </c>
      <c r="ISW30" t="e">
        <v>#N/A</v>
      </c>
      <c r="ISX30" t="e">
        <v>#N/A</v>
      </c>
      <c r="ISY30" t="e">
        <v>#N/A</v>
      </c>
      <c r="ISZ30" t="e">
        <v>#N/A</v>
      </c>
      <c r="ITA30" t="e">
        <v>#N/A</v>
      </c>
      <c r="ITB30" t="e">
        <v>#N/A</v>
      </c>
      <c r="ITC30" t="e">
        <v>#N/A</v>
      </c>
      <c r="ITD30" t="e">
        <v>#N/A</v>
      </c>
      <c r="ITE30" t="e">
        <v>#N/A</v>
      </c>
      <c r="ITF30" t="e">
        <v>#N/A</v>
      </c>
      <c r="ITG30" t="e">
        <v>#N/A</v>
      </c>
      <c r="ITH30" t="e">
        <v>#N/A</v>
      </c>
      <c r="ITI30" t="e">
        <v>#N/A</v>
      </c>
      <c r="ITJ30" t="e">
        <v>#N/A</v>
      </c>
      <c r="ITK30" t="e">
        <v>#N/A</v>
      </c>
      <c r="ITL30" t="e">
        <v>#N/A</v>
      </c>
      <c r="ITM30" t="e">
        <v>#N/A</v>
      </c>
      <c r="ITN30" t="e">
        <v>#N/A</v>
      </c>
      <c r="ITO30" t="e">
        <v>#N/A</v>
      </c>
      <c r="ITP30" t="e">
        <v>#N/A</v>
      </c>
      <c r="ITQ30" t="e">
        <v>#N/A</v>
      </c>
      <c r="ITR30" t="e">
        <v>#N/A</v>
      </c>
      <c r="ITS30" t="e">
        <v>#N/A</v>
      </c>
      <c r="ITT30" t="e">
        <v>#N/A</v>
      </c>
      <c r="ITU30" t="e">
        <v>#N/A</v>
      </c>
      <c r="ITV30" t="e">
        <v>#N/A</v>
      </c>
      <c r="ITW30" t="e">
        <v>#N/A</v>
      </c>
      <c r="ITX30" t="e">
        <v>#N/A</v>
      </c>
      <c r="ITY30" t="e">
        <v>#N/A</v>
      </c>
      <c r="ITZ30" t="e">
        <v>#N/A</v>
      </c>
      <c r="IUA30" t="e">
        <v>#N/A</v>
      </c>
      <c r="IUB30" t="e">
        <v>#N/A</v>
      </c>
      <c r="IUC30" t="e">
        <v>#N/A</v>
      </c>
      <c r="IUD30" t="e">
        <v>#N/A</v>
      </c>
      <c r="IUE30" t="e">
        <v>#N/A</v>
      </c>
      <c r="IUF30" t="e">
        <v>#N/A</v>
      </c>
      <c r="IUG30" t="e">
        <v>#N/A</v>
      </c>
      <c r="IUH30" t="e">
        <v>#N/A</v>
      </c>
      <c r="IUI30" t="e">
        <v>#N/A</v>
      </c>
      <c r="IUJ30" t="e">
        <v>#N/A</v>
      </c>
      <c r="IUK30" t="e">
        <v>#N/A</v>
      </c>
      <c r="IUL30" t="e">
        <v>#N/A</v>
      </c>
      <c r="IUM30" t="e">
        <v>#N/A</v>
      </c>
      <c r="IUN30" t="e">
        <v>#N/A</v>
      </c>
      <c r="IUO30" t="e">
        <v>#N/A</v>
      </c>
      <c r="IUP30" t="e">
        <v>#N/A</v>
      </c>
      <c r="IUQ30" t="e">
        <v>#N/A</v>
      </c>
      <c r="IUR30" t="e">
        <v>#N/A</v>
      </c>
      <c r="IUS30" t="e">
        <v>#N/A</v>
      </c>
      <c r="IUT30" t="e">
        <v>#N/A</v>
      </c>
      <c r="IUU30" t="e">
        <v>#N/A</v>
      </c>
      <c r="IUV30" t="e">
        <v>#N/A</v>
      </c>
      <c r="IUW30" t="e">
        <v>#N/A</v>
      </c>
      <c r="IUX30" t="e">
        <v>#N/A</v>
      </c>
      <c r="IUY30" t="e">
        <v>#N/A</v>
      </c>
      <c r="IUZ30" t="e">
        <v>#N/A</v>
      </c>
      <c r="IVA30" t="e">
        <v>#N/A</v>
      </c>
      <c r="IVB30" t="e">
        <v>#N/A</v>
      </c>
      <c r="IVC30" t="e">
        <v>#N/A</v>
      </c>
      <c r="IVD30" t="e">
        <v>#N/A</v>
      </c>
      <c r="IVE30" t="e">
        <v>#N/A</v>
      </c>
      <c r="IVF30" t="e">
        <v>#N/A</v>
      </c>
      <c r="IVG30" t="e">
        <v>#N/A</v>
      </c>
      <c r="IVH30" t="e">
        <v>#N/A</v>
      </c>
      <c r="IVI30" t="e">
        <v>#N/A</v>
      </c>
      <c r="IVJ30" t="e">
        <v>#N/A</v>
      </c>
      <c r="IVK30" t="e">
        <v>#N/A</v>
      </c>
      <c r="IVL30" t="e">
        <v>#N/A</v>
      </c>
      <c r="IVM30" t="e">
        <v>#N/A</v>
      </c>
      <c r="IVN30" t="e">
        <v>#N/A</v>
      </c>
      <c r="IVO30" t="e">
        <v>#N/A</v>
      </c>
      <c r="IVP30" t="e">
        <v>#N/A</v>
      </c>
      <c r="IVQ30" t="e">
        <v>#N/A</v>
      </c>
      <c r="IVR30" t="e">
        <v>#N/A</v>
      </c>
      <c r="IVS30" t="e">
        <v>#N/A</v>
      </c>
      <c r="IVT30" t="e">
        <v>#N/A</v>
      </c>
      <c r="IVU30" t="e">
        <v>#N/A</v>
      </c>
      <c r="IVV30" t="e">
        <v>#N/A</v>
      </c>
      <c r="IVW30" t="e">
        <v>#N/A</v>
      </c>
      <c r="IVX30" t="e">
        <v>#N/A</v>
      </c>
      <c r="IVY30" t="e">
        <v>#N/A</v>
      </c>
      <c r="IVZ30" t="e">
        <v>#N/A</v>
      </c>
      <c r="IWA30" t="e">
        <v>#N/A</v>
      </c>
      <c r="IWB30" t="e">
        <v>#N/A</v>
      </c>
      <c r="IWC30" t="e">
        <v>#N/A</v>
      </c>
      <c r="IWD30" t="e">
        <v>#N/A</v>
      </c>
      <c r="IWE30" t="e">
        <v>#N/A</v>
      </c>
      <c r="IWF30" t="e">
        <v>#N/A</v>
      </c>
      <c r="IWG30" t="e">
        <v>#N/A</v>
      </c>
      <c r="IWH30" t="e">
        <v>#N/A</v>
      </c>
      <c r="IWI30" t="e">
        <v>#N/A</v>
      </c>
      <c r="IWJ30" t="e">
        <v>#N/A</v>
      </c>
      <c r="IWK30" t="e">
        <v>#N/A</v>
      </c>
      <c r="IWL30" t="e">
        <v>#N/A</v>
      </c>
      <c r="IWM30" t="e">
        <v>#N/A</v>
      </c>
      <c r="IWN30" t="e">
        <v>#N/A</v>
      </c>
      <c r="IWO30" t="e">
        <v>#N/A</v>
      </c>
      <c r="IWP30" t="e">
        <v>#N/A</v>
      </c>
      <c r="IWQ30" t="e">
        <v>#N/A</v>
      </c>
      <c r="IWR30" t="e">
        <v>#N/A</v>
      </c>
      <c r="IWS30" t="e">
        <v>#N/A</v>
      </c>
      <c r="IWT30" t="e">
        <v>#N/A</v>
      </c>
      <c r="IWU30" t="e">
        <v>#N/A</v>
      </c>
      <c r="IWV30" t="e">
        <v>#N/A</v>
      </c>
      <c r="IWW30" t="e">
        <v>#N/A</v>
      </c>
      <c r="IWX30" t="e">
        <v>#N/A</v>
      </c>
      <c r="IWY30" t="e">
        <v>#N/A</v>
      </c>
      <c r="IWZ30" t="e">
        <v>#N/A</v>
      </c>
      <c r="IXA30" t="e">
        <v>#N/A</v>
      </c>
      <c r="IXB30" t="e">
        <v>#N/A</v>
      </c>
      <c r="IXC30" t="e">
        <v>#N/A</v>
      </c>
      <c r="IXD30" t="e">
        <v>#N/A</v>
      </c>
      <c r="IXE30" t="e">
        <v>#N/A</v>
      </c>
      <c r="IXF30" t="e">
        <v>#N/A</v>
      </c>
      <c r="IXG30" t="e">
        <v>#N/A</v>
      </c>
      <c r="IXH30" t="e">
        <v>#N/A</v>
      </c>
      <c r="IXI30" t="e">
        <v>#N/A</v>
      </c>
      <c r="IXJ30" t="e">
        <v>#N/A</v>
      </c>
      <c r="IXK30" t="e">
        <v>#N/A</v>
      </c>
      <c r="IXL30" t="e">
        <v>#N/A</v>
      </c>
      <c r="IXM30" t="e">
        <v>#N/A</v>
      </c>
      <c r="IXN30" t="e">
        <v>#N/A</v>
      </c>
      <c r="IXO30" t="e">
        <v>#N/A</v>
      </c>
      <c r="IXP30" t="e">
        <v>#N/A</v>
      </c>
      <c r="IXQ30" t="e">
        <v>#N/A</v>
      </c>
      <c r="IXR30" t="e">
        <v>#N/A</v>
      </c>
      <c r="IXS30" t="e">
        <v>#N/A</v>
      </c>
      <c r="IXT30" t="e">
        <v>#N/A</v>
      </c>
      <c r="IXU30" t="e">
        <v>#N/A</v>
      </c>
      <c r="IXV30" t="e">
        <v>#N/A</v>
      </c>
      <c r="IXW30" t="e">
        <v>#N/A</v>
      </c>
      <c r="IXX30" t="e">
        <v>#N/A</v>
      </c>
      <c r="IXY30" t="e">
        <v>#N/A</v>
      </c>
      <c r="IXZ30" t="e">
        <v>#N/A</v>
      </c>
      <c r="IYA30" t="e">
        <v>#N/A</v>
      </c>
      <c r="IYB30" t="e">
        <v>#N/A</v>
      </c>
      <c r="IYC30" t="e">
        <v>#N/A</v>
      </c>
      <c r="IYD30" t="e">
        <v>#N/A</v>
      </c>
      <c r="IYE30" t="e">
        <v>#N/A</v>
      </c>
      <c r="IYF30" t="e">
        <v>#N/A</v>
      </c>
      <c r="IYG30" t="e">
        <v>#N/A</v>
      </c>
      <c r="IYH30" t="e">
        <v>#N/A</v>
      </c>
      <c r="IYI30" t="e">
        <v>#N/A</v>
      </c>
      <c r="IYJ30" t="e">
        <v>#N/A</v>
      </c>
      <c r="IYK30" t="e">
        <v>#N/A</v>
      </c>
      <c r="IYL30" t="e">
        <v>#N/A</v>
      </c>
      <c r="IYM30" t="e">
        <v>#N/A</v>
      </c>
      <c r="IYN30" t="e">
        <v>#N/A</v>
      </c>
      <c r="IYO30" t="e">
        <v>#N/A</v>
      </c>
      <c r="IYP30" t="e">
        <v>#N/A</v>
      </c>
      <c r="IYQ30" t="e">
        <v>#N/A</v>
      </c>
      <c r="IYR30" t="e">
        <v>#N/A</v>
      </c>
      <c r="IYS30" t="e">
        <v>#N/A</v>
      </c>
      <c r="IYT30" t="e">
        <v>#N/A</v>
      </c>
      <c r="IYU30" t="e">
        <v>#N/A</v>
      </c>
      <c r="IYV30" t="e">
        <v>#N/A</v>
      </c>
      <c r="IYW30" t="e">
        <v>#N/A</v>
      </c>
      <c r="IYX30" t="e">
        <v>#N/A</v>
      </c>
      <c r="IYY30" t="e">
        <v>#N/A</v>
      </c>
      <c r="IYZ30" t="e">
        <v>#N/A</v>
      </c>
      <c r="IZA30" t="e">
        <v>#N/A</v>
      </c>
      <c r="IZB30" t="e">
        <v>#N/A</v>
      </c>
      <c r="IZC30" t="e">
        <v>#N/A</v>
      </c>
      <c r="IZD30" t="e">
        <v>#N/A</v>
      </c>
      <c r="IZE30" t="e">
        <v>#N/A</v>
      </c>
      <c r="IZF30" t="e">
        <v>#N/A</v>
      </c>
      <c r="IZG30" t="e">
        <v>#N/A</v>
      </c>
      <c r="IZH30" t="e">
        <v>#N/A</v>
      </c>
      <c r="IZI30" t="e">
        <v>#N/A</v>
      </c>
      <c r="IZJ30" t="e">
        <v>#N/A</v>
      </c>
      <c r="IZK30" t="e">
        <v>#N/A</v>
      </c>
      <c r="IZL30" t="e">
        <v>#N/A</v>
      </c>
      <c r="IZM30" t="e">
        <v>#N/A</v>
      </c>
      <c r="IZN30" t="e">
        <v>#N/A</v>
      </c>
      <c r="IZO30" t="e">
        <v>#N/A</v>
      </c>
      <c r="IZP30" t="e">
        <v>#N/A</v>
      </c>
      <c r="IZQ30" t="e">
        <v>#N/A</v>
      </c>
      <c r="IZR30" t="e">
        <v>#N/A</v>
      </c>
      <c r="IZS30" t="e">
        <v>#N/A</v>
      </c>
      <c r="IZT30" t="e">
        <v>#N/A</v>
      </c>
      <c r="IZU30" t="e">
        <v>#N/A</v>
      </c>
      <c r="IZV30" t="e">
        <v>#N/A</v>
      </c>
      <c r="IZW30" t="e">
        <v>#N/A</v>
      </c>
      <c r="IZX30" t="e">
        <v>#N/A</v>
      </c>
      <c r="IZY30" t="e">
        <v>#N/A</v>
      </c>
      <c r="IZZ30" t="e">
        <v>#N/A</v>
      </c>
      <c r="JAA30" t="e">
        <v>#N/A</v>
      </c>
      <c r="JAB30" t="e">
        <v>#N/A</v>
      </c>
      <c r="JAC30" t="e">
        <v>#N/A</v>
      </c>
      <c r="JAD30" t="e">
        <v>#N/A</v>
      </c>
      <c r="JAE30" t="e">
        <v>#N/A</v>
      </c>
      <c r="JAF30" t="e">
        <v>#N/A</v>
      </c>
      <c r="JAG30" t="e">
        <v>#N/A</v>
      </c>
      <c r="JAH30" t="e">
        <v>#N/A</v>
      </c>
      <c r="JAI30" t="e">
        <v>#N/A</v>
      </c>
      <c r="JAJ30" t="e">
        <v>#N/A</v>
      </c>
      <c r="JAK30" t="e">
        <v>#N/A</v>
      </c>
      <c r="JAL30" t="e">
        <v>#N/A</v>
      </c>
      <c r="JAM30" t="e">
        <v>#N/A</v>
      </c>
      <c r="JAN30" t="e">
        <v>#N/A</v>
      </c>
      <c r="JAO30" t="e">
        <v>#N/A</v>
      </c>
      <c r="JAP30" t="e">
        <v>#N/A</v>
      </c>
      <c r="JAQ30" t="e">
        <v>#N/A</v>
      </c>
      <c r="JAR30" t="e">
        <v>#N/A</v>
      </c>
      <c r="JAS30" t="e">
        <v>#N/A</v>
      </c>
      <c r="JAT30" t="e">
        <v>#N/A</v>
      </c>
      <c r="JAU30" t="e">
        <v>#N/A</v>
      </c>
      <c r="JAV30" t="e">
        <v>#N/A</v>
      </c>
      <c r="JAW30" t="e">
        <v>#N/A</v>
      </c>
      <c r="JAX30" t="e">
        <v>#N/A</v>
      </c>
      <c r="JAY30" t="e">
        <v>#N/A</v>
      </c>
      <c r="JAZ30" t="e">
        <v>#N/A</v>
      </c>
      <c r="JBA30" t="e">
        <v>#N/A</v>
      </c>
      <c r="JBB30" t="e">
        <v>#N/A</v>
      </c>
      <c r="JBC30" t="e">
        <v>#N/A</v>
      </c>
      <c r="JBD30" t="e">
        <v>#N/A</v>
      </c>
      <c r="JBE30" t="e">
        <v>#N/A</v>
      </c>
      <c r="JBF30" t="e">
        <v>#N/A</v>
      </c>
      <c r="JBG30" t="e">
        <v>#N/A</v>
      </c>
      <c r="JBH30" t="e">
        <v>#N/A</v>
      </c>
      <c r="JBI30" t="e">
        <v>#N/A</v>
      </c>
      <c r="JBJ30" t="e">
        <v>#N/A</v>
      </c>
      <c r="JBK30" t="e">
        <v>#N/A</v>
      </c>
      <c r="JBL30" t="e">
        <v>#N/A</v>
      </c>
      <c r="JBM30" t="e">
        <v>#N/A</v>
      </c>
      <c r="JBN30" t="e">
        <v>#N/A</v>
      </c>
      <c r="JBO30" t="e">
        <v>#N/A</v>
      </c>
      <c r="JBP30" t="e">
        <v>#N/A</v>
      </c>
      <c r="JBQ30" t="e">
        <v>#N/A</v>
      </c>
      <c r="JBR30" t="e">
        <v>#N/A</v>
      </c>
      <c r="JBS30" t="e">
        <v>#N/A</v>
      </c>
      <c r="JBT30" t="e">
        <v>#N/A</v>
      </c>
      <c r="JBU30" t="e">
        <v>#N/A</v>
      </c>
      <c r="JBV30" t="e">
        <v>#N/A</v>
      </c>
      <c r="JBW30" t="e">
        <v>#N/A</v>
      </c>
      <c r="JBX30" t="e">
        <v>#N/A</v>
      </c>
      <c r="JBY30" t="e">
        <v>#N/A</v>
      </c>
      <c r="JBZ30" t="e">
        <v>#N/A</v>
      </c>
      <c r="JCA30" t="e">
        <v>#N/A</v>
      </c>
      <c r="JCB30" t="e">
        <v>#N/A</v>
      </c>
      <c r="JCC30" t="e">
        <v>#N/A</v>
      </c>
      <c r="JCD30" t="e">
        <v>#N/A</v>
      </c>
      <c r="JCE30" t="e">
        <v>#N/A</v>
      </c>
      <c r="JCF30" t="e">
        <v>#N/A</v>
      </c>
      <c r="JCG30" t="e">
        <v>#N/A</v>
      </c>
      <c r="JCH30" t="e">
        <v>#N/A</v>
      </c>
      <c r="JCI30" t="e">
        <v>#N/A</v>
      </c>
      <c r="JCJ30" t="e">
        <v>#N/A</v>
      </c>
      <c r="JCK30" t="e">
        <v>#N/A</v>
      </c>
      <c r="JCL30" t="e">
        <v>#N/A</v>
      </c>
      <c r="JCM30" t="e">
        <v>#N/A</v>
      </c>
      <c r="JCN30" t="e">
        <v>#N/A</v>
      </c>
      <c r="JCO30" t="e">
        <v>#N/A</v>
      </c>
      <c r="JCP30" t="e">
        <v>#N/A</v>
      </c>
      <c r="JCQ30" t="e">
        <v>#N/A</v>
      </c>
      <c r="JCR30" t="e">
        <v>#N/A</v>
      </c>
      <c r="JCS30" t="e">
        <v>#N/A</v>
      </c>
      <c r="JCT30" t="e">
        <v>#N/A</v>
      </c>
      <c r="JCU30" t="e">
        <v>#N/A</v>
      </c>
      <c r="JCV30" t="e">
        <v>#N/A</v>
      </c>
      <c r="JCW30" t="e">
        <v>#N/A</v>
      </c>
      <c r="JCX30" t="e">
        <v>#N/A</v>
      </c>
      <c r="JCY30" t="e">
        <v>#N/A</v>
      </c>
      <c r="JCZ30" t="e">
        <v>#N/A</v>
      </c>
      <c r="JDA30" t="e">
        <v>#N/A</v>
      </c>
      <c r="JDB30" t="e">
        <v>#N/A</v>
      </c>
      <c r="JDC30" t="e">
        <v>#N/A</v>
      </c>
      <c r="JDD30" t="e">
        <v>#N/A</v>
      </c>
      <c r="JDE30" t="e">
        <v>#N/A</v>
      </c>
      <c r="JDF30" t="e">
        <v>#N/A</v>
      </c>
      <c r="JDG30" t="e">
        <v>#N/A</v>
      </c>
      <c r="JDH30" t="e">
        <v>#N/A</v>
      </c>
      <c r="JDI30" t="e">
        <v>#N/A</v>
      </c>
      <c r="JDJ30" t="e">
        <v>#N/A</v>
      </c>
      <c r="JDK30" t="e">
        <v>#N/A</v>
      </c>
      <c r="JDL30" t="e">
        <v>#N/A</v>
      </c>
      <c r="JDM30" t="e">
        <v>#N/A</v>
      </c>
      <c r="JDN30" t="e">
        <v>#N/A</v>
      </c>
      <c r="JDO30" t="e">
        <v>#N/A</v>
      </c>
      <c r="JDP30" t="e">
        <v>#N/A</v>
      </c>
      <c r="JDQ30" t="e">
        <v>#N/A</v>
      </c>
      <c r="JDR30" t="e">
        <v>#N/A</v>
      </c>
      <c r="JDS30" t="e">
        <v>#N/A</v>
      </c>
      <c r="JDT30" t="e">
        <v>#N/A</v>
      </c>
      <c r="JDU30" t="e">
        <v>#N/A</v>
      </c>
      <c r="JDV30" t="e">
        <v>#N/A</v>
      </c>
      <c r="JDW30" t="e">
        <v>#N/A</v>
      </c>
      <c r="JDX30" t="e">
        <v>#N/A</v>
      </c>
      <c r="JDY30" t="e">
        <v>#N/A</v>
      </c>
      <c r="JDZ30" t="e">
        <v>#N/A</v>
      </c>
      <c r="JEA30" t="e">
        <v>#N/A</v>
      </c>
      <c r="JEB30" t="e">
        <v>#N/A</v>
      </c>
      <c r="JEC30" t="e">
        <v>#N/A</v>
      </c>
      <c r="JED30" t="e">
        <v>#N/A</v>
      </c>
      <c r="JEE30" t="e">
        <v>#N/A</v>
      </c>
      <c r="JEF30" t="e">
        <v>#N/A</v>
      </c>
      <c r="JEG30" t="e">
        <v>#N/A</v>
      </c>
      <c r="JEH30" t="e">
        <v>#N/A</v>
      </c>
      <c r="JEI30" t="e">
        <v>#N/A</v>
      </c>
      <c r="JEJ30" t="e">
        <v>#N/A</v>
      </c>
      <c r="JEK30" t="e">
        <v>#N/A</v>
      </c>
      <c r="JEL30" t="e">
        <v>#N/A</v>
      </c>
      <c r="JEM30" t="e">
        <v>#N/A</v>
      </c>
      <c r="JEN30" t="e">
        <v>#N/A</v>
      </c>
      <c r="JEO30" t="e">
        <v>#N/A</v>
      </c>
      <c r="JEP30" t="e">
        <v>#N/A</v>
      </c>
      <c r="JEQ30" t="e">
        <v>#N/A</v>
      </c>
      <c r="JER30" t="e">
        <v>#N/A</v>
      </c>
      <c r="JES30" t="e">
        <v>#N/A</v>
      </c>
      <c r="JET30" t="e">
        <v>#N/A</v>
      </c>
      <c r="JEU30" t="e">
        <v>#N/A</v>
      </c>
      <c r="JEV30" t="e">
        <v>#N/A</v>
      </c>
      <c r="JEW30" t="e">
        <v>#N/A</v>
      </c>
      <c r="JEX30" t="e">
        <v>#N/A</v>
      </c>
      <c r="JEY30" t="e">
        <v>#N/A</v>
      </c>
      <c r="JEZ30" t="e">
        <v>#N/A</v>
      </c>
      <c r="JFA30" t="e">
        <v>#N/A</v>
      </c>
      <c r="JFB30" t="e">
        <v>#N/A</v>
      </c>
      <c r="JFC30" t="e">
        <v>#N/A</v>
      </c>
      <c r="JFD30" t="e">
        <v>#N/A</v>
      </c>
      <c r="JFE30" t="e">
        <v>#N/A</v>
      </c>
      <c r="JFF30" t="e">
        <v>#N/A</v>
      </c>
      <c r="JFG30" t="e">
        <v>#N/A</v>
      </c>
      <c r="JFH30" t="e">
        <v>#N/A</v>
      </c>
      <c r="JFI30" t="e">
        <v>#N/A</v>
      </c>
      <c r="JFJ30" t="e">
        <v>#N/A</v>
      </c>
      <c r="JFK30" t="e">
        <v>#N/A</v>
      </c>
      <c r="JFL30" t="e">
        <v>#N/A</v>
      </c>
      <c r="JFM30" t="e">
        <v>#N/A</v>
      </c>
      <c r="JFN30" t="e">
        <v>#N/A</v>
      </c>
      <c r="JFO30" t="e">
        <v>#N/A</v>
      </c>
      <c r="JFP30" t="e">
        <v>#N/A</v>
      </c>
      <c r="JFQ30" t="e">
        <v>#N/A</v>
      </c>
      <c r="JFR30" t="e">
        <v>#N/A</v>
      </c>
      <c r="JFS30" t="e">
        <v>#N/A</v>
      </c>
      <c r="JFT30" t="e">
        <v>#N/A</v>
      </c>
      <c r="JFU30" t="e">
        <v>#N/A</v>
      </c>
      <c r="JFV30" t="e">
        <v>#N/A</v>
      </c>
      <c r="JFW30" t="e">
        <v>#N/A</v>
      </c>
      <c r="JFX30" t="e">
        <v>#N/A</v>
      </c>
      <c r="JFY30" t="e">
        <v>#N/A</v>
      </c>
      <c r="JFZ30" t="e">
        <v>#N/A</v>
      </c>
      <c r="JGA30" t="e">
        <v>#N/A</v>
      </c>
      <c r="JGB30" t="e">
        <v>#N/A</v>
      </c>
      <c r="JGC30" t="e">
        <v>#N/A</v>
      </c>
      <c r="JGD30" t="e">
        <v>#N/A</v>
      </c>
      <c r="JGE30" t="e">
        <v>#N/A</v>
      </c>
      <c r="JGF30" t="e">
        <v>#N/A</v>
      </c>
      <c r="JGG30" t="e">
        <v>#N/A</v>
      </c>
      <c r="JGH30" t="e">
        <v>#N/A</v>
      </c>
      <c r="JGI30" t="e">
        <v>#N/A</v>
      </c>
      <c r="JGJ30" t="e">
        <v>#N/A</v>
      </c>
      <c r="JGK30" t="e">
        <v>#N/A</v>
      </c>
      <c r="JGL30" t="e">
        <v>#N/A</v>
      </c>
      <c r="JGM30" t="e">
        <v>#N/A</v>
      </c>
      <c r="JGN30" t="e">
        <v>#N/A</v>
      </c>
      <c r="JGO30" t="e">
        <v>#N/A</v>
      </c>
      <c r="JGP30" t="e">
        <v>#N/A</v>
      </c>
      <c r="JGQ30" t="e">
        <v>#N/A</v>
      </c>
      <c r="JGR30" t="e">
        <v>#N/A</v>
      </c>
      <c r="JGS30" t="e">
        <v>#N/A</v>
      </c>
      <c r="JGT30" t="e">
        <v>#N/A</v>
      </c>
      <c r="JGU30" t="e">
        <v>#N/A</v>
      </c>
      <c r="JGV30" t="e">
        <v>#N/A</v>
      </c>
      <c r="JGW30" t="e">
        <v>#N/A</v>
      </c>
      <c r="JGX30" t="e">
        <v>#N/A</v>
      </c>
      <c r="JGY30" t="e">
        <v>#N/A</v>
      </c>
      <c r="JGZ30" t="e">
        <v>#N/A</v>
      </c>
      <c r="JHA30" t="e">
        <v>#N/A</v>
      </c>
      <c r="JHB30" t="e">
        <v>#N/A</v>
      </c>
      <c r="JHC30" t="e">
        <v>#N/A</v>
      </c>
      <c r="JHD30" t="e">
        <v>#N/A</v>
      </c>
      <c r="JHE30" t="e">
        <v>#N/A</v>
      </c>
      <c r="JHF30" t="e">
        <v>#N/A</v>
      </c>
      <c r="JHG30" t="e">
        <v>#N/A</v>
      </c>
      <c r="JHH30" t="e">
        <v>#N/A</v>
      </c>
      <c r="JHI30" t="e">
        <v>#N/A</v>
      </c>
      <c r="JHJ30" t="e">
        <v>#N/A</v>
      </c>
      <c r="JHK30" t="e">
        <v>#N/A</v>
      </c>
      <c r="JHL30" t="e">
        <v>#N/A</v>
      </c>
      <c r="JHM30" t="e">
        <v>#N/A</v>
      </c>
      <c r="JHN30" t="e">
        <v>#N/A</v>
      </c>
      <c r="JHO30" t="e">
        <v>#N/A</v>
      </c>
      <c r="JHP30" t="e">
        <v>#N/A</v>
      </c>
      <c r="JHQ30" t="e">
        <v>#N/A</v>
      </c>
      <c r="JHR30" t="e">
        <v>#N/A</v>
      </c>
      <c r="JHS30" t="e">
        <v>#N/A</v>
      </c>
      <c r="JHT30" t="e">
        <v>#N/A</v>
      </c>
      <c r="JHU30" t="e">
        <v>#N/A</v>
      </c>
      <c r="JHV30" t="e">
        <v>#N/A</v>
      </c>
      <c r="JHW30" t="e">
        <v>#N/A</v>
      </c>
      <c r="JHX30" t="e">
        <v>#N/A</v>
      </c>
      <c r="JHY30" t="e">
        <v>#N/A</v>
      </c>
      <c r="JHZ30" t="e">
        <v>#N/A</v>
      </c>
      <c r="JIA30" t="e">
        <v>#N/A</v>
      </c>
      <c r="JIB30" t="e">
        <v>#N/A</v>
      </c>
      <c r="JIC30" t="e">
        <v>#N/A</v>
      </c>
      <c r="JID30" t="e">
        <v>#N/A</v>
      </c>
      <c r="JIE30" t="e">
        <v>#N/A</v>
      </c>
      <c r="JIF30" t="e">
        <v>#N/A</v>
      </c>
      <c r="JIG30" t="e">
        <v>#N/A</v>
      </c>
      <c r="JIH30" t="e">
        <v>#N/A</v>
      </c>
      <c r="JII30" t="e">
        <v>#N/A</v>
      </c>
      <c r="JIJ30" t="e">
        <v>#N/A</v>
      </c>
      <c r="JIK30" t="e">
        <v>#N/A</v>
      </c>
      <c r="JIL30" t="e">
        <v>#N/A</v>
      </c>
      <c r="JIM30" t="e">
        <v>#N/A</v>
      </c>
      <c r="JIN30" t="e">
        <v>#N/A</v>
      </c>
      <c r="JIO30" t="e">
        <v>#N/A</v>
      </c>
      <c r="JIP30" t="e">
        <v>#N/A</v>
      </c>
      <c r="JIQ30" t="e">
        <v>#N/A</v>
      </c>
      <c r="JIR30" t="e">
        <v>#N/A</v>
      </c>
      <c r="JIS30" t="e">
        <v>#N/A</v>
      </c>
      <c r="JIT30" t="e">
        <v>#N/A</v>
      </c>
      <c r="JIU30" t="e">
        <v>#N/A</v>
      </c>
      <c r="JIV30" t="e">
        <v>#N/A</v>
      </c>
      <c r="JIW30" t="e">
        <v>#N/A</v>
      </c>
      <c r="JIX30" t="e">
        <v>#N/A</v>
      </c>
      <c r="JIY30" t="e">
        <v>#N/A</v>
      </c>
      <c r="JIZ30" t="e">
        <v>#N/A</v>
      </c>
      <c r="JJA30" t="e">
        <v>#N/A</v>
      </c>
      <c r="JJB30" t="e">
        <v>#N/A</v>
      </c>
      <c r="JJC30" t="e">
        <v>#N/A</v>
      </c>
      <c r="JJD30" t="e">
        <v>#N/A</v>
      </c>
      <c r="JJE30" t="e">
        <v>#N/A</v>
      </c>
      <c r="JJF30" t="e">
        <v>#N/A</v>
      </c>
      <c r="JJG30" t="e">
        <v>#N/A</v>
      </c>
      <c r="JJH30" t="e">
        <v>#N/A</v>
      </c>
      <c r="JJI30" t="e">
        <v>#N/A</v>
      </c>
      <c r="JJJ30" t="e">
        <v>#N/A</v>
      </c>
      <c r="JJK30" t="e">
        <v>#N/A</v>
      </c>
      <c r="JJL30" t="e">
        <v>#N/A</v>
      </c>
      <c r="JJM30" t="e">
        <v>#N/A</v>
      </c>
      <c r="JJN30" t="e">
        <v>#N/A</v>
      </c>
      <c r="JJO30" t="e">
        <v>#N/A</v>
      </c>
      <c r="JJP30" t="e">
        <v>#N/A</v>
      </c>
      <c r="JJQ30" t="e">
        <v>#N/A</v>
      </c>
      <c r="JJR30" t="e">
        <v>#N/A</v>
      </c>
      <c r="JJS30" t="e">
        <v>#N/A</v>
      </c>
      <c r="JJT30" t="e">
        <v>#N/A</v>
      </c>
      <c r="JJU30" t="e">
        <v>#N/A</v>
      </c>
      <c r="JJV30" t="e">
        <v>#N/A</v>
      </c>
      <c r="JJW30" t="e">
        <v>#N/A</v>
      </c>
      <c r="JJX30" t="e">
        <v>#N/A</v>
      </c>
      <c r="JJY30" t="e">
        <v>#N/A</v>
      </c>
      <c r="JJZ30" t="e">
        <v>#N/A</v>
      </c>
      <c r="JKA30" t="e">
        <v>#N/A</v>
      </c>
      <c r="JKB30" t="e">
        <v>#N/A</v>
      </c>
      <c r="JKC30" t="e">
        <v>#N/A</v>
      </c>
      <c r="JKD30" t="e">
        <v>#N/A</v>
      </c>
      <c r="JKE30" t="e">
        <v>#N/A</v>
      </c>
      <c r="JKF30" t="e">
        <v>#N/A</v>
      </c>
      <c r="JKG30" t="e">
        <v>#N/A</v>
      </c>
      <c r="JKH30" t="e">
        <v>#N/A</v>
      </c>
      <c r="JKI30" t="e">
        <v>#N/A</v>
      </c>
      <c r="JKJ30" t="e">
        <v>#N/A</v>
      </c>
      <c r="JKK30" t="e">
        <v>#N/A</v>
      </c>
      <c r="JKL30" t="e">
        <v>#N/A</v>
      </c>
      <c r="JKM30" t="e">
        <v>#N/A</v>
      </c>
      <c r="JKN30" t="e">
        <v>#N/A</v>
      </c>
      <c r="JKO30" t="e">
        <v>#N/A</v>
      </c>
      <c r="JKP30" t="e">
        <v>#N/A</v>
      </c>
      <c r="JKQ30" t="e">
        <v>#N/A</v>
      </c>
      <c r="JKR30" t="e">
        <v>#N/A</v>
      </c>
      <c r="JKS30" t="e">
        <v>#N/A</v>
      </c>
      <c r="JKT30" t="e">
        <v>#N/A</v>
      </c>
      <c r="JKU30" t="e">
        <v>#N/A</v>
      </c>
      <c r="JKV30" t="e">
        <v>#N/A</v>
      </c>
      <c r="JKW30" t="e">
        <v>#N/A</v>
      </c>
      <c r="JKX30" t="e">
        <v>#N/A</v>
      </c>
      <c r="JKY30" t="e">
        <v>#N/A</v>
      </c>
      <c r="JKZ30" t="e">
        <v>#N/A</v>
      </c>
      <c r="JLA30" t="e">
        <v>#N/A</v>
      </c>
      <c r="JLB30" t="e">
        <v>#N/A</v>
      </c>
      <c r="JLC30" t="e">
        <v>#N/A</v>
      </c>
      <c r="JLD30" t="e">
        <v>#N/A</v>
      </c>
      <c r="JLE30" t="e">
        <v>#N/A</v>
      </c>
      <c r="JLF30" t="e">
        <v>#N/A</v>
      </c>
      <c r="JLG30" t="e">
        <v>#N/A</v>
      </c>
      <c r="JLH30" t="e">
        <v>#N/A</v>
      </c>
      <c r="JLI30" t="e">
        <v>#N/A</v>
      </c>
      <c r="JLJ30" t="e">
        <v>#N/A</v>
      </c>
      <c r="JLK30" t="e">
        <v>#N/A</v>
      </c>
      <c r="JLL30" t="e">
        <v>#N/A</v>
      </c>
      <c r="JLM30" t="e">
        <v>#N/A</v>
      </c>
      <c r="JLN30" t="e">
        <v>#N/A</v>
      </c>
      <c r="JLO30" t="e">
        <v>#N/A</v>
      </c>
      <c r="JLP30" t="e">
        <v>#N/A</v>
      </c>
      <c r="JLQ30" t="e">
        <v>#N/A</v>
      </c>
      <c r="JLR30" t="e">
        <v>#N/A</v>
      </c>
      <c r="JLS30" t="e">
        <v>#N/A</v>
      </c>
      <c r="JLT30" t="e">
        <v>#N/A</v>
      </c>
      <c r="JLU30" t="e">
        <v>#N/A</v>
      </c>
      <c r="JLV30" t="e">
        <v>#N/A</v>
      </c>
      <c r="JLW30" t="e">
        <v>#N/A</v>
      </c>
      <c r="JLX30" t="e">
        <v>#N/A</v>
      </c>
      <c r="JLY30" t="e">
        <v>#N/A</v>
      </c>
      <c r="JLZ30" t="e">
        <v>#N/A</v>
      </c>
      <c r="JMA30" t="e">
        <v>#N/A</v>
      </c>
      <c r="JMB30" t="e">
        <v>#N/A</v>
      </c>
      <c r="JMC30" t="e">
        <v>#N/A</v>
      </c>
      <c r="JMD30" t="e">
        <v>#N/A</v>
      </c>
      <c r="JME30" t="e">
        <v>#N/A</v>
      </c>
      <c r="JMF30" t="e">
        <v>#N/A</v>
      </c>
      <c r="JMG30" t="e">
        <v>#N/A</v>
      </c>
      <c r="JMH30" t="e">
        <v>#N/A</v>
      </c>
      <c r="JMI30" t="e">
        <v>#N/A</v>
      </c>
      <c r="JMJ30" t="e">
        <v>#N/A</v>
      </c>
      <c r="JMK30" t="e">
        <v>#N/A</v>
      </c>
      <c r="JML30" t="e">
        <v>#N/A</v>
      </c>
      <c r="JMM30" t="e">
        <v>#N/A</v>
      </c>
      <c r="JMN30" t="e">
        <v>#N/A</v>
      </c>
      <c r="JMO30" t="e">
        <v>#N/A</v>
      </c>
      <c r="JMP30" t="e">
        <v>#N/A</v>
      </c>
      <c r="JMQ30" t="e">
        <v>#N/A</v>
      </c>
      <c r="JMR30" t="e">
        <v>#N/A</v>
      </c>
      <c r="JMS30" t="e">
        <v>#N/A</v>
      </c>
      <c r="JMT30" t="e">
        <v>#N/A</v>
      </c>
      <c r="JMU30" t="e">
        <v>#N/A</v>
      </c>
      <c r="JMV30" t="e">
        <v>#N/A</v>
      </c>
      <c r="JMW30" t="e">
        <v>#N/A</v>
      </c>
      <c r="JMX30" t="e">
        <v>#N/A</v>
      </c>
      <c r="JMY30" t="e">
        <v>#N/A</v>
      </c>
      <c r="JMZ30" t="e">
        <v>#N/A</v>
      </c>
      <c r="JNA30" t="e">
        <v>#N/A</v>
      </c>
      <c r="JNB30" t="e">
        <v>#N/A</v>
      </c>
      <c r="JNC30" t="e">
        <v>#N/A</v>
      </c>
      <c r="JND30" t="e">
        <v>#N/A</v>
      </c>
      <c r="JNE30" t="e">
        <v>#N/A</v>
      </c>
      <c r="JNF30" t="e">
        <v>#N/A</v>
      </c>
      <c r="JNG30" t="e">
        <v>#N/A</v>
      </c>
      <c r="JNH30" t="e">
        <v>#N/A</v>
      </c>
      <c r="JNI30" t="e">
        <v>#N/A</v>
      </c>
      <c r="JNJ30" t="e">
        <v>#N/A</v>
      </c>
      <c r="JNK30" t="e">
        <v>#N/A</v>
      </c>
      <c r="JNL30" t="e">
        <v>#N/A</v>
      </c>
      <c r="JNM30" t="e">
        <v>#N/A</v>
      </c>
      <c r="JNN30" t="e">
        <v>#N/A</v>
      </c>
      <c r="JNO30" t="e">
        <v>#N/A</v>
      </c>
      <c r="JNP30" t="e">
        <v>#N/A</v>
      </c>
      <c r="JNQ30" t="e">
        <v>#N/A</v>
      </c>
      <c r="JNR30" t="e">
        <v>#N/A</v>
      </c>
      <c r="JNS30" t="e">
        <v>#N/A</v>
      </c>
      <c r="JNT30" t="e">
        <v>#N/A</v>
      </c>
      <c r="JNU30" t="e">
        <v>#N/A</v>
      </c>
      <c r="JNV30" t="e">
        <v>#N/A</v>
      </c>
      <c r="JNW30" t="e">
        <v>#N/A</v>
      </c>
      <c r="JNX30" t="e">
        <v>#N/A</v>
      </c>
      <c r="JNY30" t="e">
        <v>#N/A</v>
      </c>
      <c r="JNZ30" t="e">
        <v>#N/A</v>
      </c>
      <c r="JOA30" t="e">
        <v>#N/A</v>
      </c>
      <c r="JOB30" t="e">
        <v>#N/A</v>
      </c>
      <c r="JOC30" t="e">
        <v>#N/A</v>
      </c>
      <c r="JOD30" t="e">
        <v>#N/A</v>
      </c>
      <c r="JOE30" t="e">
        <v>#N/A</v>
      </c>
      <c r="JOF30" t="e">
        <v>#N/A</v>
      </c>
      <c r="JOG30" t="e">
        <v>#N/A</v>
      </c>
      <c r="JOH30" t="e">
        <v>#N/A</v>
      </c>
      <c r="JOI30" t="e">
        <v>#N/A</v>
      </c>
      <c r="JOJ30" t="e">
        <v>#N/A</v>
      </c>
      <c r="JOK30" t="e">
        <v>#N/A</v>
      </c>
      <c r="JOL30" t="e">
        <v>#N/A</v>
      </c>
      <c r="JOM30" t="e">
        <v>#N/A</v>
      </c>
      <c r="JON30" t="e">
        <v>#N/A</v>
      </c>
      <c r="JOO30" t="e">
        <v>#N/A</v>
      </c>
      <c r="JOP30" t="e">
        <v>#N/A</v>
      </c>
      <c r="JOQ30" t="e">
        <v>#N/A</v>
      </c>
      <c r="JOR30" t="e">
        <v>#N/A</v>
      </c>
      <c r="JOS30" t="e">
        <v>#N/A</v>
      </c>
      <c r="JOT30" t="e">
        <v>#N/A</v>
      </c>
      <c r="JOU30" t="e">
        <v>#N/A</v>
      </c>
      <c r="JOV30" t="e">
        <v>#N/A</v>
      </c>
      <c r="JOW30" t="e">
        <v>#N/A</v>
      </c>
      <c r="JOX30" t="e">
        <v>#N/A</v>
      </c>
      <c r="JOY30" t="e">
        <v>#N/A</v>
      </c>
      <c r="JOZ30" t="e">
        <v>#N/A</v>
      </c>
      <c r="JPA30" t="e">
        <v>#N/A</v>
      </c>
      <c r="JPB30" t="e">
        <v>#N/A</v>
      </c>
      <c r="JPC30" t="e">
        <v>#N/A</v>
      </c>
      <c r="JPD30" t="e">
        <v>#N/A</v>
      </c>
      <c r="JPE30" t="e">
        <v>#N/A</v>
      </c>
      <c r="JPF30" t="e">
        <v>#N/A</v>
      </c>
      <c r="JPG30" t="e">
        <v>#N/A</v>
      </c>
      <c r="JPH30" t="e">
        <v>#N/A</v>
      </c>
      <c r="JPI30" t="e">
        <v>#N/A</v>
      </c>
      <c r="JPJ30" t="e">
        <v>#N/A</v>
      </c>
      <c r="JPK30" t="e">
        <v>#N/A</v>
      </c>
      <c r="JPL30" t="e">
        <v>#N/A</v>
      </c>
      <c r="JPM30" t="e">
        <v>#N/A</v>
      </c>
      <c r="JPN30" t="e">
        <v>#N/A</v>
      </c>
      <c r="JPO30" t="e">
        <v>#N/A</v>
      </c>
      <c r="JPP30" t="e">
        <v>#N/A</v>
      </c>
      <c r="JPQ30" t="e">
        <v>#N/A</v>
      </c>
      <c r="JPR30" t="e">
        <v>#N/A</v>
      </c>
      <c r="JPS30" t="e">
        <v>#N/A</v>
      </c>
      <c r="JPT30" t="e">
        <v>#N/A</v>
      </c>
      <c r="JPU30" t="e">
        <v>#N/A</v>
      </c>
      <c r="JPV30" t="e">
        <v>#N/A</v>
      </c>
      <c r="JPW30" t="e">
        <v>#N/A</v>
      </c>
      <c r="JPX30" t="e">
        <v>#N/A</v>
      </c>
      <c r="JPY30" t="e">
        <v>#N/A</v>
      </c>
      <c r="JPZ30" t="e">
        <v>#N/A</v>
      </c>
      <c r="JQA30" t="e">
        <v>#N/A</v>
      </c>
      <c r="JQB30" t="e">
        <v>#N/A</v>
      </c>
      <c r="JQC30" t="e">
        <v>#N/A</v>
      </c>
      <c r="JQD30" t="e">
        <v>#N/A</v>
      </c>
      <c r="JQE30" t="e">
        <v>#N/A</v>
      </c>
      <c r="JQF30" t="e">
        <v>#N/A</v>
      </c>
      <c r="JQG30" t="e">
        <v>#N/A</v>
      </c>
      <c r="JQH30" t="e">
        <v>#N/A</v>
      </c>
      <c r="JQI30" t="e">
        <v>#N/A</v>
      </c>
      <c r="JQJ30" t="e">
        <v>#N/A</v>
      </c>
      <c r="JQK30" t="e">
        <v>#N/A</v>
      </c>
      <c r="JQL30" t="e">
        <v>#N/A</v>
      </c>
      <c r="JQM30" t="e">
        <v>#N/A</v>
      </c>
      <c r="JQN30" t="e">
        <v>#N/A</v>
      </c>
      <c r="JQO30" t="e">
        <v>#N/A</v>
      </c>
      <c r="JQP30" t="e">
        <v>#N/A</v>
      </c>
      <c r="JQQ30" t="e">
        <v>#N/A</v>
      </c>
      <c r="JQR30" t="e">
        <v>#N/A</v>
      </c>
      <c r="JQS30" t="e">
        <v>#N/A</v>
      </c>
      <c r="JQT30" t="e">
        <v>#N/A</v>
      </c>
      <c r="JQU30" t="e">
        <v>#N/A</v>
      </c>
      <c r="JQV30" t="e">
        <v>#N/A</v>
      </c>
      <c r="JQW30" t="e">
        <v>#N/A</v>
      </c>
      <c r="JQX30" t="e">
        <v>#N/A</v>
      </c>
      <c r="JQY30" t="e">
        <v>#N/A</v>
      </c>
      <c r="JQZ30" t="e">
        <v>#N/A</v>
      </c>
      <c r="JRA30" t="e">
        <v>#N/A</v>
      </c>
      <c r="JRB30" t="e">
        <v>#N/A</v>
      </c>
      <c r="JRC30" t="e">
        <v>#N/A</v>
      </c>
      <c r="JRD30" t="e">
        <v>#N/A</v>
      </c>
      <c r="JRE30" t="e">
        <v>#N/A</v>
      </c>
      <c r="JRF30" t="e">
        <v>#N/A</v>
      </c>
      <c r="JRG30" t="e">
        <v>#N/A</v>
      </c>
      <c r="JRH30" t="e">
        <v>#N/A</v>
      </c>
      <c r="JRI30" t="e">
        <v>#N/A</v>
      </c>
      <c r="JRJ30" t="e">
        <v>#N/A</v>
      </c>
      <c r="JRK30" t="e">
        <v>#N/A</v>
      </c>
      <c r="JRL30" t="e">
        <v>#N/A</v>
      </c>
      <c r="JRM30" t="e">
        <v>#N/A</v>
      </c>
      <c r="JRN30" t="e">
        <v>#N/A</v>
      </c>
      <c r="JRO30" t="e">
        <v>#N/A</v>
      </c>
      <c r="JRP30" t="e">
        <v>#N/A</v>
      </c>
      <c r="JRQ30" t="e">
        <v>#N/A</v>
      </c>
      <c r="JRR30" t="e">
        <v>#N/A</v>
      </c>
      <c r="JRS30" t="e">
        <v>#N/A</v>
      </c>
      <c r="JRT30" t="e">
        <v>#N/A</v>
      </c>
      <c r="JRU30" t="e">
        <v>#N/A</v>
      </c>
      <c r="JRV30" t="e">
        <v>#N/A</v>
      </c>
      <c r="JRW30" t="e">
        <v>#N/A</v>
      </c>
      <c r="JRX30" t="e">
        <v>#N/A</v>
      </c>
      <c r="JRY30" t="e">
        <v>#N/A</v>
      </c>
      <c r="JRZ30" t="e">
        <v>#N/A</v>
      </c>
      <c r="JSA30" t="e">
        <v>#N/A</v>
      </c>
      <c r="JSB30" t="e">
        <v>#N/A</v>
      </c>
      <c r="JSC30" t="e">
        <v>#N/A</v>
      </c>
      <c r="JSD30" t="e">
        <v>#N/A</v>
      </c>
      <c r="JSE30" t="e">
        <v>#N/A</v>
      </c>
      <c r="JSF30" t="e">
        <v>#N/A</v>
      </c>
      <c r="JSG30" t="e">
        <v>#N/A</v>
      </c>
      <c r="JSH30" t="e">
        <v>#N/A</v>
      </c>
      <c r="JSI30" t="e">
        <v>#N/A</v>
      </c>
      <c r="JSJ30" t="e">
        <v>#N/A</v>
      </c>
      <c r="JSK30" t="e">
        <v>#N/A</v>
      </c>
      <c r="JSL30" t="e">
        <v>#N/A</v>
      </c>
      <c r="JSM30" t="e">
        <v>#N/A</v>
      </c>
      <c r="JSN30" t="e">
        <v>#N/A</v>
      </c>
      <c r="JSO30" t="e">
        <v>#N/A</v>
      </c>
      <c r="JSP30" t="e">
        <v>#N/A</v>
      </c>
      <c r="JSQ30" t="e">
        <v>#N/A</v>
      </c>
      <c r="JSR30" t="e">
        <v>#N/A</v>
      </c>
      <c r="JSS30" t="e">
        <v>#N/A</v>
      </c>
      <c r="JST30" t="e">
        <v>#N/A</v>
      </c>
      <c r="JSU30" t="e">
        <v>#N/A</v>
      </c>
      <c r="JSV30" t="e">
        <v>#N/A</v>
      </c>
      <c r="JSW30" t="e">
        <v>#N/A</v>
      </c>
      <c r="JSX30" t="e">
        <v>#N/A</v>
      </c>
      <c r="JSY30" t="e">
        <v>#N/A</v>
      </c>
      <c r="JSZ30" t="e">
        <v>#N/A</v>
      </c>
      <c r="JTA30" t="e">
        <v>#N/A</v>
      </c>
      <c r="JTB30" t="e">
        <v>#N/A</v>
      </c>
      <c r="JTC30" t="e">
        <v>#N/A</v>
      </c>
      <c r="JTD30" t="e">
        <v>#N/A</v>
      </c>
      <c r="JTE30" t="e">
        <v>#N/A</v>
      </c>
      <c r="JTF30" t="e">
        <v>#N/A</v>
      </c>
      <c r="JTG30" t="e">
        <v>#N/A</v>
      </c>
      <c r="JTH30" t="e">
        <v>#N/A</v>
      </c>
      <c r="JTI30" t="e">
        <v>#N/A</v>
      </c>
      <c r="JTJ30" t="e">
        <v>#N/A</v>
      </c>
      <c r="JTK30" t="e">
        <v>#N/A</v>
      </c>
      <c r="JTL30" t="e">
        <v>#N/A</v>
      </c>
      <c r="JTM30" t="e">
        <v>#N/A</v>
      </c>
      <c r="JTN30" t="e">
        <v>#N/A</v>
      </c>
      <c r="JTO30" t="e">
        <v>#N/A</v>
      </c>
      <c r="JTP30" t="e">
        <v>#N/A</v>
      </c>
      <c r="JTQ30" t="e">
        <v>#N/A</v>
      </c>
      <c r="JTR30" t="e">
        <v>#N/A</v>
      </c>
      <c r="JTS30" t="e">
        <v>#N/A</v>
      </c>
      <c r="JTT30" t="e">
        <v>#N/A</v>
      </c>
      <c r="JTU30" t="e">
        <v>#N/A</v>
      </c>
      <c r="JTV30" t="e">
        <v>#N/A</v>
      </c>
      <c r="JTW30" t="e">
        <v>#N/A</v>
      </c>
      <c r="JTX30" t="e">
        <v>#N/A</v>
      </c>
      <c r="JTY30" t="e">
        <v>#N/A</v>
      </c>
      <c r="JTZ30" t="e">
        <v>#N/A</v>
      </c>
      <c r="JUA30" t="e">
        <v>#N/A</v>
      </c>
      <c r="JUB30" t="e">
        <v>#N/A</v>
      </c>
      <c r="JUC30" t="e">
        <v>#N/A</v>
      </c>
      <c r="JUD30" t="e">
        <v>#N/A</v>
      </c>
      <c r="JUE30" t="e">
        <v>#N/A</v>
      </c>
      <c r="JUF30" t="e">
        <v>#N/A</v>
      </c>
      <c r="JUG30" t="e">
        <v>#N/A</v>
      </c>
      <c r="JUH30" t="e">
        <v>#N/A</v>
      </c>
      <c r="JUI30" t="e">
        <v>#N/A</v>
      </c>
      <c r="JUJ30" t="e">
        <v>#N/A</v>
      </c>
      <c r="JUK30" t="e">
        <v>#N/A</v>
      </c>
      <c r="JUL30" t="e">
        <v>#N/A</v>
      </c>
      <c r="JUM30" t="e">
        <v>#N/A</v>
      </c>
      <c r="JUN30" t="e">
        <v>#N/A</v>
      </c>
      <c r="JUO30" t="e">
        <v>#N/A</v>
      </c>
      <c r="JUP30" t="e">
        <v>#N/A</v>
      </c>
      <c r="JUQ30" t="e">
        <v>#N/A</v>
      </c>
      <c r="JUR30" t="e">
        <v>#N/A</v>
      </c>
      <c r="JUS30" t="e">
        <v>#N/A</v>
      </c>
      <c r="JUT30" t="e">
        <v>#N/A</v>
      </c>
      <c r="JUU30" t="e">
        <v>#N/A</v>
      </c>
      <c r="JUV30" t="e">
        <v>#N/A</v>
      </c>
      <c r="JUW30" t="e">
        <v>#N/A</v>
      </c>
      <c r="JUX30" t="e">
        <v>#N/A</v>
      </c>
      <c r="JUY30" t="e">
        <v>#N/A</v>
      </c>
      <c r="JUZ30" t="e">
        <v>#N/A</v>
      </c>
      <c r="JVA30" t="e">
        <v>#N/A</v>
      </c>
      <c r="JVB30" t="e">
        <v>#N/A</v>
      </c>
      <c r="JVC30" t="e">
        <v>#N/A</v>
      </c>
      <c r="JVD30" t="e">
        <v>#N/A</v>
      </c>
      <c r="JVE30" t="e">
        <v>#N/A</v>
      </c>
      <c r="JVF30" t="e">
        <v>#N/A</v>
      </c>
      <c r="JVG30" t="e">
        <v>#N/A</v>
      </c>
      <c r="JVH30" t="e">
        <v>#N/A</v>
      </c>
      <c r="JVI30" t="e">
        <v>#N/A</v>
      </c>
      <c r="JVJ30" t="e">
        <v>#N/A</v>
      </c>
      <c r="JVK30" t="e">
        <v>#N/A</v>
      </c>
      <c r="JVL30" t="e">
        <v>#N/A</v>
      </c>
      <c r="JVM30" t="e">
        <v>#N/A</v>
      </c>
      <c r="JVN30" t="e">
        <v>#N/A</v>
      </c>
      <c r="JVO30" t="e">
        <v>#N/A</v>
      </c>
      <c r="JVP30" t="e">
        <v>#N/A</v>
      </c>
      <c r="JVQ30" t="e">
        <v>#N/A</v>
      </c>
      <c r="JVR30" t="e">
        <v>#N/A</v>
      </c>
      <c r="JVS30" t="e">
        <v>#N/A</v>
      </c>
      <c r="JVT30" t="e">
        <v>#N/A</v>
      </c>
      <c r="JVU30" t="e">
        <v>#N/A</v>
      </c>
      <c r="JVV30" t="e">
        <v>#N/A</v>
      </c>
      <c r="JVW30" t="e">
        <v>#N/A</v>
      </c>
      <c r="JVX30" t="e">
        <v>#N/A</v>
      </c>
      <c r="JVY30" t="e">
        <v>#N/A</v>
      </c>
      <c r="JVZ30" t="e">
        <v>#N/A</v>
      </c>
      <c r="JWA30" t="e">
        <v>#N/A</v>
      </c>
      <c r="JWB30" t="e">
        <v>#N/A</v>
      </c>
      <c r="JWC30" t="e">
        <v>#N/A</v>
      </c>
      <c r="JWD30" t="e">
        <v>#N/A</v>
      </c>
      <c r="JWE30" t="e">
        <v>#N/A</v>
      </c>
      <c r="JWF30" t="e">
        <v>#N/A</v>
      </c>
      <c r="JWG30" t="e">
        <v>#N/A</v>
      </c>
      <c r="JWH30" t="e">
        <v>#N/A</v>
      </c>
      <c r="JWI30" t="e">
        <v>#N/A</v>
      </c>
      <c r="JWJ30" t="e">
        <v>#N/A</v>
      </c>
      <c r="JWK30" t="e">
        <v>#N/A</v>
      </c>
      <c r="JWL30" t="e">
        <v>#N/A</v>
      </c>
      <c r="JWM30" t="e">
        <v>#N/A</v>
      </c>
      <c r="JWN30" t="e">
        <v>#N/A</v>
      </c>
      <c r="JWO30" t="e">
        <v>#N/A</v>
      </c>
      <c r="JWP30" t="e">
        <v>#N/A</v>
      </c>
      <c r="JWQ30" t="e">
        <v>#N/A</v>
      </c>
      <c r="JWR30" t="e">
        <v>#N/A</v>
      </c>
      <c r="JWS30" t="e">
        <v>#N/A</v>
      </c>
      <c r="JWT30" t="e">
        <v>#N/A</v>
      </c>
      <c r="JWU30" t="e">
        <v>#N/A</v>
      </c>
      <c r="JWV30" t="e">
        <v>#N/A</v>
      </c>
      <c r="JWW30" t="e">
        <v>#N/A</v>
      </c>
      <c r="JWX30" t="e">
        <v>#N/A</v>
      </c>
      <c r="JWY30" t="e">
        <v>#N/A</v>
      </c>
      <c r="JWZ30" t="e">
        <v>#N/A</v>
      </c>
      <c r="JXA30" t="e">
        <v>#N/A</v>
      </c>
      <c r="JXB30" t="e">
        <v>#N/A</v>
      </c>
      <c r="JXC30" t="e">
        <v>#N/A</v>
      </c>
      <c r="JXD30" t="e">
        <v>#N/A</v>
      </c>
      <c r="JXE30" t="e">
        <v>#N/A</v>
      </c>
      <c r="JXF30" t="e">
        <v>#N/A</v>
      </c>
      <c r="JXG30" t="e">
        <v>#N/A</v>
      </c>
      <c r="JXH30" t="e">
        <v>#N/A</v>
      </c>
      <c r="JXI30" t="e">
        <v>#N/A</v>
      </c>
      <c r="JXJ30" t="e">
        <v>#N/A</v>
      </c>
      <c r="JXK30" t="e">
        <v>#N/A</v>
      </c>
      <c r="JXL30" t="e">
        <v>#N/A</v>
      </c>
      <c r="JXM30" t="e">
        <v>#N/A</v>
      </c>
      <c r="JXN30" t="e">
        <v>#N/A</v>
      </c>
      <c r="JXO30" t="e">
        <v>#N/A</v>
      </c>
      <c r="JXP30" t="e">
        <v>#N/A</v>
      </c>
      <c r="JXQ30" t="e">
        <v>#N/A</v>
      </c>
      <c r="JXR30" t="e">
        <v>#N/A</v>
      </c>
      <c r="JXS30" t="e">
        <v>#N/A</v>
      </c>
      <c r="JXT30" t="e">
        <v>#N/A</v>
      </c>
      <c r="JXU30" t="e">
        <v>#N/A</v>
      </c>
      <c r="JXV30" t="e">
        <v>#N/A</v>
      </c>
      <c r="JXW30" t="e">
        <v>#N/A</v>
      </c>
      <c r="JXX30" t="e">
        <v>#N/A</v>
      </c>
      <c r="JXY30" t="e">
        <v>#N/A</v>
      </c>
      <c r="JXZ30" t="e">
        <v>#N/A</v>
      </c>
      <c r="JYA30" t="e">
        <v>#N/A</v>
      </c>
      <c r="JYB30" t="e">
        <v>#N/A</v>
      </c>
      <c r="JYC30" t="e">
        <v>#N/A</v>
      </c>
      <c r="JYD30" t="e">
        <v>#N/A</v>
      </c>
      <c r="JYE30" t="e">
        <v>#N/A</v>
      </c>
      <c r="JYF30" t="e">
        <v>#N/A</v>
      </c>
      <c r="JYG30" t="e">
        <v>#N/A</v>
      </c>
      <c r="JYH30" t="e">
        <v>#N/A</v>
      </c>
      <c r="JYI30" t="e">
        <v>#N/A</v>
      </c>
      <c r="JYJ30" t="e">
        <v>#N/A</v>
      </c>
      <c r="JYK30" t="e">
        <v>#N/A</v>
      </c>
      <c r="JYL30" t="e">
        <v>#N/A</v>
      </c>
      <c r="JYM30" t="e">
        <v>#N/A</v>
      </c>
      <c r="JYN30" t="e">
        <v>#N/A</v>
      </c>
      <c r="JYO30" t="e">
        <v>#N/A</v>
      </c>
      <c r="JYP30" t="e">
        <v>#N/A</v>
      </c>
      <c r="JYQ30" t="e">
        <v>#N/A</v>
      </c>
      <c r="JYR30" t="e">
        <v>#N/A</v>
      </c>
      <c r="JYS30" t="e">
        <v>#N/A</v>
      </c>
      <c r="JYT30" t="e">
        <v>#N/A</v>
      </c>
      <c r="JYU30" t="e">
        <v>#N/A</v>
      </c>
      <c r="JYV30" t="e">
        <v>#N/A</v>
      </c>
      <c r="JYW30" t="e">
        <v>#N/A</v>
      </c>
      <c r="JYX30" t="e">
        <v>#N/A</v>
      </c>
      <c r="JYY30" t="e">
        <v>#N/A</v>
      </c>
      <c r="JYZ30" t="e">
        <v>#N/A</v>
      </c>
      <c r="JZA30" t="e">
        <v>#N/A</v>
      </c>
      <c r="JZB30" t="e">
        <v>#N/A</v>
      </c>
      <c r="JZC30" t="e">
        <v>#N/A</v>
      </c>
      <c r="JZD30" t="e">
        <v>#N/A</v>
      </c>
      <c r="JZE30" t="e">
        <v>#N/A</v>
      </c>
      <c r="JZF30" t="e">
        <v>#N/A</v>
      </c>
      <c r="JZG30" t="e">
        <v>#N/A</v>
      </c>
      <c r="JZH30" t="e">
        <v>#N/A</v>
      </c>
      <c r="JZI30" t="e">
        <v>#N/A</v>
      </c>
      <c r="JZJ30" t="e">
        <v>#N/A</v>
      </c>
      <c r="JZK30" t="e">
        <v>#N/A</v>
      </c>
      <c r="JZL30" t="e">
        <v>#N/A</v>
      </c>
      <c r="JZM30" t="e">
        <v>#N/A</v>
      </c>
      <c r="JZN30" t="e">
        <v>#N/A</v>
      </c>
      <c r="JZO30" t="e">
        <v>#N/A</v>
      </c>
      <c r="JZP30" t="e">
        <v>#N/A</v>
      </c>
      <c r="JZQ30" t="e">
        <v>#N/A</v>
      </c>
      <c r="JZR30" t="e">
        <v>#N/A</v>
      </c>
      <c r="JZS30" t="e">
        <v>#N/A</v>
      </c>
      <c r="JZT30" t="e">
        <v>#N/A</v>
      </c>
      <c r="JZU30" t="e">
        <v>#N/A</v>
      </c>
      <c r="JZV30" t="e">
        <v>#N/A</v>
      </c>
      <c r="JZW30" t="e">
        <v>#N/A</v>
      </c>
      <c r="JZX30" t="e">
        <v>#N/A</v>
      </c>
      <c r="JZY30" t="e">
        <v>#N/A</v>
      </c>
      <c r="JZZ30" t="e">
        <v>#N/A</v>
      </c>
      <c r="KAA30" t="e">
        <v>#N/A</v>
      </c>
      <c r="KAB30" t="e">
        <v>#N/A</v>
      </c>
      <c r="KAC30" t="e">
        <v>#N/A</v>
      </c>
      <c r="KAD30" t="e">
        <v>#N/A</v>
      </c>
      <c r="KAE30" t="e">
        <v>#N/A</v>
      </c>
      <c r="KAF30" t="e">
        <v>#N/A</v>
      </c>
      <c r="KAG30" t="e">
        <v>#N/A</v>
      </c>
      <c r="KAH30" t="e">
        <v>#N/A</v>
      </c>
      <c r="KAI30" t="e">
        <v>#N/A</v>
      </c>
      <c r="KAJ30" t="e">
        <v>#N/A</v>
      </c>
      <c r="KAK30" t="e">
        <v>#N/A</v>
      </c>
      <c r="KAL30" t="e">
        <v>#N/A</v>
      </c>
      <c r="KAM30" t="e">
        <v>#N/A</v>
      </c>
      <c r="KAN30" t="e">
        <v>#N/A</v>
      </c>
      <c r="KAO30" t="e">
        <v>#N/A</v>
      </c>
      <c r="KAP30" t="e">
        <v>#N/A</v>
      </c>
      <c r="KAQ30" t="e">
        <v>#N/A</v>
      </c>
      <c r="KAR30" t="e">
        <v>#N/A</v>
      </c>
      <c r="KAS30" t="e">
        <v>#N/A</v>
      </c>
      <c r="KAT30" t="e">
        <v>#N/A</v>
      </c>
      <c r="KAU30" t="e">
        <v>#N/A</v>
      </c>
      <c r="KAV30" t="e">
        <v>#N/A</v>
      </c>
      <c r="KAW30" t="e">
        <v>#N/A</v>
      </c>
      <c r="KAX30" t="e">
        <v>#N/A</v>
      </c>
      <c r="KAY30" t="e">
        <v>#N/A</v>
      </c>
      <c r="KAZ30" t="e">
        <v>#N/A</v>
      </c>
      <c r="KBA30" t="e">
        <v>#N/A</v>
      </c>
      <c r="KBB30" t="e">
        <v>#N/A</v>
      </c>
      <c r="KBC30" t="e">
        <v>#N/A</v>
      </c>
      <c r="KBD30" t="e">
        <v>#N/A</v>
      </c>
      <c r="KBE30" t="e">
        <v>#N/A</v>
      </c>
      <c r="KBF30" t="e">
        <v>#N/A</v>
      </c>
      <c r="KBG30" t="e">
        <v>#N/A</v>
      </c>
      <c r="KBH30" t="e">
        <v>#N/A</v>
      </c>
      <c r="KBI30" t="e">
        <v>#N/A</v>
      </c>
      <c r="KBJ30" t="e">
        <v>#N/A</v>
      </c>
      <c r="KBK30" t="e">
        <v>#N/A</v>
      </c>
      <c r="KBL30" t="e">
        <v>#N/A</v>
      </c>
      <c r="KBM30" t="e">
        <v>#N/A</v>
      </c>
      <c r="KBN30" t="e">
        <v>#N/A</v>
      </c>
      <c r="KBO30" t="e">
        <v>#N/A</v>
      </c>
      <c r="KBP30" t="e">
        <v>#N/A</v>
      </c>
      <c r="KBQ30" t="e">
        <v>#N/A</v>
      </c>
      <c r="KBR30" t="e">
        <v>#N/A</v>
      </c>
      <c r="KBS30" t="e">
        <v>#N/A</v>
      </c>
      <c r="KBT30" t="e">
        <v>#N/A</v>
      </c>
      <c r="KBU30" t="e">
        <v>#N/A</v>
      </c>
      <c r="KBV30" t="e">
        <v>#N/A</v>
      </c>
      <c r="KBW30" t="e">
        <v>#N/A</v>
      </c>
      <c r="KBX30" t="e">
        <v>#N/A</v>
      </c>
      <c r="KBY30" t="e">
        <v>#N/A</v>
      </c>
      <c r="KBZ30" t="e">
        <v>#N/A</v>
      </c>
      <c r="KCA30" t="e">
        <v>#N/A</v>
      </c>
      <c r="KCB30" t="e">
        <v>#N/A</v>
      </c>
      <c r="KCC30" t="e">
        <v>#N/A</v>
      </c>
      <c r="KCD30" t="e">
        <v>#N/A</v>
      </c>
      <c r="KCE30" t="e">
        <v>#N/A</v>
      </c>
      <c r="KCF30" t="e">
        <v>#N/A</v>
      </c>
      <c r="KCG30" t="e">
        <v>#N/A</v>
      </c>
      <c r="KCH30" t="e">
        <v>#N/A</v>
      </c>
      <c r="KCI30" t="e">
        <v>#N/A</v>
      </c>
      <c r="KCJ30" t="e">
        <v>#N/A</v>
      </c>
      <c r="KCK30" t="e">
        <v>#N/A</v>
      </c>
      <c r="KCL30" t="e">
        <v>#N/A</v>
      </c>
      <c r="KCM30" t="e">
        <v>#N/A</v>
      </c>
      <c r="KCN30" t="e">
        <v>#N/A</v>
      </c>
      <c r="KCO30" t="e">
        <v>#N/A</v>
      </c>
      <c r="KCP30" t="e">
        <v>#N/A</v>
      </c>
      <c r="KCQ30" t="e">
        <v>#N/A</v>
      </c>
      <c r="KCR30" t="e">
        <v>#N/A</v>
      </c>
      <c r="KCS30" t="e">
        <v>#N/A</v>
      </c>
      <c r="KCT30" t="e">
        <v>#N/A</v>
      </c>
      <c r="KCU30" t="e">
        <v>#N/A</v>
      </c>
      <c r="KCV30" t="e">
        <v>#N/A</v>
      </c>
      <c r="KCW30" t="e">
        <v>#N/A</v>
      </c>
      <c r="KCX30" t="e">
        <v>#N/A</v>
      </c>
      <c r="KCY30" t="e">
        <v>#N/A</v>
      </c>
      <c r="KCZ30" t="e">
        <v>#N/A</v>
      </c>
      <c r="KDA30" t="e">
        <v>#N/A</v>
      </c>
      <c r="KDB30" t="e">
        <v>#N/A</v>
      </c>
      <c r="KDC30" t="e">
        <v>#N/A</v>
      </c>
      <c r="KDD30" t="e">
        <v>#N/A</v>
      </c>
      <c r="KDE30" t="e">
        <v>#N/A</v>
      </c>
      <c r="KDF30" t="e">
        <v>#N/A</v>
      </c>
      <c r="KDG30" t="e">
        <v>#N/A</v>
      </c>
      <c r="KDH30" t="e">
        <v>#N/A</v>
      </c>
      <c r="KDI30" t="e">
        <v>#N/A</v>
      </c>
      <c r="KDJ30" t="e">
        <v>#N/A</v>
      </c>
      <c r="KDK30" t="e">
        <v>#N/A</v>
      </c>
      <c r="KDL30" t="e">
        <v>#N/A</v>
      </c>
      <c r="KDM30" t="e">
        <v>#N/A</v>
      </c>
      <c r="KDN30" t="e">
        <v>#N/A</v>
      </c>
      <c r="KDO30" t="e">
        <v>#N/A</v>
      </c>
      <c r="KDP30" t="e">
        <v>#N/A</v>
      </c>
      <c r="KDQ30" t="e">
        <v>#N/A</v>
      </c>
      <c r="KDR30" t="e">
        <v>#N/A</v>
      </c>
      <c r="KDS30" t="e">
        <v>#N/A</v>
      </c>
      <c r="KDT30" t="e">
        <v>#N/A</v>
      </c>
      <c r="KDU30" t="e">
        <v>#N/A</v>
      </c>
      <c r="KDV30" t="e">
        <v>#N/A</v>
      </c>
      <c r="KDW30" t="e">
        <v>#N/A</v>
      </c>
      <c r="KDX30" t="e">
        <v>#N/A</v>
      </c>
      <c r="KDY30" t="e">
        <v>#N/A</v>
      </c>
      <c r="KDZ30" t="e">
        <v>#N/A</v>
      </c>
      <c r="KEA30" t="e">
        <v>#N/A</v>
      </c>
      <c r="KEB30" t="e">
        <v>#N/A</v>
      </c>
      <c r="KEC30" t="e">
        <v>#N/A</v>
      </c>
      <c r="KED30" t="e">
        <v>#N/A</v>
      </c>
      <c r="KEE30" t="e">
        <v>#N/A</v>
      </c>
      <c r="KEF30" t="e">
        <v>#N/A</v>
      </c>
      <c r="KEG30" t="e">
        <v>#N/A</v>
      </c>
      <c r="KEH30" t="e">
        <v>#N/A</v>
      </c>
      <c r="KEI30" t="e">
        <v>#N/A</v>
      </c>
      <c r="KEJ30" t="e">
        <v>#N/A</v>
      </c>
      <c r="KEK30" t="e">
        <v>#N/A</v>
      </c>
      <c r="KEL30" t="e">
        <v>#N/A</v>
      </c>
      <c r="KEM30" t="e">
        <v>#N/A</v>
      </c>
      <c r="KEN30" t="e">
        <v>#N/A</v>
      </c>
      <c r="KEO30" t="e">
        <v>#N/A</v>
      </c>
      <c r="KEP30" t="e">
        <v>#N/A</v>
      </c>
      <c r="KEQ30" t="e">
        <v>#N/A</v>
      </c>
      <c r="KER30" t="e">
        <v>#N/A</v>
      </c>
      <c r="KES30" t="e">
        <v>#N/A</v>
      </c>
      <c r="KET30" t="e">
        <v>#N/A</v>
      </c>
      <c r="KEU30" t="e">
        <v>#N/A</v>
      </c>
      <c r="KEV30" t="e">
        <v>#N/A</v>
      </c>
      <c r="KEW30" t="e">
        <v>#N/A</v>
      </c>
      <c r="KEX30" t="e">
        <v>#N/A</v>
      </c>
      <c r="KEY30" t="e">
        <v>#N/A</v>
      </c>
      <c r="KEZ30" t="e">
        <v>#N/A</v>
      </c>
      <c r="KFA30" t="e">
        <v>#N/A</v>
      </c>
      <c r="KFB30" t="e">
        <v>#N/A</v>
      </c>
      <c r="KFC30" t="e">
        <v>#N/A</v>
      </c>
      <c r="KFD30" t="e">
        <v>#N/A</v>
      </c>
      <c r="KFE30" t="e">
        <v>#N/A</v>
      </c>
      <c r="KFF30" t="e">
        <v>#N/A</v>
      </c>
      <c r="KFG30" t="e">
        <v>#N/A</v>
      </c>
      <c r="KFH30" t="e">
        <v>#N/A</v>
      </c>
      <c r="KFI30" t="e">
        <v>#N/A</v>
      </c>
      <c r="KFJ30" t="e">
        <v>#N/A</v>
      </c>
      <c r="KFK30" t="e">
        <v>#N/A</v>
      </c>
      <c r="KFL30" t="e">
        <v>#N/A</v>
      </c>
      <c r="KFM30" t="e">
        <v>#N/A</v>
      </c>
      <c r="KFN30" t="e">
        <v>#N/A</v>
      </c>
      <c r="KFO30" t="e">
        <v>#N/A</v>
      </c>
      <c r="KFP30" t="e">
        <v>#N/A</v>
      </c>
      <c r="KFQ30" t="e">
        <v>#N/A</v>
      </c>
      <c r="KFR30" t="e">
        <v>#N/A</v>
      </c>
      <c r="KFS30" t="e">
        <v>#N/A</v>
      </c>
      <c r="KFT30" t="e">
        <v>#N/A</v>
      </c>
      <c r="KFU30" t="e">
        <v>#N/A</v>
      </c>
      <c r="KFV30" t="e">
        <v>#N/A</v>
      </c>
      <c r="KFW30" t="e">
        <v>#N/A</v>
      </c>
      <c r="KFX30" t="e">
        <v>#N/A</v>
      </c>
      <c r="KFY30" t="e">
        <v>#N/A</v>
      </c>
      <c r="KFZ30" t="e">
        <v>#N/A</v>
      </c>
      <c r="KGA30" t="e">
        <v>#N/A</v>
      </c>
      <c r="KGB30" t="e">
        <v>#N/A</v>
      </c>
      <c r="KGC30" t="e">
        <v>#N/A</v>
      </c>
      <c r="KGD30" t="e">
        <v>#N/A</v>
      </c>
      <c r="KGE30" t="e">
        <v>#N/A</v>
      </c>
      <c r="KGF30" t="e">
        <v>#N/A</v>
      </c>
      <c r="KGG30" t="e">
        <v>#N/A</v>
      </c>
      <c r="KGH30" t="e">
        <v>#N/A</v>
      </c>
      <c r="KGI30" t="e">
        <v>#N/A</v>
      </c>
      <c r="KGJ30" t="e">
        <v>#N/A</v>
      </c>
      <c r="KGK30" t="e">
        <v>#N/A</v>
      </c>
      <c r="KGL30" t="e">
        <v>#N/A</v>
      </c>
      <c r="KGM30" t="e">
        <v>#N/A</v>
      </c>
      <c r="KGN30" t="e">
        <v>#N/A</v>
      </c>
      <c r="KGO30" t="e">
        <v>#N/A</v>
      </c>
      <c r="KGP30" t="e">
        <v>#N/A</v>
      </c>
      <c r="KGQ30" t="e">
        <v>#N/A</v>
      </c>
      <c r="KGR30" t="e">
        <v>#N/A</v>
      </c>
      <c r="KGS30" t="e">
        <v>#N/A</v>
      </c>
      <c r="KGT30" t="e">
        <v>#N/A</v>
      </c>
      <c r="KGU30" t="e">
        <v>#N/A</v>
      </c>
      <c r="KGV30" t="e">
        <v>#N/A</v>
      </c>
      <c r="KGW30" t="e">
        <v>#N/A</v>
      </c>
      <c r="KGX30" t="e">
        <v>#N/A</v>
      </c>
      <c r="KGY30" t="e">
        <v>#N/A</v>
      </c>
      <c r="KGZ30" t="e">
        <v>#N/A</v>
      </c>
      <c r="KHA30" t="e">
        <v>#N/A</v>
      </c>
      <c r="KHB30" t="e">
        <v>#N/A</v>
      </c>
      <c r="KHC30" t="e">
        <v>#N/A</v>
      </c>
      <c r="KHD30" t="e">
        <v>#N/A</v>
      </c>
      <c r="KHE30" t="e">
        <v>#N/A</v>
      </c>
      <c r="KHF30" t="e">
        <v>#N/A</v>
      </c>
      <c r="KHG30" t="e">
        <v>#N/A</v>
      </c>
      <c r="KHH30" t="e">
        <v>#N/A</v>
      </c>
      <c r="KHI30" t="e">
        <v>#N/A</v>
      </c>
      <c r="KHJ30" t="e">
        <v>#N/A</v>
      </c>
      <c r="KHK30" t="e">
        <v>#N/A</v>
      </c>
      <c r="KHL30" t="e">
        <v>#N/A</v>
      </c>
      <c r="KHM30" t="e">
        <v>#N/A</v>
      </c>
      <c r="KHN30" t="e">
        <v>#N/A</v>
      </c>
      <c r="KHO30" t="e">
        <v>#N/A</v>
      </c>
      <c r="KHP30" t="e">
        <v>#N/A</v>
      </c>
      <c r="KHQ30" t="e">
        <v>#N/A</v>
      </c>
      <c r="KHR30" t="e">
        <v>#N/A</v>
      </c>
      <c r="KHS30" t="e">
        <v>#N/A</v>
      </c>
      <c r="KHT30" t="e">
        <v>#N/A</v>
      </c>
      <c r="KHU30" t="e">
        <v>#N/A</v>
      </c>
      <c r="KHV30" t="e">
        <v>#N/A</v>
      </c>
      <c r="KHW30" t="e">
        <v>#N/A</v>
      </c>
      <c r="KHX30" t="e">
        <v>#N/A</v>
      </c>
      <c r="KHY30" t="e">
        <v>#N/A</v>
      </c>
      <c r="KHZ30" t="e">
        <v>#N/A</v>
      </c>
      <c r="KIA30" t="e">
        <v>#N/A</v>
      </c>
      <c r="KIB30" t="e">
        <v>#N/A</v>
      </c>
      <c r="KIC30" t="e">
        <v>#N/A</v>
      </c>
      <c r="KID30" t="e">
        <v>#N/A</v>
      </c>
      <c r="KIE30" t="e">
        <v>#N/A</v>
      </c>
      <c r="KIF30" t="e">
        <v>#N/A</v>
      </c>
      <c r="KIG30" t="e">
        <v>#N/A</v>
      </c>
      <c r="KIH30" t="e">
        <v>#N/A</v>
      </c>
      <c r="KII30" t="e">
        <v>#N/A</v>
      </c>
      <c r="KIJ30" t="e">
        <v>#N/A</v>
      </c>
      <c r="KIK30" t="e">
        <v>#N/A</v>
      </c>
      <c r="KIL30" t="e">
        <v>#N/A</v>
      </c>
      <c r="KIM30" t="e">
        <v>#N/A</v>
      </c>
      <c r="KIN30" t="e">
        <v>#N/A</v>
      </c>
      <c r="KIO30" t="e">
        <v>#N/A</v>
      </c>
      <c r="KIP30" t="e">
        <v>#N/A</v>
      </c>
      <c r="KIQ30" t="e">
        <v>#N/A</v>
      </c>
      <c r="KIR30" t="e">
        <v>#N/A</v>
      </c>
      <c r="KIS30" t="e">
        <v>#N/A</v>
      </c>
      <c r="KIT30" t="e">
        <v>#N/A</v>
      </c>
      <c r="KIU30" t="e">
        <v>#N/A</v>
      </c>
      <c r="KIV30" t="e">
        <v>#N/A</v>
      </c>
      <c r="KIW30" t="e">
        <v>#N/A</v>
      </c>
      <c r="KIX30" t="e">
        <v>#N/A</v>
      </c>
      <c r="KIY30" t="e">
        <v>#N/A</v>
      </c>
      <c r="KIZ30" t="e">
        <v>#N/A</v>
      </c>
      <c r="KJA30" t="e">
        <v>#N/A</v>
      </c>
      <c r="KJB30" t="e">
        <v>#N/A</v>
      </c>
      <c r="KJC30" t="e">
        <v>#N/A</v>
      </c>
      <c r="KJD30" t="e">
        <v>#N/A</v>
      </c>
      <c r="KJE30" t="e">
        <v>#N/A</v>
      </c>
      <c r="KJF30" t="e">
        <v>#N/A</v>
      </c>
      <c r="KJG30" t="e">
        <v>#N/A</v>
      </c>
      <c r="KJH30" t="e">
        <v>#N/A</v>
      </c>
      <c r="KJI30" t="e">
        <v>#N/A</v>
      </c>
      <c r="KJJ30" t="e">
        <v>#N/A</v>
      </c>
      <c r="KJK30" t="e">
        <v>#N/A</v>
      </c>
      <c r="KJL30" t="e">
        <v>#N/A</v>
      </c>
      <c r="KJM30" t="e">
        <v>#N/A</v>
      </c>
      <c r="KJN30" t="e">
        <v>#N/A</v>
      </c>
      <c r="KJO30" t="e">
        <v>#N/A</v>
      </c>
      <c r="KJP30" t="e">
        <v>#N/A</v>
      </c>
      <c r="KJQ30" t="e">
        <v>#N/A</v>
      </c>
      <c r="KJR30" t="e">
        <v>#N/A</v>
      </c>
      <c r="KJS30" t="e">
        <v>#N/A</v>
      </c>
      <c r="KJT30" t="e">
        <v>#N/A</v>
      </c>
      <c r="KJU30" t="e">
        <v>#N/A</v>
      </c>
      <c r="KJV30" t="e">
        <v>#N/A</v>
      </c>
      <c r="KJW30" t="e">
        <v>#N/A</v>
      </c>
      <c r="KJX30" t="e">
        <v>#N/A</v>
      </c>
      <c r="KJY30" t="e">
        <v>#N/A</v>
      </c>
      <c r="KJZ30" t="e">
        <v>#N/A</v>
      </c>
      <c r="KKA30" t="e">
        <v>#N/A</v>
      </c>
      <c r="KKB30" t="e">
        <v>#N/A</v>
      </c>
      <c r="KKC30" t="e">
        <v>#N/A</v>
      </c>
      <c r="KKD30" t="e">
        <v>#N/A</v>
      </c>
      <c r="KKE30" t="e">
        <v>#N/A</v>
      </c>
      <c r="KKF30" t="e">
        <v>#N/A</v>
      </c>
      <c r="KKG30" t="e">
        <v>#N/A</v>
      </c>
      <c r="KKH30" t="e">
        <v>#N/A</v>
      </c>
      <c r="KKI30" t="e">
        <v>#N/A</v>
      </c>
      <c r="KKJ30" t="e">
        <v>#N/A</v>
      </c>
      <c r="KKK30" t="e">
        <v>#N/A</v>
      </c>
      <c r="KKL30" t="e">
        <v>#N/A</v>
      </c>
      <c r="KKM30" t="e">
        <v>#N/A</v>
      </c>
      <c r="KKN30" t="e">
        <v>#N/A</v>
      </c>
      <c r="KKO30" t="e">
        <v>#N/A</v>
      </c>
      <c r="KKP30" t="e">
        <v>#N/A</v>
      </c>
      <c r="KKQ30" t="e">
        <v>#N/A</v>
      </c>
      <c r="KKR30" t="e">
        <v>#N/A</v>
      </c>
      <c r="KKS30" t="e">
        <v>#N/A</v>
      </c>
      <c r="KKT30" t="e">
        <v>#N/A</v>
      </c>
      <c r="KKU30" t="e">
        <v>#N/A</v>
      </c>
      <c r="KKV30" t="e">
        <v>#N/A</v>
      </c>
      <c r="KKW30" t="e">
        <v>#N/A</v>
      </c>
      <c r="KKX30" t="e">
        <v>#N/A</v>
      </c>
      <c r="KKY30" t="e">
        <v>#N/A</v>
      </c>
      <c r="KKZ30" t="e">
        <v>#N/A</v>
      </c>
      <c r="KLA30" t="e">
        <v>#N/A</v>
      </c>
      <c r="KLB30" t="e">
        <v>#N/A</v>
      </c>
      <c r="KLC30" t="e">
        <v>#N/A</v>
      </c>
      <c r="KLD30" t="e">
        <v>#N/A</v>
      </c>
      <c r="KLE30" t="e">
        <v>#N/A</v>
      </c>
      <c r="KLF30" t="e">
        <v>#N/A</v>
      </c>
      <c r="KLG30" t="e">
        <v>#N/A</v>
      </c>
      <c r="KLH30" t="e">
        <v>#N/A</v>
      </c>
      <c r="KLI30" t="e">
        <v>#N/A</v>
      </c>
      <c r="KLJ30" t="e">
        <v>#N/A</v>
      </c>
      <c r="KLK30" t="e">
        <v>#N/A</v>
      </c>
      <c r="KLL30" t="e">
        <v>#N/A</v>
      </c>
      <c r="KLM30" t="e">
        <v>#N/A</v>
      </c>
      <c r="KLN30" t="e">
        <v>#N/A</v>
      </c>
      <c r="KLO30" t="e">
        <v>#N/A</v>
      </c>
      <c r="KLP30" t="e">
        <v>#N/A</v>
      </c>
      <c r="KLQ30" t="e">
        <v>#N/A</v>
      </c>
      <c r="KLR30" t="e">
        <v>#N/A</v>
      </c>
      <c r="KLS30" t="e">
        <v>#N/A</v>
      </c>
      <c r="KLT30" t="e">
        <v>#N/A</v>
      </c>
      <c r="KLU30" t="e">
        <v>#N/A</v>
      </c>
      <c r="KLV30" t="e">
        <v>#N/A</v>
      </c>
      <c r="KLW30" t="e">
        <v>#N/A</v>
      </c>
      <c r="KLX30" t="e">
        <v>#N/A</v>
      </c>
      <c r="KLY30" t="e">
        <v>#N/A</v>
      </c>
      <c r="KLZ30" t="e">
        <v>#N/A</v>
      </c>
      <c r="KMA30" t="e">
        <v>#N/A</v>
      </c>
      <c r="KMB30" t="e">
        <v>#N/A</v>
      </c>
      <c r="KMC30" t="e">
        <v>#N/A</v>
      </c>
      <c r="KMD30" t="e">
        <v>#N/A</v>
      </c>
      <c r="KME30" t="e">
        <v>#N/A</v>
      </c>
      <c r="KMF30" t="e">
        <v>#N/A</v>
      </c>
      <c r="KMG30" t="e">
        <v>#N/A</v>
      </c>
      <c r="KMH30" t="e">
        <v>#N/A</v>
      </c>
      <c r="KMI30" t="e">
        <v>#N/A</v>
      </c>
      <c r="KMJ30" t="e">
        <v>#N/A</v>
      </c>
      <c r="KMK30" t="e">
        <v>#N/A</v>
      </c>
      <c r="KML30" t="e">
        <v>#N/A</v>
      </c>
      <c r="KMM30" t="e">
        <v>#N/A</v>
      </c>
      <c r="KMN30" t="e">
        <v>#N/A</v>
      </c>
      <c r="KMO30" t="e">
        <v>#N/A</v>
      </c>
      <c r="KMP30" t="e">
        <v>#N/A</v>
      </c>
      <c r="KMQ30" t="e">
        <v>#N/A</v>
      </c>
      <c r="KMR30" t="e">
        <v>#N/A</v>
      </c>
      <c r="KMS30" t="e">
        <v>#N/A</v>
      </c>
      <c r="KMT30" t="e">
        <v>#N/A</v>
      </c>
      <c r="KMU30" t="e">
        <v>#N/A</v>
      </c>
      <c r="KMV30" t="e">
        <v>#N/A</v>
      </c>
      <c r="KMW30" t="e">
        <v>#N/A</v>
      </c>
      <c r="KMX30" t="e">
        <v>#N/A</v>
      </c>
      <c r="KMY30" t="e">
        <v>#N/A</v>
      </c>
      <c r="KMZ30" t="e">
        <v>#N/A</v>
      </c>
      <c r="KNA30" t="e">
        <v>#N/A</v>
      </c>
      <c r="KNB30" t="e">
        <v>#N/A</v>
      </c>
      <c r="KNC30" t="e">
        <v>#N/A</v>
      </c>
      <c r="KND30" t="e">
        <v>#N/A</v>
      </c>
      <c r="KNE30" t="e">
        <v>#N/A</v>
      </c>
      <c r="KNF30" t="e">
        <v>#N/A</v>
      </c>
      <c r="KNG30" t="e">
        <v>#N/A</v>
      </c>
      <c r="KNH30" t="e">
        <v>#N/A</v>
      </c>
      <c r="KNI30" t="e">
        <v>#N/A</v>
      </c>
      <c r="KNJ30" t="e">
        <v>#N/A</v>
      </c>
      <c r="KNK30" t="e">
        <v>#N/A</v>
      </c>
      <c r="KNL30" t="e">
        <v>#N/A</v>
      </c>
      <c r="KNM30" t="e">
        <v>#N/A</v>
      </c>
      <c r="KNN30" t="e">
        <v>#N/A</v>
      </c>
      <c r="KNO30" t="e">
        <v>#N/A</v>
      </c>
      <c r="KNP30" t="e">
        <v>#N/A</v>
      </c>
      <c r="KNQ30" t="e">
        <v>#N/A</v>
      </c>
      <c r="KNR30" t="e">
        <v>#N/A</v>
      </c>
      <c r="KNS30" t="e">
        <v>#N/A</v>
      </c>
      <c r="KNT30" t="e">
        <v>#N/A</v>
      </c>
      <c r="KNU30" t="e">
        <v>#N/A</v>
      </c>
      <c r="KNV30" t="e">
        <v>#N/A</v>
      </c>
      <c r="KNW30" t="e">
        <v>#N/A</v>
      </c>
      <c r="KNX30" t="e">
        <v>#N/A</v>
      </c>
      <c r="KNY30" t="e">
        <v>#N/A</v>
      </c>
      <c r="KNZ30" t="e">
        <v>#N/A</v>
      </c>
      <c r="KOA30" t="e">
        <v>#N/A</v>
      </c>
      <c r="KOB30" t="e">
        <v>#N/A</v>
      </c>
      <c r="KOC30" t="e">
        <v>#N/A</v>
      </c>
      <c r="KOD30" t="e">
        <v>#N/A</v>
      </c>
      <c r="KOE30" t="e">
        <v>#N/A</v>
      </c>
      <c r="KOF30" t="e">
        <v>#N/A</v>
      </c>
      <c r="KOG30" t="e">
        <v>#N/A</v>
      </c>
      <c r="KOH30" t="e">
        <v>#N/A</v>
      </c>
      <c r="KOI30" t="e">
        <v>#N/A</v>
      </c>
      <c r="KOJ30" t="e">
        <v>#N/A</v>
      </c>
      <c r="KOK30" t="e">
        <v>#N/A</v>
      </c>
      <c r="KOL30" t="e">
        <v>#N/A</v>
      </c>
      <c r="KOM30" t="e">
        <v>#N/A</v>
      </c>
      <c r="KON30" t="e">
        <v>#N/A</v>
      </c>
      <c r="KOO30" t="e">
        <v>#N/A</v>
      </c>
      <c r="KOP30" t="e">
        <v>#N/A</v>
      </c>
      <c r="KOQ30" t="e">
        <v>#N/A</v>
      </c>
      <c r="KOR30" t="e">
        <v>#N/A</v>
      </c>
      <c r="KOS30" t="e">
        <v>#N/A</v>
      </c>
      <c r="KOT30" t="e">
        <v>#N/A</v>
      </c>
      <c r="KOU30" t="e">
        <v>#N/A</v>
      </c>
      <c r="KOV30" t="e">
        <v>#N/A</v>
      </c>
      <c r="KOW30" t="e">
        <v>#N/A</v>
      </c>
      <c r="KOX30" t="e">
        <v>#N/A</v>
      </c>
      <c r="KOY30" t="e">
        <v>#N/A</v>
      </c>
      <c r="KOZ30" t="e">
        <v>#N/A</v>
      </c>
      <c r="KPA30" t="e">
        <v>#N/A</v>
      </c>
      <c r="KPB30" t="e">
        <v>#N/A</v>
      </c>
      <c r="KPC30" t="e">
        <v>#N/A</v>
      </c>
      <c r="KPD30" t="e">
        <v>#N/A</v>
      </c>
      <c r="KPE30" t="e">
        <v>#N/A</v>
      </c>
      <c r="KPF30" t="e">
        <v>#N/A</v>
      </c>
      <c r="KPG30" t="e">
        <v>#N/A</v>
      </c>
      <c r="KPH30" t="e">
        <v>#N/A</v>
      </c>
      <c r="KPI30" t="e">
        <v>#N/A</v>
      </c>
      <c r="KPJ30" t="e">
        <v>#N/A</v>
      </c>
      <c r="KPK30" t="e">
        <v>#N/A</v>
      </c>
      <c r="KPL30" t="e">
        <v>#N/A</v>
      </c>
      <c r="KPM30" t="e">
        <v>#N/A</v>
      </c>
      <c r="KPN30" t="e">
        <v>#N/A</v>
      </c>
      <c r="KPO30" t="e">
        <v>#N/A</v>
      </c>
      <c r="KPP30" t="e">
        <v>#N/A</v>
      </c>
      <c r="KPQ30" t="e">
        <v>#N/A</v>
      </c>
      <c r="KPR30" t="e">
        <v>#N/A</v>
      </c>
      <c r="KPS30" t="e">
        <v>#N/A</v>
      </c>
      <c r="KPT30" t="e">
        <v>#N/A</v>
      </c>
      <c r="KPU30" t="e">
        <v>#N/A</v>
      </c>
      <c r="KPV30" t="e">
        <v>#N/A</v>
      </c>
      <c r="KPW30" t="e">
        <v>#N/A</v>
      </c>
      <c r="KPX30" t="e">
        <v>#N/A</v>
      </c>
      <c r="KPY30" t="e">
        <v>#N/A</v>
      </c>
      <c r="KPZ30" t="e">
        <v>#N/A</v>
      </c>
      <c r="KQA30" t="e">
        <v>#N/A</v>
      </c>
      <c r="KQB30" t="e">
        <v>#N/A</v>
      </c>
      <c r="KQC30" t="e">
        <v>#N/A</v>
      </c>
      <c r="KQD30" t="e">
        <v>#N/A</v>
      </c>
      <c r="KQE30" t="e">
        <v>#N/A</v>
      </c>
      <c r="KQF30" t="e">
        <v>#N/A</v>
      </c>
      <c r="KQG30" t="e">
        <v>#N/A</v>
      </c>
      <c r="KQH30" t="e">
        <v>#N/A</v>
      </c>
      <c r="KQI30" t="e">
        <v>#N/A</v>
      </c>
      <c r="KQJ30" t="e">
        <v>#N/A</v>
      </c>
      <c r="KQK30" t="e">
        <v>#N/A</v>
      </c>
      <c r="KQL30" t="e">
        <v>#N/A</v>
      </c>
      <c r="KQM30" t="e">
        <v>#N/A</v>
      </c>
      <c r="KQN30" t="e">
        <v>#N/A</v>
      </c>
      <c r="KQO30" t="e">
        <v>#N/A</v>
      </c>
      <c r="KQP30" t="e">
        <v>#N/A</v>
      </c>
      <c r="KQQ30" t="e">
        <v>#N/A</v>
      </c>
      <c r="KQR30" t="e">
        <v>#N/A</v>
      </c>
      <c r="KQS30" t="e">
        <v>#N/A</v>
      </c>
      <c r="KQT30" t="e">
        <v>#N/A</v>
      </c>
      <c r="KQU30" t="e">
        <v>#N/A</v>
      </c>
      <c r="KQV30" t="e">
        <v>#N/A</v>
      </c>
      <c r="KQW30" t="e">
        <v>#N/A</v>
      </c>
      <c r="KQX30" t="e">
        <v>#N/A</v>
      </c>
      <c r="KQY30" t="e">
        <v>#N/A</v>
      </c>
      <c r="KQZ30" t="e">
        <v>#N/A</v>
      </c>
      <c r="KRA30" t="e">
        <v>#N/A</v>
      </c>
      <c r="KRB30" t="e">
        <v>#N/A</v>
      </c>
      <c r="KRC30" t="e">
        <v>#N/A</v>
      </c>
      <c r="KRD30" t="e">
        <v>#N/A</v>
      </c>
      <c r="KRE30" t="e">
        <v>#N/A</v>
      </c>
      <c r="KRF30" t="e">
        <v>#N/A</v>
      </c>
      <c r="KRG30" t="e">
        <v>#N/A</v>
      </c>
      <c r="KRH30" t="e">
        <v>#N/A</v>
      </c>
      <c r="KRI30" t="e">
        <v>#N/A</v>
      </c>
      <c r="KRJ30" t="e">
        <v>#N/A</v>
      </c>
      <c r="KRK30" t="e">
        <v>#N/A</v>
      </c>
      <c r="KRL30" t="e">
        <v>#N/A</v>
      </c>
      <c r="KRM30" t="e">
        <v>#N/A</v>
      </c>
      <c r="KRN30" t="e">
        <v>#N/A</v>
      </c>
      <c r="KRO30" t="e">
        <v>#N/A</v>
      </c>
      <c r="KRP30" t="e">
        <v>#N/A</v>
      </c>
      <c r="KRQ30" t="e">
        <v>#N/A</v>
      </c>
      <c r="KRR30" t="e">
        <v>#N/A</v>
      </c>
      <c r="KRS30" t="e">
        <v>#N/A</v>
      </c>
      <c r="KRT30" t="e">
        <v>#N/A</v>
      </c>
      <c r="KRU30" t="e">
        <v>#N/A</v>
      </c>
      <c r="KRV30" t="e">
        <v>#N/A</v>
      </c>
      <c r="KRW30" t="e">
        <v>#N/A</v>
      </c>
      <c r="KRX30" t="e">
        <v>#N/A</v>
      </c>
      <c r="KRY30" t="e">
        <v>#N/A</v>
      </c>
      <c r="KRZ30" t="e">
        <v>#N/A</v>
      </c>
      <c r="KSA30" t="e">
        <v>#N/A</v>
      </c>
      <c r="KSB30" t="e">
        <v>#N/A</v>
      </c>
      <c r="KSC30" t="e">
        <v>#N/A</v>
      </c>
      <c r="KSD30" t="e">
        <v>#N/A</v>
      </c>
      <c r="KSE30" t="e">
        <v>#N/A</v>
      </c>
      <c r="KSF30" t="e">
        <v>#N/A</v>
      </c>
      <c r="KSG30" t="e">
        <v>#N/A</v>
      </c>
      <c r="KSH30" t="e">
        <v>#N/A</v>
      </c>
      <c r="KSI30" t="e">
        <v>#N/A</v>
      </c>
      <c r="KSJ30" t="e">
        <v>#N/A</v>
      </c>
      <c r="KSK30" t="e">
        <v>#N/A</v>
      </c>
      <c r="KSL30" t="e">
        <v>#N/A</v>
      </c>
      <c r="KSM30" t="e">
        <v>#N/A</v>
      </c>
      <c r="KSN30" t="e">
        <v>#N/A</v>
      </c>
      <c r="KSO30" t="e">
        <v>#N/A</v>
      </c>
      <c r="KSP30" t="e">
        <v>#N/A</v>
      </c>
      <c r="KSQ30" t="e">
        <v>#N/A</v>
      </c>
      <c r="KSR30" t="e">
        <v>#N/A</v>
      </c>
      <c r="KSS30" t="e">
        <v>#N/A</v>
      </c>
      <c r="KST30" t="e">
        <v>#N/A</v>
      </c>
      <c r="KSU30" t="e">
        <v>#N/A</v>
      </c>
      <c r="KSV30" t="e">
        <v>#N/A</v>
      </c>
      <c r="KSW30" t="e">
        <v>#N/A</v>
      </c>
      <c r="KSX30" t="e">
        <v>#N/A</v>
      </c>
      <c r="KSY30" t="e">
        <v>#N/A</v>
      </c>
      <c r="KSZ30" t="e">
        <v>#N/A</v>
      </c>
      <c r="KTA30" t="e">
        <v>#N/A</v>
      </c>
      <c r="KTB30" t="e">
        <v>#N/A</v>
      </c>
      <c r="KTC30" t="e">
        <v>#N/A</v>
      </c>
      <c r="KTD30" t="e">
        <v>#N/A</v>
      </c>
      <c r="KTE30" t="e">
        <v>#N/A</v>
      </c>
      <c r="KTF30" t="e">
        <v>#N/A</v>
      </c>
      <c r="KTG30" t="e">
        <v>#N/A</v>
      </c>
      <c r="KTH30" t="e">
        <v>#N/A</v>
      </c>
      <c r="KTI30" t="e">
        <v>#N/A</v>
      </c>
      <c r="KTJ30" t="e">
        <v>#N/A</v>
      </c>
      <c r="KTK30" t="e">
        <v>#N/A</v>
      </c>
      <c r="KTL30" t="e">
        <v>#N/A</v>
      </c>
      <c r="KTM30" t="e">
        <v>#N/A</v>
      </c>
      <c r="KTN30" t="e">
        <v>#N/A</v>
      </c>
      <c r="KTO30" t="e">
        <v>#N/A</v>
      </c>
      <c r="KTP30" t="e">
        <v>#N/A</v>
      </c>
      <c r="KTQ30" t="e">
        <v>#N/A</v>
      </c>
      <c r="KTR30" t="e">
        <v>#N/A</v>
      </c>
      <c r="KTS30" t="e">
        <v>#N/A</v>
      </c>
      <c r="KTT30" t="e">
        <v>#N/A</v>
      </c>
      <c r="KTU30" t="e">
        <v>#N/A</v>
      </c>
      <c r="KTV30" t="e">
        <v>#N/A</v>
      </c>
      <c r="KTW30" t="e">
        <v>#N/A</v>
      </c>
      <c r="KTX30" t="e">
        <v>#N/A</v>
      </c>
      <c r="KTY30" t="e">
        <v>#N/A</v>
      </c>
      <c r="KTZ30" t="e">
        <v>#N/A</v>
      </c>
      <c r="KUA30" t="e">
        <v>#N/A</v>
      </c>
      <c r="KUB30" t="e">
        <v>#N/A</v>
      </c>
      <c r="KUC30" t="e">
        <v>#N/A</v>
      </c>
      <c r="KUD30" t="e">
        <v>#N/A</v>
      </c>
      <c r="KUE30" t="e">
        <v>#N/A</v>
      </c>
      <c r="KUF30" t="e">
        <v>#N/A</v>
      </c>
      <c r="KUG30" t="e">
        <v>#N/A</v>
      </c>
      <c r="KUH30" t="e">
        <v>#N/A</v>
      </c>
      <c r="KUI30" t="e">
        <v>#N/A</v>
      </c>
      <c r="KUJ30" t="e">
        <v>#N/A</v>
      </c>
      <c r="KUK30" t="e">
        <v>#N/A</v>
      </c>
      <c r="KUL30" t="e">
        <v>#N/A</v>
      </c>
      <c r="KUM30" t="e">
        <v>#N/A</v>
      </c>
      <c r="KUN30" t="e">
        <v>#N/A</v>
      </c>
      <c r="KUO30" t="e">
        <v>#N/A</v>
      </c>
      <c r="KUP30" t="e">
        <v>#N/A</v>
      </c>
      <c r="KUQ30" t="e">
        <v>#N/A</v>
      </c>
      <c r="KUR30" t="e">
        <v>#N/A</v>
      </c>
      <c r="KUS30" t="e">
        <v>#N/A</v>
      </c>
      <c r="KUT30" t="e">
        <v>#N/A</v>
      </c>
      <c r="KUU30" t="e">
        <v>#N/A</v>
      </c>
      <c r="KUV30" t="e">
        <v>#N/A</v>
      </c>
      <c r="KUW30" t="e">
        <v>#N/A</v>
      </c>
      <c r="KUX30" t="e">
        <v>#N/A</v>
      </c>
      <c r="KUY30" t="e">
        <v>#N/A</v>
      </c>
      <c r="KUZ30" t="e">
        <v>#N/A</v>
      </c>
      <c r="KVA30" t="e">
        <v>#N/A</v>
      </c>
      <c r="KVB30" t="e">
        <v>#N/A</v>
      </c>
      <c r="KVC30" t="e">
        <v>#N/A</v>
      </c>
      <c r="KVD30" t="e">
        <v>#N/A</v>
      </c>
      <c r="KVE30" t="e">
        <v>#N/A</v>
      </c>
      <c r="KVF30" t="e">
        <v>#N/A</v>
      </c>
      <c r="KVG30" t="e">
        <v>#N/A</v>
      </c>
      <c r="KVH30" t="e">
        <v>#N/A</v>
      </c>
      <c r="KVI30" t="e">
        <v>#N/A</v>
      </c>
      <c r="KVJ30" t="e">
        <v>#N/A</v>
      </c>
      <c r="KVK30" t="e">
        <v>#N/A</v>
      </c>
      <c r="KVL30" t="e">
        <v>#N/A</v>
      </c>
      <c r="KVM30" t="e">
        <v>#N/A</v>
      </c>
      <c r="KVN30" t="e">
        <v>#N/A</v>
      </c>
      <c r="KVO30" t="e">
        <v>#N/A</v>
      </c>
      <c r="KVP30" t="e">
        <v>#N/A</v>
      </c>
      <c r="KVQ30" t="e">
        <v>#N/A</v>
      </c>
      <c r="KVR30" t="e">
        <v>#N/A</v>
      </c>
      <c r="KVS30" t="e">
        <v>#N/A</v>
      </c>
      <c r="KVT30" t="e">
        <v>#N/A</v>
      </c>
      <c r="KVU30" t="e">
        <v>#N/A</v>
      </c>
      <c r="KVV30" t="e">
        <v>#N/A</v>
      </c>
      <c r="KVW30" t="e">
        <v>#N/A</v>
      </c>
      <c r="KVX30" t="e">
        <v>#N/A</v>
      </c>
      <c r="KVY30" t="e">
        <v>#N/A</v>
      </c>
      <c r="KVZ30" t="e">
        <v>#N/A</v>
      </c>
      <c r="KWA30" t="e">
        <v>#N/A</v>
      </c>
      <c r="KWB30" t="e">
        <v>#N/A</v>
      </c>
      <c r="KWC30" t="e">
        <v>#N/A</v>
      </c>
      <c r="KWD30" t="e">
        <v>#N/A</v>
      </c>
      <c r="KWE30" t="e">
        <v>#N/A</v>
      </c>
      <c r="KWF30" t="e">
        <v>#N/A</v>
      </c>
      <c r="KWG30" t="e">
        <v>#N/A</v>
      </c>
      <c r="KWH30" t="e">
        <v>#N/A</v>
      </c>
      <c r="KWI30" t="e">
        <v>#N/A</v>
      </c>
      <c r="KWJ30" t="e">
        <v>#N/A</v>
      </c>
      <c r="KWK30" t="e">
        <v>#N/A</v>
      </c>
      <c r="KWL30" t="e">
        <v>#N/A</v>
      </c>
      <c r="KWM30" t="e">
        <v>#N/A</v>
      </c>
      <c r="KWN30" t="e">
        <v>#N/A</v>
      </c>
      <c r="KWO30" t="e">
        <v>#N/A</v>
      </c>
      <c r="KWP30" t="e">
        <v>#N/A</v>
      </c>
      <c r="KWQ30" t="e">
        <v>#N/A</v>
      </c>
      <c r="KWR30" t="e">
        <v>#N/A</v>
      </c>
      <c r="KWS30" t="e">
        <v>#N/A</v>
      </c>
      <c r="KWT30" t="e">
        <v>#N/A</v>
      </c>
      <c r="KWU30" t="e">
        <v>#N/A</v>
      </c>
      <c r="KWV30" t="e">
        <v>#N/A</v>
      </c>
      <c r="KWW30" t="e">
        <v>#N/A</v>
      </c>
      <c r="KWX30" t="e">
        <v>#N/A</v>
      </c>
      <c r="KWY30" t="e">
        <v>#N/A</v>
      </c>
      <c r="KWZ30" t="e">
        <v>#N/A</v>
      </c>
      <c r="KXA30" t="e">
        <v>#N/A</v>
      </c>
      <c r="KXB30" t="e">
        <v>#N/A</v>
      </c>
      <c r="KXC30" t="e">
        <v>#N/A</v>
      </c>
      <c r="KXD30" t="e">
        <v>#N/A</v>
      </c>
      <c r="KXE30" t="e">
        <v>#N/A</v>
      </c>
      <c r="KXF30" t="e">
        <v>#N/A</v>
      </c>
      <c r="KXG30" t="e">
        <v>#N/A</v>
      </c>
      <c r="KXH30" t="e">
        <v>#N/A</v>
      </c>
      <c r="KXI30" t="e">
        <v>#N/A</v>
      </c>
      <c r="KXJ30" t="e">
        <v>#N/A</v>
      </c>
      <c r="KXK30" t="e">
        <v>#N/A</v>
      </c>
      <c r="KXL30" t="e">
        <v>#N/A</v>
      </c>
      <c r="KXM30" t="e">
        <v>#N/A</v>
      </c>
      <c r="KXN30" t="e">
        <v>#N/A</v>
      </c>
      <c r="KXO30" t="e">
        <v>#N/A</v>
      </c>
      <c r="KXP30" t="e">
        <v>#N/A</v>
      </c>
      <c r="KXQ30" t="e">
        <v>#N/A</v>
      </c>
      <c r="KXR30" t="e">
        <v>#N/A</v>
      </c>
      <c r="KXS30" t="e">
        <v>#N/A</v>
      </c>
      <c r="KXT30" t="e">
        <v>#N/A</v>
      </c>
      <c r="KXU30" t="e">
        <v>#N/A</v>
      </c>
      <c r="KXV30" t="e">
        <v>#N/A</v>
      </c>
      <c r="KXW30" t="e">
        <v>#N/A</v>
      </c>
      <c r="KXX30" t="e">
        <v>#N/A</v>
      </c>
      <c r="KXY30" t="e">
        <v>#N/A</v>
      </c>
      <c r="KXZ30" t="e">
        <v>#N/A</v>
      </c>
      <c r="KYA30" t="e">
        <v>#N/A</v>
      </c>
      <c r="KYB30" t="e">
        <v>#N/A</v>
      </c>
      <c r="KYC30" t="e">
        <v>#N/A</v>
      </c>
      <c r="KYD30" t="e">
        <v>#N/A</v>
      </c>
      <c r="KYE30" t="e">
        <v>#N/A</v>
      </c>
      <c r="KYF30" t="e">
        <v>#N/A</v>
      </c>
      <c r="KYG30" t="e">
        <v>#N/A</v>
      </c>
      <c r="KYH30" t="e">
        <v>#N/A</v>
      </c>
      <c r="KYI30" t="e">
        <v>#N/A</v>
      </c>
      <c r="KYJ30" t="e">
        <v>#N/A</v>
      </c>
      <c r="KYK30" t="e">
        <v>#N/A</v>
      </c>
      <c r="KYL30" t="e">
        <v>#N/A</v>
      </c>
      <c r="KYM30" t="e">
        <v>#N/A</v>
      </c>
      <c r="KYN30" t="e">
        <v>#N/A</v>
      </c>
      <c r="KYO30" t="e">
        <v>#N/A</v>
      </c>
      <c r="KYP30" t="e">
        <v>#N/A</v>
      </c>
      <c r="KYQ30" t="e">
        <v>#N/A</v>
      </c>
      <c r="KYR30" t="e">
        <v>#N/A</v>
      </c>
      <c r="KYS30" t="e">
        <v>#N/A</v>
      </c>
      <c r="KYT30" t="e">
        <v>#N/A</v>
      </c>
      <c r="KYU30" t="e">
        <v>#N/A</v>
      </c>
      <c r="KYV30" t="e">
        <v>#N/A</v>
      </c>
      <c r="KYW30" t="e">
        <v>#N/A</v>
      </c>
      <c r="KYX30" t="e">
        <v>#N/A</v>
      </c>
      <c r="KYY30" t="e">
        <v>#N/A</v>
      </c>
      <c r="KYZ30" t="e">
        <v>#N/A</v>
      </c>
      <c r="KZA30" t="e">
        <v>#N/A</v>
      </c>
      <c r="KZB30" t="e">
        <v>#N/A</v>
      </c>
      <c r="KZC30" t="e">
        <v>#N/A</v>
      </c>
      <c r="KZD30" t="e">
        <v>#N/A</v>
      </c>
      <c r="KZE30" t="e">
        <v>#N/A</v>
      </c>
      <c r="KZF30" t="e">
        <v>#N/A</v>
      </c>
      <c r="KZG30" t="e">
        <v>#N/A</v>
      </c>
      <c r="KZH30" t="e">
        <v>#N/A</v>
      </c>
      <c r="KZI30" t="e">
        <v>#N/A</v>
      </c>
      <c r="KZJ30" t="e">
        <v>#N/A</v>
      </c>
      <c r="KZK30" t="e">
        <v>#N/A</v>
      </c>
      <c r="KZL30" t="e">
        <v>#N/A</v>
      </c>
      <c r="KZM30" t="e">
        <v>#N/A</v>
      </c>
      <c r="KZN30" t="e">
        <v>#N/A</v>
      </c>
      <c r="KZO30" t="e">
        <v>#N/A</v>
      </c>
      <c r="KZP30" t="e">
        <v>#N/A</v>
      </c>
      <c r="KZQ30" t="e">
        <v>#N/A</v>
      </c>
      <c r="KZR30" t="e">
        <v>#N/A</v>
      </c>
      <c r="KZS30" t="e">
        <v>#N/A</v>
      </c>
      <c r="KZT30" t="e">
        <v>#N/A</v>
      </c>
      <c r="KZU30" t="e">
        <v>#N/A</v>
      </c>
      <c r="KZV30" t="e">
        <v>#N/A</v>
      </c>
      <c r="KZW30" t="e">
        <v>#N/A</v>
      </c>
      <c r="KZX30" t="e">
        <v>#N/A</v>
      </c>
      <c r="KZY30" t="e">
        <v>#N/A</v>
      </c>
      <c r="KZZ30" t="e">
        <v>#N/A</v>
      </c>
      <c r="LAA30" t="e">
        <v>#N/A</v>
      </c>
      <c r="LAB30" t="e">
        <v>#N/A</v>
      </c>
      <c r="LAC30" t="e">
        <v>#N/A</v>
      </c>
      <c r="LAD30" t="e">
        <v>#N/A</v>
      </c>
      <c r="LAE30" t="e">
        <v>#N/A</v>
      </c>
      <c r="LAF30" t="e">
        <v>#N/A</v>
      </c>
      <c r="LAG30" t="e">
        <v>#N/A</v>
      </c>
      <c r="LAH30" t="e">
        <v>#N/A</v>
      </c>
      <c r="LAI30" t="e">
        <v>#N/A</v>
      </c>
      <c r="LAJ30" t="e">
        <v>#N/A</v>
      </c>
      <c r="LAK30" t="e">
        <v>#N/A</v>
      </c>
      <c r="LAL30" t="e">
        <v>#N/A</v>
      </c>
      <c r="LAM30" t="e">
        <v>#N/A</v>
      </c>
      <c r="LAN30" t="e">
        <v>#N/A</v>
      </c>
      <c r="LAO30" t="e">
        <v>#N/A</v>
      </c>
      <c r="LAP30" t="e">
        <v>#N/A</v>
      </c>
      <c r="LAQ30" t="e">
        <v>#N/A</v>
      </c>
      <c r="LAR30" t="e">
        <v>#N/A</v>
      </c>
      <c r="LAS30" t="e">
        <v>#N/A</v>
      </c>
      <c r="LAT30" t="e">
        <v>#N/A</v>
      </c>
      <c r="LAU30" t="e">
        <v>#N/A</v>
      </c>
      <c r="LAV30" t="e">
        <v>#N/A</v>
      </c>
      <c r="LAW30" t="e">
        <v>#N/A</v>
      </c>
      <c r="LAX30" t="e">
        <v>#N/A</v>
      </c>
      <c r="LAY30" t="e">
        <v>#N/A</v>
      </c>
      <c r="LAZ30" t="e">
        <v>#N/A</v>
      </c>
      <c r="LBA30" t="e">
        <v>#N/A</v>
      </c>
      <c r="LBB30" t="e">
        <v>#N/A</v>
      </c>
      <c r="LBC30" t="e">
        <v>#N/A</v>
      </c>
      <c r="LBD30" t="e">
        <v>#N/A</v>
      </c>
      <c r="LBE30" t="e">
        <v>#N/A</v>
      </c>
      <c r="LBF30" t="e">
        <v>#N/A</v>
      </c>
      <c r="LBG30" t="e">
        <v>#N/A</v>
      </c>
      <c r="LBH30" t="e">
        <v>#N/A</v>
      </c>
      <c r="LBI30" t="e">
        <v>#N/A</v>
      </c>
      <c r="LBJ30" t="e">
        <v>#N/A</v>
      </c>
      <c r="LBK30" t="e">
        <v>#N/A</v>
      </c>
      <c r="LBL30" t="e">
        <v>#N/A</v>
      </c>
      <c r="LBM30" t="e">
        <v>#N/A</v>
      </c>
      <c r="LBN30" t="e">
        <v>#N/A</v>
      </c>
      <c r="LBO30" t="e">
        <v>#N/A</v>
      </c>
      <c r="LBP30" t="e">
        <v>#N/A</v>
      </c>
      <c r="LBQ30" t="e">
        <v>#N/A</v>
      </c>
      <c r="LBR30" t="e">
        <v>#N/A</v>
      </c>
      <c r="LBS30" t="e">
        <v>#N/A</v>
      </c>
      <c r="LBT30" t="e">
        <v>#N/A</v>
      </c>
      <c r="LBU30" t="e">
        <v>#N/A</v>
      </c>
      <c r="LBV30" t="e">
        <v>#N/A</v>
      </c>
      <c r="LBW30" t="e">
        <v>#N/A</v>
      </c>
      <c r="LBX30" t="e">
        <v>#N/A</v>
      </c>
      <c r="LBY30" t="e">
        <v>#N/A</v>
      </c>
      <c r="LBZ30" t="e">
        <v>#N/A</v>
      </c>
      <c r="LCA30" t="e">
        <v>#N/A</v>
      </c>
      <c r="LCB30" t="e">
        <v>#N/A</v>
      </c>
      <c r="LCC30" t="e">
        <v>#N/A</v>
      </c>
      <c r="LCD30" t="e">
        <v>#N/A</v>
      </c>
      <c r="LCE30" t="e">
        <v>#N/A</v>
      </c>
      <c r="LCF30" t="e">
        <v>#N/A</v>
      </c>
      <c r="LCG30" t="e">
        <v>#N/A</v>
      </c>
      <c r="LCH30" t="e">
        <v>#N/A</v>
      </c>
      <c r="LCI30" t="e">
        <v>#N/A</v>
      </c>
      <c r="LCJ30" t="e">
        <v>#N/A</v>
      </c>
      <c r="LCK30" t="e">
        <v>#N/A</v>
      </c>
      <c r="LCL30" t="e">
        <v>#N/A</v>
      </c>
      <c r="LCM30" t="e">
        <v>#N/A</v>
      </c>
      <c r="LCN30" t="e">
        <v>#N/A</v>
      </c>
      <c r="LCO30" t="e">
        <v>#N/A</v>
      </c>
      <c r="LCP30" t="e">
        <v>#N/A</v>
      </c>
      <c r="LCQ30" t="e">
        <v>#N/A</v>
      </c>
      <c r="LCR30" t="e">
        <v>#N/A</v>
      </c>
      <c r="LCS30" t="e">
        <v>#N/A</v>
      </c>
      <c r="LCT30" t="e">
        <v>#N/A</v>
      </c>
      <c r="LCU30" t="e">
        <v>#N/A</v>
      </c>
      <c r="LCV30" t="e">
        <v>#N/A</v>
      </c>
      <c r="LCW30" t="e">
        <v>#N/A</v>
      </c>
      <c r="LCX30" t="e">
        <v>#N/A</v>
      </c>
      <c r="LCY30" t="e">
        <v>#N/A</v>
      </c>
      <c r="LCZ30" t="e">
        <v>#N/A</v>
      </c>
      <c r="LDA30" t="e">
        <v>#N/A</v>
      </c>
      <c r="LDB30" t="e">
        <v>#N/A</v>
      </c>
      <c r="LDC30" t="e">
        <v>#N/A</v>
      </c>
      <c r="LDD30" t="e">
        <v>#N/A</v>
      </c>
      <c r="LDE30" t="e">
        <v>#N/A</v>
      </c>
      <c r="LDF30" t="e">
        <v>#N/A</v>
      </c>
      <c r="LDG30" t="e">
        <v>#N/A</v>
      </c>
      <c r="LDH30" t="e">
        <v>#N/A</v>
      </c>
      <c r="LDI30" t="e">
        <v>#N/A</v>
      </c>
      <c r="LDJ30" t="e">
        <v>#N/A</v>
      </c>
      <c r="LDK30" t="e">
        <v>#N/A</v>
      </c>
      <c r="LDL30" t="e">
        <v>#N/A</v>
      </c>
      <c r="LDM30" t="e">
        <v>#N/A</v>
      </c>
      <c r="LDN30" t="e">
        <v>#N/A</v>
      </c>
      <c r="LDO30" t="e">
        <v>#N/A</v>
      </c>
      <c r="LDP30" t="e">
        <v>#N/A</v>
      </c>
      <c r="LDQ30" t="e">
        <v>#N/A</v>
      </c>
      <c r="LDR30" t="e">
        <v>#N/A</v>
      </c>
      <c r="LDS30" t="e">
        <v>#N/A</v>
      </c>
      <c r="LDT30" t="e">
        <v>#N/A</v>
      </c>
      <c r="LDU30" t="e">
        <v>#N/A</v>
      </c>
      <c r="LDV30" t="e">
        <v>#N/A</v>
      </c>
      <c r="LDW30" t="e">
        <v>#N/A</v>
      </c>
      <c r="LDX30" t="e">
        <v>#N/A</v>
      </c>
      <c r="LDY30" t="e">
        <v>#N/A</v>
      </c>
      <c r="LDZ30" t="e">
        <v>#N/A</v>
      </c>
      <c r="LEA30" t="e">
        <v>#N/A</v>
      </c>
      <c r="LEB30" t="e">
        <v>#N/A</v>
      </c>
      <c r="LEC30" t="e">
        <v>#N/A</v>
      </c>
      <c r="LED30" t="e">
        <v>#N/A</v>
      </c>
      <c r="LEE30" t="e">
        <v>#N/A</v>
      </c>
      <c r="LEF30" t="e">
        <v>#N/A</v>
      </c>
      <c r="LEG30" t="e">
        <v>#N/A</v>
      </c>
      <c r="LEH30" t="e">
        <v>#N/A</v>
      </c>
      <c r="LEI30" t="e">
        <v>#N/A</v>
      </c>
      <c r="LEJ30" t="e">
        <v>#N/A</v>
      </c>
      <c r="LEK30" t="e">
        <v>#N/A</v>
      </c>
      <c r="LEL30" t="e">
        <v>#N/A</v>
      </c>
      <c r="LEM30" t="e">
        <v>#N/A</v>
      </c>
      <c r="LEN30" t="e">
        <v>#N/A</v>
      </c>
      <c r="LEO30" t="e">
        <v>#N/A</v>
      </c>
      <c r="LEP30" t="e">
        <v>#N/A</v>
      </c>
      <c r="LEQ30" t="e">
        <v>#N/A</v>
      </c>
      <c r="LER30" t="e">
        <v>#N/A</v>
      </c>
      <c r="LES30" t="e">
        <v>#N/A</v>
      </c>
      <c r="LET30" t="e">
        <v>#N/A</v>
      </c>
      <c r="LEU30" t="e">
        <v>#N/A</v>
      </c>
      <c r="LEV30" t="e">
        <v>#N/A</v>
      </c>
      <c r="LEW30" t="e">
        <v>#N/A</v>
      </c>
      <c r="LEX30" t="e">
        <v>#N/A</v>
      </c>
      <c r="LEY30" t="e">
        <v>#N/A</v>
      </c>
      <c r="LEZ30" t="e">
        <v>#N/A</v>
      </c>
      <c r="LFA30" t="e">
        <v>#N/A</v>
      </c>
      <c r="LFB30" t="e">
        <v>#N/A</v>
      </c>
      <c r="LFC30" t="e">
        <v>#N/A</v>
      </c>
      <c r="LFD30" t="e">
        <v>#N/A</v>
      </c>
      <c r="LFE30" t="e">
        <v>#N/A</v>
      </c>
      <c r="LFF30" t="e">
        <v>#N/A</v>
      </c>
      <c r="LFG30" t="e">
        <v>#N/A</v>
      </c>
      <c r="LFH30" t="e">
        <v>#N/A</v>
      </c>
      <c r="LFI30" t="e">
        <v>#N/A</v>
      </c>
      <c r="LFJ30" t="e">
        <v>#N/A</v>
      </c>
      <c r="LFK30" t="e">
        <v>#N/A</v>
      </c>
      <c r="LFL30" t="e">
        <v>#N/A</v>
      </c>
      <c r="LFM30" t="e">
        <v>#N/A</v>
      </c>
      <c r="LFN30" t="e">
        <v>#N/A</v>
      </c>
      <c r="LFO30" t="e">
        <v>#N/A</v>
      </c>
      <c r="LFP30" t="e">
        <v>#N/A</v>
      </c>
      <c r="LFQ30" t="e">
        <v>#N/A</v>
      </c>
      <c r="LFR30" t="e">
        <v>#N/A</v>
      </c>
      <c r="LFS30" t="e">
        <v>#N/A</v>
      </c>
      <c r="LFT30" t="e">
        <v>#N/A</v>
      </c>
      <c r="LFU30" t="e">
        <v>#N/A</v>
      </c>
      <c r="LFV30" t="e">
        <v>#N/A</v>
      </c>
      <c r="LFW30" t="e">
        <v>#N/A</v>
      </c>
      <c r="LFX30" t="e">
        <v>#N/A</v>
      </c>
      <c r="LFY30" t="e">
        <v>#N/A</v>
      </c>
      <c r="LFZ30" t="e">
        <v>#N/A</v>
      </c>
      <c r="LGA30" t="e">
        <v>#N/A</v>
      </c>
      <c r="LGB30" t="e">
        <v>#N/A</v>
      </c>
      <c r="LGC30" t="e">
        <v>#N/A</v>
      </c>
      <c r="LGD30" t="e">
        <v>#N/A</v>
      </c>
      <c r="LGE30" t="e">
        <v>#N/A</v>
      </c>
      <c r="LGF30" t="e">
        <v>#N/A</v>
      </c>
      <c r="LGG30" t="e">
        <v>#N/A</v>
      </c>
      <c r="LGH30" t="e">
        <v>#N/A</v>
      </c>
      <c r="LGI30" t="e">
        <v>#N/A</v>
      </c>
      <c r="LGJ30" t="e">
        <v>#N/A</v>
      </c>
      <c r="LGK30" t="e">
        <v>#N/A</v>
      </c>
      <c r="LGL30" t="e">
        <v>#N/A</v>
      </c>
      <c r="LGM30" t="e">
        <v>#N/A</v>
      </c>
      <c r="LGN30" t="e">
        <v>#N/A</v>
      </c>
      <c r="LGO30" t="e">
        <v>#N/A</v>
      </c>
      <c r="LGP30" t="e">
        <v>#N/A</v>
      </c>
      <c r="LGQ30" t="e">
        <v>#N/A</v>
      </c>
      <c r="LGR30" t="e">
        <v>#N/A</v>
      </c>
      <c r="LGS30" t="e">
        <v>#N/A</v>
      </c>
      <c r="LGT30" t="e">
        <v>#N/A</v>
      </c>
      <c r="LGU30" t="e">
        <v>#N/A</v>
      </c>
      <c r="LGV30" t="e">
        <v>#N/A</v>
      </c>
      <c r="LGW30" t="e">
        <v>#N/A</v>
      </c>
      <c r="LGX30" t="e">
        <v>#N/A</v>
      </c>
      <c r="LGY30" t="e">
        <v>#N/A</v>
      </c>
      <c r="LGZ30" t="e">
        <v>#N/A</v>
      </c>
      <c r="LHA30" t="e">
        <v>#N/A</v>
      </c>
      <c r="LHB30" t="e">
        <v>#N/A</v>
      </c>
      <c r="LHC30" t="e">
        <v>#N/A</v>
      </c>
      <c r="LHD30" t="e">
        <v>#N/A</v>
      </c>
      <c r="LHE30" t="e">
        <v>#N/A</v>
      </c>
      <c r="LHF30" t="e">
        <v>#N/A</v>
      </c>
      <c r="LHG30" t="e">
        <v>#N/A</v>
      </c>
      <c r="LHH30" t="e">
        <v>#N/A</v>
      </c>
      <c r="LHI30" t="e">
        <v>#N/A</v>
      </c>
      <c r="LHJ30" t="e">
        <v>#N/A</v>
      </c>
      <c r="LHK30" t="e">
        <v>#N/A</v>
      </c>
      <c r="LHL30" t="e">
        <v>#N/A</v>
      </c>
      <c r="LHM30" t="e">
        <v>#N/A</v>
      </c>
      <c r="LHN30" t="e">
        <v>#N/A</v>
      </c>
      <c r="LHO30" t="e">
        <v>#N/A</v>
      </c>
      <c r="LHP30" t="e">
        <v>#N/A</v>
      </c>
      <c r="LHQ30" t="e">
        <v>#N/A</v>
      </c>
      <c r="LHR30" t="e">
        <v>#N/A</v>
      </c>
      <c r="LHS30" t="e">
        <v>#N/A</v>
      </c>
      <c r="LHT30" t="e">
        <v>#N/A</v>
      </c>
      <c r="LHU30" t="e">
        <v>#N/A</v>
      </c>
      <c r="LHV30" t="e">
        <v>#N/A</v>
      </c>
      <c r="LHW30" t="e">
        <v>#N/A</v>
      </c>
      <c r="LHX30" t="e">
        <v>#N/A</v>
      </c>
      <c r="LHY30" t="e">
        <v>#N/A</v>
      </c>
      <c r="LHZ30" t="e">
        <v>#N/A</v>
      </c>
      <c r="LIA30" t="e">
        <v>#N/A</v>
      </c>
      <c r="LIB30" t="e">
        <v>#N/A</v>
      </c>
      <c r="LIC30" t="e">
        <v>#N/A</v>
      </c>
      <c r="LID30" t="e">
        <v>#N/A</v>
      </c>
      <c r="LIE30" t="e">
        <v>#N/A</v>
      </c>
      <c r="LIF30" t="e">
        <v>#N/A</v>
      </c>
      <c r="LIG30" t="e">
        <v>#N/A</v>
      </c>
      <c r="LIH30" t="e">
        <v>#N/A</v>
      </c>
      <c r="LII30" t="e">
        <v>#N/A</v>
      </c>
      <c r="LIJ30" t="e">
        <v>#N/A</v>
      </c>
      <c r="LIK30" t="e">
        <v>#N/A</v>
      </c>
      <c r="LIL30" t="e">
        <v>#N/A</v>
      </c>
      <c r="LIM30" t="e">
        <v>#N/A</v>
      </c>
      <c r="LIN30" t="e">
        <v>#N/A</v>
      </c>
      <c r="LIO30" t="e">
        <v>#N/A</v>
      </c>
      <c r="LIP30" t="e">
        <v>#N/A</v>
      </c>
      <c r="LIQ30" t="e">
        <v>#N/A</v>
      </c>
      <c r="LIR30" t="e">
        <v>#N/A</v>
      </c>
      <c r="LIS30" t="e">
        <v>#N/A</v>
      </c>
      <c r="LIT30" t="e">
        <v>#N/A</v>
      </c>
      <c r="LIU30" t="e">
        <v>#N/A</v>
      </c>
      <c r="LIV30" t="e">
        <v>#N/A</v>
      </c>
      <c r="LIW30" t="e">
        <v>#N/A</v>
      </c>
      <c r="LIX30" t="e">
        <v>#N/A</v>
      </c>
      <c r="LIY30" t="e">
        <v>#N/A</v>
      </c>
      <c r="LIZ30" t="e">
        <v>#N/A</v>
      </c>
      <c r="LJA30" t="e">
        <v>#N/A</v>
      </c>
      <c r="LJB30" t="e">
        <v>#N/A</v>
      </c>
      <c r="LJC30" t="e">
        <v>#N/A</v>
      </c>
      <c r="LJD30" t="e">
        <v>#N/A</v>
      </c>
      <c r="LJE30" t="e">
        <v>#N/A</v>
      </c>
      <c r="LJF30" t="e">
        <v>#N/A</v>
      </c>
      <c r="LJG30" t="e">
        <v>#N/A</v>
      </c>
      <c r="LJH30" t="e">
        <v>#N/A</v>
      </c>
      <c r="LJI30" t="e">
        <v>#N/A</v>
      </c>
      <c r="LJJ30" t="e">
        <v>#N/A</v>
      </c>
      <c r="LJK30" t="e">
        <v>#N/A</v>
      </c>
      <c r="LJL30" t="e">
        <v>#N/A</v>
      </c>
      <c r="LJM30" t="e">
        <v>#N/A</v>
      </c>
      <c r="LJN30" t="e">
        <v>#N/A</v>
      </c>
      <c r="LJO30" t="e">
        <v>#N/A</v>
      </c>
      <c r="LJP30" t="e">
        <v>#N/A</v>
      </c>
      <c r="LJQ30" t="e">
        <v>#N/A</v>
      </c>
      <c r="LJR30" t="e">
        <v>#N/A</v>
      </c>
      <c r="LJS30" t="e">
        <v>#N/A</v>
      </c>
      <c r="LJT30" t="e">
        <v>#N/A</v>
      </c>
      <c r="LJU30" t="e">
        <v>#N/A</v>
      </c>
      <c r="LJV30" t="e">
        <v>#N/A</v>
      </c>
      <c r="LJW30" t="e">
        <v>#N/A</v>
      </c>
      <c r="LJX30" t="e">
        <v>#N/A</v>
      </c>
      <c r="LJY30" t="e">
        <v>#N/A</v>
      </c>
      <c r="LJZ30" t="e">
        <v>#N/A</v>
      </c>
      <c r="LKA30" t="e">
        <v>#N/A</v>
      </c>
      <c r="LKB30" t="e">
        <v>#N/A</v>
      </c>
      <c r="LKC30" t="e">
        <v>#N/A</v>
      </c>
      <c r="LKD30" t="e">
        <v>#N/A</v>
      </c>
      <c r="LKE30" t="e">
        <v>#N/A</v>
      </c>
      <c r="LKF30" t="e">
        <v>#N/A</v>
      </c>
      <c r="LKG30" t="e">
        <v>#N/A</v>
      </c>
      <c r="LKH30" t="e">
        <v>#N/A</v>
      </c>
      <c r="LKI30" t="e">
        <v>#N/A</v>
      </c>
      <c r="LKJ30" t="e">
        <v>#N/A</v>
      </c>
      <c r="LKK30" t="e">
        <v>#N/A</v>
      </c>
      <c r="LKL30" t="e">
        <v>#N/A</v>
      </c>
      <c r="LKM30" t="e">
        <v>#N/A</v>
      </c>
      <c r="LKN30" t="e">
        <v>#N/A</v>
      </c>
      <c r="LKO30" t="e">
        <v>#N/A</v>
      </c>
      <c r="LKP30" t="e">
        <v>#N/A</v>
      </c>
      <c r="LKQ30" t="e">
        <v>#N/A</v>
      </c>
      <c r="LKR30" t="e">
        <v>#N/A</v>
      </c>
      <c r="LKS30" t="e">
        <v>#N/A</v>
      </c>
      <c r="LKT30" t="e">
        <v>#N/A</v>
      </c>
      <c r="LKU30" t="e">
        <v>#N/A</v>
      </c>
      <c r="LKV30" t="e">
        <v>#N/A</v>
      </c>
      <c r="LKW30" t="e">
        <v>#N/A</v>
      </c>
      <c r="LKX30" t="e">
        <v>#N/A</v>
      </c>
      <c r="LKY30" t="e">
        <v>#N/A</v>
      </c>
      <c r="LKZ30" t="e">
        <v>#N/A</v>
      </c>
      <c r="LLA30" t="e">
        <v>#N/A</v>
      </c>
      <c r="LLB30" t="e">
        <v>#N/A</v>
      </c>
      <c r="LLC30" t="e">
        <v>#N/A</v>
      </c>
      <c r="LLD30" t="e">
        <v>#N/A</v>
      </c>
      <c r="LLE30" t="e">
        <v>#N/A</v>
      </c>
      <c r="LLF30" t="e">
        <v>#N/A</v>
      </c>
      <c r="LLG30" t="e">
        <v>#N/A</v>
      </c>
      <c r="LLH30" t="e">
        <v>#N/A</v>
      </c>
      <c r="LLI30" t="e">
        <v>#N/A</v>
      </c>
      <c r="LLJ30" t="e">
        <v>#N/A</v>
      </c>
      <c r="LLK30" t="e">
        <v>#N/A</v>
      </c>
      <c r="LLL30" t="e">
        <v>#N/A</v>
      </c>
      <c r="LLM30" t="e">
        <v>#N/A</v>
      </c>
      <c r="LLN30" t="e">
        <v>#N/A</v>
      </c>
      <c r="LLO30" t="e">
        <v>#N/A</v>
      </c>
      <c r="LLP30" t="e">
        <v>#N/A</v>
      </c>
      <c r="LLQ30" t="e">
        <v>#N/A</v>
      </c>
      <c r="LLR30" t="e">
        <v>#N/A</v>
      </c>
      <c r="LLS30" t="e">
        <v>#N/A</v>
      </c>
      <c r="LLT30" t="e">
        <v>#N/A</v>
      </c>
      <c r="LLU30" t="e">
        <v>#N/A</v>
      </c>
      <c r="LLV30" t="e">
        <v>#N/A</v>
      </c>
      <c r="LLW30" t="e">
        <v>#N/A</v>
      </c>
      <c r="LLX30" t="e">
        <v>#N/A</v>
      </c>
      <c r="LLY30" t="e">
        <v>#N/A</v>
      </c>
      <c r="LLZ30" t="e">
        <v>#N/A</v>
      </c>
      <c r="LMA30" t="e">
        <v>#N/A</v>
      </c>
      <c r="LMB30" t="e">
        <v>#N/A</v>
      </c>
      <c r="LMC30" t="e">
        <v>#N/A</v>
      </c>
      <c r="LMD30" t="e">
        <v>#N/A</v>
      </c>
      <c r="LME30" t="e">
        <v>#N/A</v>
      </c>
      <c r="LMF30" t="e">
        <v>#N/A</v>
      </c>
      <c r="LMG30" t="e">
        <v>#N/A</v>
      </c>
      <c r="LMH30" t="e">
        <v>#N/A</v>
      </c>
      <c r="LMI30" t="e">
        <v>#N/A</v>
      </c>
      <c r="LMJ30" t="e">
        <v>#N/A</v>
      </c>
      <c r="LMK30" t="e">
        <v>#N/A</v>
      </c>
      <c r="LML30" t="e">
        <v>#N/A</v>
      </c>
      <c r="LMM30" t="e">
        <v>#N/A</v>
      </c>
      <c r="LMN30" t="e">
        <v>#N/A</v>
      </c>
      <c r="LMO30" t="e">
        <v>#N/A</v>
      </c>
      <c r="LMP30" t="e">
        <v>#N/A</v>
      </c>
      <c r="LMQ30" t="e">
        <v>#N/A</v>
      </c>
      <c r="LMR30" t="e">
        <v>#N/A</v>
      </c>
      <c r="LMS30" t="e">
        <v>#N/A</v>
      </c>
      <c r="LMT30" t="e">
        <v>#N/A</v>
      </c>
      <c r="LMU30" t="e">
        <v>#N/A</v>
      </c>
      <c r="LMV30" t="e">
        <v>#N/A</v>
      </c>
      <c r="LMW30" t="e">
        <v>#N/A</v>
      </c>
      <c r="LMX30" t="e">
        <v>#N/A</v>
      </c>
      <c r="LMY30" t="e">
        <v>#N/A</v>
      </c>
      <c r="LMZ30" t="e">
        <v>#N/A</v>
      </c>
      <c r="LNA30" t="e">
        <v>#N/A</v>
      </c>
      <c r="LNB30" t="e">
        <v>#N/A</v>
      </c>
      <c r="LNC30" t="e">
        <v>#N/A</v>
      </c>
      <c r="LND30" t="e">
        <v>#N/A</v>
      </c>
      <c r="LNE30" t="e">
        <v>#N/A</v>
      </c>
      <c r="LNF30" t="e">
        <v>#N/A</v>
      </c>
      <c r="LNG30" t="e">
        <v>#N/A</v>
      </c>
      <c r="LNH30" t="e">
        <v>#N/A</v>
      </c>
      <c r="LNI30" t="e">
        <v>#N/A</v>
      </c>
      <c r="LNJ30" t="e">
        <v>#N/A</v>
      </c>
      <c r="LNK30" t="e">
        <v>#N/A</v>
      </c>
      <c r="LNL30" t="e">
        <v>#N/A</v>
      </c>
      <c r="LNM30" t="e">
        <v>#N/A</v>
      </c>
      <c r="LNN30" t="e">
        <v>#N/A</v>
      </c>
      <c r="LNO30" t="e">
        <v>#N/A</v>
      </c>
      <c r="LNP30" t="e">
        <v>#N/A</v>
      </c>
      <c r="LNQ30" t="e">
        <v>#N/A</v>
      </c>
      <c r="LNR30" t="e">
        <v>#N/A</v>
      </c>
      <c r="LNS30" t="e">
        <v>#N/A</v>
      </c>
      <c r="LNT30" t="e">
        <v>#N/A</v>
      </c>
      <c r="LNU30" t="e">
        <v>#N/A</v>
      </c>
      <c r="LNV30" t="e">
        <v>#N/A</v>
      </c>
      <c r="LNW30" t="e">
        <v>#N/A</v>
      </c>
      <c r="LNX30" t="e">
        <v>#N/A</v>
      </c>
      <c r="LNY30" t="e">
        <v>#N/A</v>
      </c>
      <c r="LNZ30" t="e">
        <v>#N/A</v>
      </c>
      <c r="LOA30" t="e">
        <v>#N/A</v>
      </c>
      <c r="LOB30" t="e">
        <v>#N/A</v>
      </c>
      <c r="LOC30" t="e">
        <v>#N/A</v>
      </c>
      <c r="LOD30" t="e">
        <v>#N/A</v>
      </c>
      <c r="LOE30" t="e">
        <v>#N/A</v>
      </c>
      <c r="LOF30" t="e">
        <v>#N/A</v>
      </c>
      <c r="LOG30" t="e">
        <v>#N/A</v>
      </c>
      <c r="LOH30" t="e">
        <v>#N/A</v>
      </c>
      <c r="LOI30" t="e">
        <v>#N/A</v>
      </c>
      <c r="LOJ30" t="e">
        <v>#N/A</v>
      </c>
      <c r="LOK30" t="e">
        <v>#N/A</v>
      </c>
      <c r="LOL30" t="e">
        <v>#N/A</v>
      </c>
      <c r="LOM30" t="e">
        <v>#N/A</v>
      </c>
      <c r="LON30" t="e">
        <v>#N/A</v>
      </c>
      <c r="LOO30" t="e">
        <v>#N/A</v>
      </c>
      <c r="LOP30" t="e">
        <v>#N/A</v>
      </c>
      <c r="LOQ30" t="e">
        <v>#N/A</v>
      </c>
      <c r="LOR30" t="e">
        <v>#N/A</v>
      </c>
      <c r="LOS30" t="e">
        <v>#N/A</v>
      </c>
      <c r="LOT30" t="e">
        <v>#N/A</v>
      </c>
      <c r="LOU30" t="e">
        <v>#N/A</v>
      </c>
      <c r="LOV30" t="e">
        <v>#N/A</v>
      </c>
      <c r="LOW30" t="e">
        <v>#N/A</v>
      </c>
      <c r="LOX30" t="e">
        <v>#N/A</v>
      </c>
      <c r="LOY30" t="e">
        <v>#N/A</v>
      </c>
      <c r="LOZ30" t="e">
        <v>#N/A</v>
      </c>
      <c r="LPA30" t="e">
        <v>#N/A</v>
      </c>
      <c r="LPB30" t="e">
        <v>#N/A</v>
      </c>
      <c r="LPC30" t="e">
        <v>#N/A</v>
      </c>
      <c r="LPD30" t="e">
        <v>#N/A</v>
      </c>
      <c r="LPE30" t="e">
        <v>#N/A</v>
      </c>
      <c r="LPF30" t="e">
        <v>#N/A</v>
      </c>
      <c r="LPG30" t="e">
        <v>#N/A</v>
      </c>
      <c r="LPH30" t="e">
        <v>#N/A</v>
      </c>
      <c r="LPI30" t="e">
        <v>#N/A</v>
      </c>
      <c r="LPJ30" t="e">
        <v>#N/A</v>
      </c>
      <c r="LPK30" t="e">
        <v>#N/A</v>
      </c>
      <c r="LPL30" t="e">
        <v>#N/A</v>
      </c>
      <c r="LPM30" t="e">
        <v>#N/A</v>
      </c>
      <c r="LPN30" t="e">
        <v>#N/A</v>
      </c>
      <c r="LPO30" t="e">
        <v>#N/A</v>
      </c>
      <c r="LPP30" t="e">
        <v>#N/A</v>
      </c>
      <c r="LPQ30" t="e">
        <v>#N/A</v>
      </c>
      <c r="LPR30" t="e">
        <v>#N/A</v>
      </c>
      <c r="LPS30" t="e">
        <v>#N/A</v>
      </c>
      <c r="LPT30" t="e">
        <v>#N/A</v>
      </c>
      <c r="LPU30" t="e">
        <v>#N/A</v>
      </c>
      <c r="LPV30" t="e">
        <v>#N/A</v>
      </c>
      <c r="LPW30" t="e">
        <v>#N/A</v>
      </c>
      <c r="LPX30" t="e">
        <v>#N/A</v>
      </c>
      <c r="LPY30" t="e">
        <v>#N/A</v>
      </c>
      <c r="LPZ30" t="e">
        <v>#N/A</v>
      </c>
      <c r="LQA30" t="e">
        <v>#N/A</v>
      </c>
      <c r="LQB30" t="e">
        <v>#N/A</v>
      </c>
      <c r="LQC30" t="e">
        <v>#N/A</v>
      </c>
      <c r="LQD30" t="e">
        <v>#N/A</v>
      </c>
      <c r="LQE30" t="e">
        <v>#N/A</v>
      </c>
      <c r="LQF30" t="e">
        <v>#N/A</v>
      </c>
      <c r="LQG30" t="e">
        <v>#N/A</v>
      </c>
      <c r="LQH30" t="e">
        <v>#N/A</v>
      </c>
      <c r="LQI30" t="e">
        <v>#N/A</v>
      </c>
      <c r="LQJ30" t="e">
        <v>#N/A</v>
      </c>
      <c r="LQK30" t="e">
        <v>#N/A</v>
      </c>
      <c r="LQL30" t="e">
        <v>#N/A</v>
      </c>
      <c r="LQM30" t="e">
        <v>#N/A</v>
      </c>
      <c r="LQN30" t="e">
        <v>#N/A</v>
      </c>
      <c r="LQO30" t="e">
        <v>#N/A</v>
      </c>
      <c r="LQP30" t="e">
        <v>#N/A</v>
      </c>
      <c r="LQQ30" t="e">
        <v>#N/A</v>
      </c>
      <c r="LQR30" t="e">
        <v>#N/A</v>
      </c>
      <c r="LQS30" t="e">
        <v>#N/A</v>
      </c>
      <c r="LQT30" t="e">
        <v>#N/A</v>
      </c>
      <c r="LQU30" t="e">
        <v>#N/A</v>
      </c>
      <c r="LQV30" t="e">
        <v>#N/A</v>
      </c>
      <c r="LQW30" t="e">
        <v>#N/A</v>
      </c>
      <c r="LQX30" t="e">
        <v>#N/A</v>
      </c>
      <c r="LQY30" t="e">
        <v>#N/A</v>
      </c>
      <c r="LQZ30" t="e">
        <v>#N/A</v>
      </c>
      <c r="LRA30" t="e">
        <v>#N/A</v>
      </c>
      <c r="LRB30" t="e">
        <v>#N/A</v>
      </c>
      <c r="LRC30" t="e">
        <v>#N/A</v>
      </c>
      <c r="LRD30" t="e">
        <v>#N/A</v>
      </c>
      <c r="LRE30" t="e">
        <v>#N/A</v>
      </c>
      <c r="LRF30" t="e">
        <v>#N/A</v>
      </c>
      <c r="LRG30" t="e">
        <v>#N/A</v>
      </c>
      <c r="LRH30" t="e">
        <v>#N/A</v>
      </c>
      <c r="LRI30" t="e">
        <v>#N/A</v>
      </c>
      <c r="LRJ30" t="e">
        <v>#N/A</v>
      </c>
      <c r="LRK30" t="e">
        <v>#N/A</v>
      </c>
      <c r="LRL30" t="e">
        <v>#N/A</v>
      </c>
      <c r="LRM30" t="e">
        <v>#N/A</v>
      </c>
      <c r="LRN30" t="e">
        <v>#N/A</v>
      </c>
      <c r="LRO30" t="e">
        <v>#N/A</v>
      </c>
      <c r="LRP30" t="e">
        <v>#N/A</v>
      </c>
      <c r="LRQ30" t="e">
        <v>#N/A</v>
      </c>
      <c r="LRR30" t="e">
        <v>#N/A</v>
      </c>
      <c r="LRS30" t="e">
        <v>#N/A</v>
      </c>
      <c r="LRT30" t="e">
        <v>#N/A</v>
      </c>
      <c r="LRU30" t="e">
        <v>#N/A</v>
      </c>
      <c r="LRV30" t="e">
        <v>#N/A</v>
      </c>
      <c r="LRW30" t="e">
        <v>#N/A</v>
      </c>
      <c r="LRX30" t="e">
        <v>#N/A</v>
      </c>
      <c r="LRY30" t="e">
        <v>#N/A</v>
      </c>
      <c r="LRZ30" t="e">
        <v>#N/A</v>
      </c>
      <c r="LSA30" t="e">
        <v>#N/A</v>
      </c>
      <c r="LSB30" t="e">
        <v>#N/A</v>
      </c>
      <c r="LSC30" t="e">
        <v>#N/A</v>
      </c>
      <c r="LSD30" t="e">
        <v>#N/A</v>
      </c>
      <c r="LSE30" t="e">
        <v>#N/A</v>
      </c>
      <c r="LSF30" t="e">
        <v>#N/A</v>
      </c>
      <c r="LSG30" t="e">
        <v>#N/A</v>
      </c>
      <c r="LSH30" t="e">
        <v>#N/A</v>
      </c>
      <c r="LSI30" t="e">
        <v>#N/A</v>
      </c>
      <c r="LSJ30" t="e">
        <v>#N/A</v>
      </c>
      <c r="LSK30" t="e">
        <v>#N/A</v>
      </c>
      <c r="LSL30" t="e">
        <v>#N/A</v>
      </c>
      <c r="LSM30" t="e">
        <v>#N/A</v>
      </c>
      <c r="LSN30" t="e">
        <v>#N/A</v>
      </c>
      <c r="LSO30" t="e">
        <v>#N/A</v>
      </c>
      <c r="LSP30" t="e">
        <v>#N/A</v>
      </c>
      <c r="LSQ30" t="e">
        <v>#N/A</v>
      </c>
      <c r="LSR30" t="e">
        <v>#N/A</v>
      </c>
      <c r="LSS30" t="e">
        <v>#N/A</v>
      </c>
      <c r="LST30" t="e">
        <v>#N/A</v>
      </c>
      <c r="LSU30" t="e">
        <v>#N/A</v>
      </c>
      <c r="LSV30" t="e">
        <v>#N/A</v>
      </c>
      <c r="LSW30" t="e">
        <v>#N/A</v>
      </c>
      <c r="LSX30" t="e">
        <v>#N/A</v>
      </c>
      <c r="LSY30" t="e">
        <v>#N/A</v>
      </c>
      <c r="LSZ30" t="e">
        <v>#N/A</v>
      </c>
      <c r="LTA30" t="e">
        <v>#N/A</v>
      </c>
      <c r="LTB30" t="e">
        <v>#N/A</v>
      </c>
      <c r="LTC30" t="e">
        <v>#N/A</v>
      </c>
      <c r="LTD30" t="e">
        <v>#N/A</v>
      </c>
      <c r="LTE30" t="e">
        <v>#N/A</v>
      </c>
      <c r="LTF30" t="e">
        <v>#N/A</v>
      </c>
      <c r="LTG30" t="e">
        <v>#N/A</v>
      </c>
      <c r="LTH30" t="e">
        <v>#N/A</v>
      </c>
      <c r="LTI30" t="e">
        <v>#N/A</v>
      </c>
      <c r="LTJ30" t="e">
        <v>#N/A</v>
      </c>
      <c r="LTK30" t="e">
        <v>#N/A</v>
      </c>
      <c r="LTL30" t="e">
        <v>#N/A</v>
      </c>
      <c r="LTM30" t="e">
        <v>#N/A</v>
      </c>
      <c r="LTN30" t="e">
        <v>#N/A</v>
      </c>
      <c r="LTO30" t="e">
        <v>#N/A</v>
      </c>
      <c r="LTP30" t="e">
        <v>#N/A</v>
      </c>
      <c r="LTQ30" t="e">
        <v>#N/A</v>
      </c>
      <c r="LTR30" t="e">
        <v>#N/A</v>
      </c>
      <c r="LTS30" t="e">
        <v>#N/A</v>
      </c>
      <c r="LTT30" t="e">
        <v>#N/A</v>
      </c>
      <c r="LTU30" t="e">
        <v>#N/A</v>
      </c>
      <c r="LTV30" t="e">
        <v>#N/A</v>
      </c>
      <c r="LTW30" t="e">
        <v>#N/A</v>
      </c>
      <c r="LTX30" t="e">
        <v>#N/A</v>
      </c>
      <c r="LTY30" t="e">
        <v>#N/A</v>
      </c>
      <c r="LTZ30" t="e">
        <v>#N/A</v>
      </c>
      <c r="LUA30" t="e">
        <v>#N/A</v>
      </c>
      <c r="LUB30" t="e">
        <v>#N/A</v>
      </c>
      <c r="LUC30" t="e">
        <v>#N/A</v>
      </c>
      <c r="LUD30" t="e">
        <v>#N/A</v>
      </c>
      <c r="LUE30" t="e">
        <v>#N/A</v>
      </c>
      <c r="LUF30" t="e">
        <v>#N/A</v>
      </c>
      <c r="LUG30" t="e">
        <v>#N/A</v>
      </c>
      <c r="LUH30" t="e">
        <v>#N/A</v>
      </c>
      <c r="LUI30" t="e">
        <v>#N/A</v>
      </c>
      <c r="LUJ30" t="e">
        <v>#N/A</v>
      </c>
      <c r="LUK30" t="e">
        <v>#N/A</v>
      </c>
      <c r="LUL30" t="e">
        <v>#N/A</v>
      </c>
      <c r="LUM30" t="e">
        <v>#N/A</v>
      </c>
      <c r="LUN30" t="e">
        <v>#N/A</v>
      </c>
      <c r="LUO30" t="e">
        <v>#N/A</v>
      </c>
      <c r="LUP30" t="e">
        <v>#N/A</v>
      </c>
      <c r="LUQ30" t="e">
        <v>#N/A</v>
      </c>
      <c r="LUR30" t="e">
        <v>#N/A</v>
      </c>
      <c r="LUS30" t="e">
        <v>#N/A</v>
      </c>
      <c r="LUT30" t="e">
        <v>#N/A</v>
      </c>
      <c r="LUU30" t="e">
        <v>#N/A</v>
      </c>
      <c r="LUV30" t="e">
        <v>#N/A</v>
      </c>
      <c r="LUW30" t="e">
        <v>#N/A</v>
      </c>
      <c r="LUX30" t="e">
        <v>#N/A</v>
      </c>
      <c r="LUY30" t="e">
        <v>#N/A</v>
      </c>
      <c r="LUZ30" t="e">
        <v>#N/A</v>
      </c>
      <c r="LVA30" t="e">
        <v>#N/A</v>
      </c>
      <c r="LVB30" t="e">
        <v>#N/A</v>
      </c>
      <c r="LVC30" t="e">
        <v>#N/A</v>
      </c>
      <c r="LVD30" t="e">
        <v>#N/A</v>
      </c>
      <c r="LVE30" t="e">
        <v>#N/A</v>
      </c>
      <c r="LVF30" t="e">
        <v>#N/A</v>
      </c>
      <c r="LVG30" t="e">
        <v>#N/A</v>
      </c>
      <c r="LVH30" t="e">
        <v>#N/A</v>
      </c>
      <c r="LVI30" t="e">
        <v>#N/A</v>
      </c>
      <c r="LVJ30" t="e">
        <v>#N/A</v>
      </c>
      <c r="LVK30" t="e">
        <v>#N/A</v>
      </c>
      <c r="LVL30" t="e">
        <v>#N/A</v>
      </c>
      <c r="LVM30" t="e">
        <v>#N/A</v>
      </c>
      <c r="LVN30" t="e">
        <v>#N/A</v>
      </c>
      <c r="LVO30" t="e">
        <v>#N/A</v>
      </c>
      <c r="LVP30" t="e">
        <v>#N/A</v>
      </c>
      <c r="LVQ30" t="e">
        <v>#N/A</v>
      </c>
      <c r="LVR30" t="e">
        <v>#N/A</v>
      </c>
      <c r="LVS30" t="e">
        <v>#N/A</v>
      </c>
      <c r="LVT30" t="e">
        <v>#N/A</v>
      </c>
      <c r="LVU30" t="e">
        <v>#N/A</v>
      </c>
      <c r="LVV30" t="e">
        <v>#N/A</v>
      </c>
      <c r="LVW30" t="e">
        <v>#N/A</v>
      </c>
      <c r="LVX30" t="e">
        <v>#N/A</v>
      </c>
      <c r="LVY30" t="e">
        <v>#N/A</v>
      </c>
      <c r="LVZ30" t="e">
        <v>#N/A</v>
      </c>
      <c r="LWA30" t="e">
        <v>#N/A</v>
      </c>
      <c r="LWB30" t="e">
        <v>#N/A</v>
      </c>
      <c r="LWC30" t="e">
        <v>#N/A</v>
      </c>
      <c r="LWD30" t="e">
        <v>#N/A</v>
      </c>
      <c r="LWE30" t="e">
        <v>#N/A</v>
      </c>
      <c r="LWF30" t="e">
        <v>#N/A</v>
      </c>
      <c r="LWG30" t="e">
        <v>#N/A</v>
      </c>
      <c r="LWH30" t="e">
        <v>#N/A</v>
      </c>
      <c r="LWI30" t="e">
        <v>#N/A</v>
      </c>
      <c r="LWJ30" t="e">
        <v>#N/A</v>
      </c>
      <c r="LWK30" t="e">
        <v>#N/A</v>
      </c>
      <c r="LWL30" t="e">
        <v>#N/A</v>
      </c>
      <c r="LWM30" t="e">
        <v>#N/A</v>
      </c>
      <c r="LWN30" t="e">
        <v>#N/A</v>
      </c>
      <c r="LWO30" t="e">
        <v>#N/A</v>
      </c>
      <c r="LWP30" t="e">
        <v>#N/A</v>
      </c>
      <c r="LWQ30" t="e">
        <v>#N/A</v>
      </c>
      <c r="LWR30" t="e">
        <v>#N/A</v>
      </c>
      <c r="LWS30" t="e">
        <v>#N/A</v>
      </c>
      <c r="LWT30" t="e">
        <v>#N/A</v>
      </c>
      <c r="LWU30" t="e">
        <v>#N/A</v>
      </c>
      <c r="LWV30" t="e">
        <v>#N/A</v>
      </c>
      <c r="LWW30" t="e">
        <v>#N/A</v>
      </c>
      <c r="LWX30" t="e">
        <v>#N/A</v>
      </c>
      <c r="LWY30" t="e">
        <v>#N/A</v>
      </c>
      <c r="LWZ30" t="e">
        <v>#N/A</v>
      </c>
      <c r="LXA30" t="e">
        <v>#N/A</v>
      </c>
      <c r="LXB30" t="e">
        <v>#N/A</v>
      </c>
      <c r="LXC30" t="e">
        <v>#N/A</v>
      </c>
      <c r="LXD30" t="e">
        <v>#N/A</v>
      </c>
      <c r="LXE30" t="e">
        <v>#N/A</v>
      </c>
      <c r="LXF30" t="e">
        <v>#N/A</v>
      </c>
      <c r="LXG30" t="e">
        <v>#N/A</v>
      </c>
      <c r="LXH30" t="e">
        <v>#N/A</v>
      </c>
      <c r="LXI30" t="e">
        <v>#N/A</v>
      </c>
      <c r="LXJ30" t="e">
        <v>#N/A</v>
      </c>
      <c r="LXK30" t="e">
        <v>#N/A</v>
      </c>
      <c r="LXL30" t="e">
        <v>#N/A</v>
      </c>
      <c r="LXM30" t="e">
        <v>#N/A</v>
      </c>
      <c r="LXN30" t="e">
        <v>#N/A</v>
      </c>
      <c r="LXO30" t="e">
        <v>#N/A</v>
      </c>
      <c r="LXP30" t="e">
        <v>#N/A</v>
      </c>
      <c r="LXQ30" t="e">
        <v>#N/A</v>
      </c>
      <c r="LXR30" t="e">
        <v>#N/A</v>
      </c>
      <c r="LXS30" t="e">
        <v>#N/A</v>
      </c>
      <c r="LXT30" t="e">
        <v>#N/A</v>
      </c>
      <c r="LXU30" t="e">
        <v>#N/A</v>
      </c>
      <c r="LXV30" t="e">
        <v>#N/A</v>
      </c>
      <c r="LXW30" t="e">
        <v>#N/A</v>
      </c>
      <c r="LXX30" t="e">
        <v>#N/A</v>
      </c>
      <c r="LXY30" t="e">
        <v>#N/A</v>
      </c>
      <c r="LXZ30" t="e">
        <v>#N/A</v>
      </c>
      <c r="LYA30" t="e">
        <v>#N/A</v>
      </c>
      <c r="LYB30" t="e">
        <v>#N/A</v>
      </c>
      <c r="LYC30" t="e">
        <v>#N/A</v>
      </c>
      <c r="LYD30" t="e">
        <v>#N/A</v>
      </c>
      <c r="LYE30" t="e">
        <v>#N/A</v>
      </c>
      <c r="LYF30" t="e">
        <v>#N/A</v>
      </c>
      <c r="LYG30" t="e">
        <v>#N/A</v>
      </c>
      <c r="LYH30" t="e">
        <v>#N/A</v>
      </c>
      <c r="LYI30" t="e">
        <v>#N/A</v>
      </c>
      <c r="LYJ30" t="e">
        <v>#N/A</v>
      </c>
      <c r="LYK30" t="e">
        <v>#N/A</v>
      </c>
      <c r="LYL30" t="e">
        <v>#N/A</v>
      </c>
      <c r="LYM30" t="e">
        <v>#N/A</v>
      </c>
      <c r="LYN30" t="e">
        <v>#N/A</v>
      </c>
      <c r="LYO30" t="e">
        <v>#N/A</v>
      </c>
      <c r="LYP30" t="e">
        <v>#N/A</v>
      </c>
      <c r="LYQ30" t="e">
        <v>#N/A</v>
      </c>
      <c r="LYR30" t="e">
        <v>#N/A</v>
      </c>
      <c r="LYS30" t="e">
        <v>#N/A</v>
      </c>
      <c r="LYT30" t="e">
        <v>#N/A</v>
      </c>
      <c r="LYU30" t="e">
        <v>#N/A</v>
      </c>
      <c r="LYV30" t="e">
        <v>#N/A</v>
      </c>
      <c r="LYW30" t="e">
        <v>#N/A</v>
      </c>
      <c r="LYX30" t="e">
        <v>#N/A</v>
      </c>
      <c r="LYY30" t="e">
        <v>#N/A</v>
      </c>
      <c r="LYZ30" t="e">
        <v>#N/A</v>
      </c>
      <c r="LZA30" t="e">
        <v>#N/A</v>
      </c>
      <c r="LZB30" t="e">
        <v>#N/A</v>
      </c>
      <c r="LZC30" t="e">
        <v>#N/A</v>
      </c>
      <c r="LZD30" t="e">
        <v>#N/A</v>
      </c>
      <c r="LZE30" t="e">
        <v>#N/A</v>
      </c>
      <c r="LZF30" t="e">
        <v>#N/A</v>
      </c>
      <c r="LZG30" t="e">
        <v>#N/A</v>
      </c>
      <c r="LZH30" t="e">
        <v>#N/A</v>
      </c>
      <c r="LZI30" t="e">
        <v>#N/A</v>
      </c>
      <c r="LZJ30" t="e">
        <v>#N/A</v>
      </c>
      <c r="LZK30" t="e">
        <v>#N/A</v>
      </c>
      <c r="LZL30" t="e">
        <v>#N/A</v>
      </c>
      <c r="LZM30" t="e">
        <v>#N/A</v>
      </c>
      <c r="LZN30" t="e">
        <v>#N/A</v>
      </c>
      <c r="LZO30" t="e">
        <v>#N/A</v>
      </c>
      <c r="LZP30" t="e">
        <v>#N/A</v>
      </c>
      <c r="LZQ30" t="e">
        <v>#N/A</v>
      </c>
      <c r="LZR30" t="e">
        <v>#N/A</v>
      </c>
      <c r="LZS30" t="e">
        <v>#N/A</v>
      </c>
      <c r="LZT30" t="e">
        <v>#N/A</v>
      </c>
      <c r="LZU30" t="e">
        <v>#N/A</v>
      </c>
      <c r="LZV30" t="e">
        <v>#N/A</v>
      </c>
      <c r="LZW30" t="e">
        <v>#N/A</v>
      </c>
      <c r="LZX30" t="e">
        <v>#N/A</v>
      </c>
      <c r="LZY30" t="e">
        <v>#N/A</v>
      </c>
      <c r="LZZ30" t="e">
        <v>#N/A</v>
      </c>
      <c r="MAA30" t="e">
        <v>#N/A</v>
      </c>
      <c r="MAB30" t="e">
        <v>#N/A</v>
      </c>
      <c r="MAC30" t="e">
        <v>#N/A</v>
      </c>
      <c r="MAD30" t="e">
        <v>#N/A</v>
      </c>
      <c r="MAE30" t="e">
        <v>#N/A</v>
      </c>
      <c r="MAF30" t="e">
        <v>#N/A</v>
      </c>
      <c r="MAG30" t="e">
        <v>#N/A</v>
      </c>
      <c r="MAH30" t="e">
        <v>#N/A</v>
      </c>
      <c r="MAI30" t="e">
        <v>#N/A</v>
      </c>
      <c r="MAJ30" t="e">
        <v>#N/A</v>
      </c>
      <c r="MAK30" t="e">
        <v>#N/A</v>
      </c>
      <c r="MAL30" t="e">
        <v>#N/A</v>
      </c>
      <c r="MAM30" t="e">
        <v>#N/A</v>
      </c>
      <c r="MAN30" t="e">
        <v>#N/A</v>
      </c>
      <c r="MAO30" t="e">
        <v>#N/A</v>
      </c>
      <c r="MAP30" t="e">
        <v>#N/A</v>
      </c>
      <c r="MAQ30" t="e">
        <v>#N/A</v>
      </c>
      <c r="MAR30" t="e">
        <v>#N/A</v>
      </c>
      <c r="MAS30" t="e">
        <v>#N/A</v>
      </c>
      <c r="MAT30" t="e">
        <v>#N/A</v>
      </c>
      <c r="MAU30" t="e">
        <v>#N/A</v>
      </c>
      <c r="MAV30" t="e">
        <v>#N/A</v>
      </c>
      <c r="MAW30" t="e">
        <v>#N/A</v>
      </c>
      <c r="MAX30" t="e">
        <v>#N/A</v>
      </c>
      <c r="MAY30" t="e">
        <v>#N/A</v>
      </c>
      <c r="MAZ30" t="e">
        <v>#N/A</v>
      </c>
      <c r="MBA30" t="e">
        <v>#N/A</v>
      </c>
      <c r="MBB30" t="e">
        <v>#N/A</v>
      </c>
      <c r="MBC30" t="e">
        <v>#N/A</v>
      </c>
      <c r="MBD30" t="e">
        <v>#N/A</v>
      </c>
      <c r="MBE30" t="e">
        <v>#N/A</v>
      </c>
      <c r="MBF30" t="e">
        <v>#N/A</v>
      </c>
      <c r="MBG30" t="e">
        <v>#N/A</v>
      </c>
      <c r="MBH30" t="e">
        <v>#N/A</v>
      </c>
      <c r="MBI30" t="e">
        <v>#N/A</v>
      </c>
      <c r="MBJ30" t="e">
        <v>#N/A</v>
      </c>
      <c r="MBK30" t="e">
        <v>#N/A</v>
      </c>
      <c r="MBL30" t="e">
        <v>#N/A</v>
      </c>
      <c r="MBM30" t="e">
        <v>#N/A</v>
      </c>
      <c r="MBN30" t="e">
        <v>#N/A</v>
      </c>
      <c r="MBO30" t="e">
        <v>#N/A</v>
      </c>
      <c r="MBP30" t="e">
        <v>#N/A</v>
      </c>
      <c r="MBQ30" t="e">
        <v>#N/A</v>
      </c>
      <c r="MBR30" t="e">
        <v>#N/A</v>
      </c>
      <c r="MBS30" t="e">
        <v>#N/A</v>
      </c>
      <c r="MBT30" t="e">
        <v>#N/A</v>
      </c>
      <c r="MBU30" t="e">
        <v>#N/A</v>
      </c>
      <c r="MBV30" t="e">
        <v>#N/A</v>
      </c>
      <c r="MBW30" t="e">
        <v>#N/A</v>
      </c>
      <c r="MBX30" t="e">
        <v>#N/A</v>
      </c>
      <c r="MBY30" t="e">
        <v>#N/A</v>
      </c>
      <c r="MBZ30" t="e">
        <v>#N/A</v>
      </c>
      <c r="MCA30" t="e">
        <v>#N/A</v>
      </c>
      <c r="MCB30" t="e">
        <v>#N/A</v>
      </c>
      <c r="MCC30" t="e">
        <v>#N/A</v>
      </c>
      <c r="MCD30" t="e">
        <v>#N/A</v>
      </c>
      <c r="MCE30" t="e">
        <v>#N/A</v>
      </c>
      <c r="MCF30" t="e">
        <v>#N/A</v>
      </c>
      <c r="MCG30" t="e">
        <v>#N/A</v>
      </c>
      <c r="MCH30" t="e">
        <v>#N/A</v>
      </c>
      <c r="MCI30" t="e">
        <v>#N/A</v>
      </c>
      <c r="MCJ30" t="e">
        <v>#N/A</v>
      </c>
      <c r="MCK30" t="e">
        <v>#N/A</v>
      </c>
      <c r="MCL30" t="e">
        <v>#N/A</v>
      </c>
      <c r="MCM30" t="e">
        <v>#N/A</v>
      </c>
      <c r="MCN30" t="e">
        <v>#N/A</v>
      </c>
      <c r="MCO30" t="e">
        <v>#N/A</v>
      </c>
      <c r="MCP30" t="e">
        <v>#N/A</v>
      </c>
      <c r="MCQ30" t="e">
        <v>#N/A</v>
      </c>
      <c r="MCR30" t="e">
        <v>#N/A</v>
      </c>
      <c r="MCS30" t="e">
        <v>#N/A</v>
      </c>
      <c r="MCT30" t="e">
        <v>#N/A</v>
      </c>
      <c r="MCU30" t="e">
        <v>#N/A</v>
      </c>
      <c r="MCV30" t="e">
        <v>#N/A</v>
      </c>
      <c r="MCW30" t="e">
        <v>#N/A</v>
      </c>
      <c r="MCX30" t="e">
        <v>#N/A</v>
      </c>
      <c r="MCY30" t="e">
        <v>#N/A</v>
      </c>
      <c r="MCZ30" t="e">
        <v>#N/A</v>
      </c>
      <c r="MDA30" t="e">
        <v>#N/A</v>
      </c>
      <c r="MDB30" t="e">
        <v>#N/A</v>
      </c>
      <c r="MDC30" t="e">
        <v>#N/A</v>
      </c>
      <c r="MDD30" t="e">
        <v>#N/A</v>
      </c>
      <c r="MDE30" t="e">
        <v>#N/A</v>
      </c>
      <c r="MDF30" t="e">
        <v>#N/A</v>
      </c>
      <c r="MDG30" t="e">
        <v>#N/A</v>
      </c>
      <c r="MDH30" t="e">
        <v>#N/A</v>
      </c>
      <c r="MDI30" t="e">
        <v>#N/A</v>
      </c>
      <c r="MDJ30" t="e">
        <v>#N/A</v>
      </c>
      <c r="MDK30" t="e">
        <v>#N/A</v>
      </c>
      <c r="MDL30" t="e">
        <v>#N/A</v>
      </c>
      <c r="MDM30" t="e">
        <v>#N/A</v>
      </c>
      <c r="MDN30" t="e">
        <v>#N/A</v>
      </c>
      <c r="MDO30" t="e">
        <v>#N/A</v>
      </c>
      <c r="MDP30" t="e">
        <v>#N/A</v>
      </c>
      <c r="MDQ30" t="e">
        <v>#N/A</v>
      </c>
      <c r="MDR30" t="e">
        <v>#N/A</v>
      </c>
      <c r="MDS30" t="e">
        <v>#N/A</v>
      </c>
      <c r="MDT30" t="e">
        <v>#N/A</v>
      </c>
      <c r="MDU30" t="e">
        <v>#N/A</v>
      </c>
      <c r="MDV30" t="e">
        <v>#N/A</v>
      </c>
      <c r="MDW30" t="e">
        <v>#N/A</v>
      </c>
      <c r="MDX30" t="e">
        <v>#N/A</v>
      </c>
      <c r="MDY30" t="e">
        <v>#N/A</v>
      </c>
      <c r="MDZ30" t="e">
        <v>#N/A</v>
      </c>
      <c r="MEA30" t="e">
        <v>#N/A</v>
      </c>
      <c r="MEB30" t="e">
        <v>#N/A</v>
      </c>
      <c r="MEC30" t="e">
        <v>#N/A</v>
      </c>
      <c r="MED30" t="e">
        <v>#N/A</v>
      </c>
      <c r="MEE30" t="e">
        <v>#N/A</v>
      </c>
      <c r="MEF30" t="e">
        <v>#N/A</v>
      </c>
      <c r="MEG30" t="e">
        <v>#N/A</v>
      </c>
      <c r="MEH30" t="e">
        <v>#N/A</v>
      </c>
      <c r="MEI30" t="e">
        <v>#N/A</v>
      </c>
      <c r="MEJ30" t="e">
        <v>#N/A</v>
      </c>
      <c r="MEK30" t="e">
        <v>#N/A</v>
      </c>
      <c r="MEL30" t="e">
        <v>#N/A</v>
      </c>
      <c r="MEM30" t="e">
        <v>#N/A</v>
      </c>
      <c r="MEN30" t="e">
        <v>#N/A</v>
      </c>
      <c r="MEO30" t="e">
        <v>#N/A</v>
      </c>
      <c r="MEP30" t="e">
        <v>#N/A</v>
      </c>
      <c r="MEQ30" t="e">
        <v>#N/A</v>
      </c>
      <c r="MER30" t="e">
        <v>#N/A</v>
      </c>
      <c r="MES30" t="e">
        <v>#N/A</v>
      </c>
      <c r="MET30" t="e">
        <v>#N/A</v>
      </c>
      <c r="MEU30" t="e">
        <v>#N/A</v>
      </c>
      <c r="MEV30" t="e">
        <v>#N/A</v>
      </c>
      <c r="MEW30" t="e">
        <v>#N/A</v>
      </c>
      <c r="MEX30" t="e">
        <v>#N/A</v>
      </c>
      <c r="MEY30" t="e">
        <v>#N/A</v>
      </c>
      <c r="MEZ30" t="e">
        <v>#N/A</v>
      </c>
      <c r="MFA30" t="e">
        <v>#N/A</v>
      </c>
      <c r="MFB30" t="e">
        <v>#N/A</v>
      </c>
      <c r="MFC30" t="e">
        <v>#N/A</v>
      </c>
      <c r="MFD30" t="e">
        <v>#N/A</v>
      </c>
      <c r="MFE30" t="e">
        <v>#N/A</v>
      </c>
      <c r="MFF30" t="e">
        <v>#N/A</v>
      </c>
      <c r="MFG30" t="e">
        <v>#N/A</v>
      </c>
      <c r="MFH30" t="e">
        <v>#N/A</v>
      </c>
      <c r="MFI30" t="e">
        <v>#N/A</v>
      </c>
      <c r="MFJ30" t="e">
        <v>#N/A</v>
      </c>
      <c r="MFK30" t="e">
        <v>#N/A</v>
      </c>
      <c r="MFL30" t="e">
        <v>#N/A</v>
      </c>
      <c r="MFM30" t="e">
        <v>#N/A</v>
      </c>
      <c r="MFN30" t="e">
        <v>#N/A</v>
      </c>
      <c r="MFO30" t="e">
        <v>#N/A</v>
      </c>
      <c r="MFP30" t="e">
        <v>#N/A</v>
      </c>
      <c r="MFQ30" t="e">
        <v>#N/A</v>
      </c>
      <c r="MFR30" t="e">
        <v>#N/A</v>
      </c>
      <c r="MFS30" t="e">
        <v>#N/A</v>
      </c>
      <c r="MFT30" t="e">
        <v>#N/A</v>
      </c>
      <c r="MFU30" t="e">
        <v>#N/A</v>
      </c>
      <c r="MFV30" t="e">
        <v>#N/A</v>
      </c>
      <c r="MFW30" t="e">
        <v>#N/A</v>
      </c>
      <c r="MFX30" t="e">
        <v>#N/A</v>
      </c>
      <c r="MFY30" t="e">
        <v>#N/A</v>
      </c>
      <c r="MFZ30" t="e">
        <v>#N/A</v>
      </c>
      <c r="MGA30" t="e">
        <v>#N/A</v>
      </c>
      <c r="MGB30" t="e">
        <v>#N/A</v>
      </c>
      <c r="MGC30" t="e">
        <v>#N/A</v>
      </c>
      <c r="MGD30" t="e">
        <v>#N/A</v>
      </c>
      <c r="MGE30" t="e">
        <v>#N/A</v>
      </c>
      <c r="MGF30" t="e">
        <v>#N/A</v>
      </c>
      <c r="MGG30" t="e">
        <v>#N/A</v>
      </c>
      <c r="MGH30" t="e">
        <v>#N/A</v>
      </c>
      <c r="MGI30" t="e">
        <v>#N/A</v>
      </c>
      <c r="MGJ30" t="e">
        <v>#N/A</v>
      </c>
      <c r="MGK30" t="e">
        <v>#N/A</v>
      </c>
      <c r="MGL30" t="e">
        <v>#N/A</v>
      </c>
      <c r="MGM30" t="e">
        <v>#N/A</v>
      </c>
      <c r="MGN30" t="e">
        <v>#N/A</v>
      </c>
      <c r="MGO30" t="e">
        <v>#N/A</v>
      </c>
      <c r="MGP30" t="e">
        <v>#N/A</v>
      </c>
      <c r="MGQ30" t="e">
        <v>#N/A</v>
      </c>
      <c r="MGR30" t="e">
        <v>#N/A</v>
      </c>
      <c r="MGS30" t="e">
        <v>#N/A</v>
      </c>
      <c r="MGT30" t="e">
        <v>#N/A</v>
      </c>
      <c r="MGU30" t="e">
        <v>#N/A</v>
      </c>
      <c r="MGV30" t="e">
        <v>#N/A</v>
      </c>
      <c r="MGW30" t="e">
        <v>#N/A</v>
      </c>
      <c r="MGX30" t="e">
        <v>#N/A</v>
      </c>
      <c r="MGY30" t="e">
        <v>#N/A</v>
      </c>
      <c r="MGZ30" t="e">
        <v>#N/A</v>
      </c>
      <c r="MHA30" t="e">
        <v>#N/A</v>
      </c>
      <c r="MHB30" t="e">
        <v>#N/A</v>
      </c>
      <c r="MHC30" t="e">
        <v>#N/A</v>
      </c>
      <c r="MHD30" t="e">
        <v>#N/A</v>
      </c>
      <c r="MHE30" t="e">
        <v>#N/A</v>
      </c>
      <c r="MHF30" t="e">
        <v>#N/A</v>
      </c>
      <c r="MHG30" t="e">
        <v>#N/A</v>
      </c>
      <c r="MHH30" t="e">
        <v>#N/A</v>
      </c>
      <c r="MHI30" t="e">
        <v>#N/A</v>
      </c>
      <c r="MHJ30" t="e">
        <v>#N/A</v>
      </c>
      <c r="MHK30" t="e">
        <v>#N/A</v>
      </c>
      <c r="MHL30" t="e">
        <v>#N/A</v>
      </c>
      <c r="MHM30" t="e">
        <v>#N/A</v>
      </c>
      <c r="MHN30" t="e">
        <v>#N/A</v>
      </c>
      <c r="MHO30" t="e">
        <v>#N/A</v>
      </c>
      <c r="MHP30" t="e">
        <v>#N/A</v>
      </c>
      <c r="MHQ30" t="e">
        <v>#N/A</v>
      </c>
      <c r="MHR30" t="e">
        <v>#N/A</v>
      </c>
      <c r="MHS30" t="e">
        <v>#N/A</v>
      </c>
      <c r="MHT30" t="e">
        <v>#N/A</v>
      </c>
      <c r="MHU30" t="e">
        <v>#N/A</v>
      </c>
      <c r="MHV30" t="e">
        <v>#N/A</v>
      </c>
      <c r="MHW30" t="e">
        <v>#N/A</v>
      </c>
      <c r="MHX30" t="e">
        <v>#N/A</v>
      </c>
      <c r="MHY30" t="e">
        <v>#N/A</v>
      </c>
      <c r="MHZ30" t="e">
        <v>#N/A</v>
      </c>
      <c r="MIA30" t="e">
        <v>#N/A</v>
      </c>
      <c r="MIB30" t="e">
        <v>#N/A</v>
      </c>
      <c r="MIC30" t="e">
        <v>#N/A</v>
      </c>
      <c r="MID30" t="e">
        <v>#N/A</v>
      </c>
      <c r="MIE30" t="e">
        <v>#N/A</v>
      </c>
      <c r="MIF30" t="e">
        <v>#N/A</v>
      </c>
      <c r="MIG30" t="e">
        <v>#N/A</v>
      </c>
      <c r="MIH30" t="e">
        <v>#N/A</v>
      </c>
      <c r="MII30" t="e">
        <v>#N/A</v>
      </c>
      <c r="MIJ30" t="e">
        <v>#N/A</v>
      </c>
      <c r="MIK30" t="e">
        <v>#N/A</v>
      </c>
      <c r="MIL30" t="e">
        <v>#N/A</v>
      </c>
      <c r="MIM30" t="e">
        <v>#N/A</v>
      </c>
      <c r="MIN30" t="e">
        <v>#N/A</v>
      </c>
      <c r="MIO30" t="e">
        <v>#N/A</v>
      </c>
      <c r="MIP30" t="e">
        <v>#N/A</v>
      </c>
      <c r="MIQ30" t="e">
        <v>#N/A</v>
      </c>
      <c r="MIR30" t="e">
        <v>#N/A</v>
      </c>
      <c r="MIS30" t="e">
        <v>#N/A</v>
      </c>
      <c r="MIT30" t="e">
        <v>#N/A</v>
      </c>
      <c r="MIU30" t="e">
        <v>#N/A</v>
      </c>
      <c r="MIV30" t="e">
        <v>#N/A</v>
      </c>
      <c r="MIW30" t="e">
        <v>#N/A</v>
      </c>
      <c r="MIX30" t="e">
        <v>#N/A</v>
      </c>
      <c r="MIY30" t="e">
        <v>#N/A</v>
      </c>
      <c r="MIZ30" t="e">
        <v>#N/A</v>
      </c>
      <c r="MJA30" t="e">
        <v>#N/A</v>
      </c>
      <c r="MJB30" t="e">
        <v>#N/A</v>
      </c>
      <c r="MJC30" t="e">
        <v>#N/A</v>
      </c>
      <c r="MJD30" t="e">
        <v>#N/A</v>
      </c>
      <c r="MJE30" t="e">
        <v>#N/A</v>
      </c>
      <c r="MJF30" t="e">
        <v>#N/A</v>
      </c>
      <c r="MJG30" t="e">
        <v>#N/A</v>
      </c>
      <c r="MJH30" t="e">
        <v>#N/A</v>
      </c>
      <c r="MJI30" t="e">
        <v>#N/A</v>
      </c>
      <c r="MJJ30" t="e">
        <v>#N/A</v>
      </c>
      <c r="MJK30" t="e">
        <v>#N/A</v>
      </c>
      <c r="MJL30" t="e">
        <v>#N/A</v>
      </c>
      <c r="MJM30" t="e">
        <v>#N/A</v>
      </c>
      <c r="MJN30" t="e">
        <v>#N/A</v>
      </c>
      <c r="MJO30" t="e">
        <v>#N/A</v>
      </c>
      <c r="MJP30" t="e">
        <v>#N/A</v>
      </c>
      <c r="MJQ30" t="e">
        <v>#N/A</v>
      </c>
      <c r="MJR30" t="e">
        <v>#N/A</v>
      </c>
      <c r="MJS30" t="e">
        <v>#N/A</v>
      </c>
      <c r="MJT30" t="e">
        <v>#N/A</v>
      </c>
      <c r="MJU30" t="e">
        <v>#N/A</v>
      </c>
      <c r="MJV30" t="e">
        <v>#N/A</v>
      </c>
      <c r="MJW30" t="e">
        <v>#N/A</v>
      </c>
      <c r="MJX30" t="e">
        <v>#N/A</v>
      </c>
      <c r="MJY30" t="e">
        <v>#N/A</v>
      </c>
      <c r="MJZ30" t="e">
        <v>#N/A</v>
      </c>
      <c r="MKA30" t="e">
        <v>#N/A</v>
      </c>
      <c r="MKB30" t="e">
        <v>#N/A</v>
      </c>
      <c r="MKC30" t="e">
        <v>#N/A</v>
      </c>
      <c r="MKD30" t="e">
        <v>#N/A</v>
      </c>
      <c r="MKE30" t="e">
        <v>#N/A</v>
      </c>
      <c r="MKF30" t="e">
        <v>#N/A</v>
      </c>
      <c r="MKG30" t="e">
        <v>#N/A</v>
      </c>
      <c r="MKH30" t="e">
        <v>#N/A</v>
      </c>
      <c r="MKI30" t="e">
        <v>#N/A</v>
      </c>
      <c r="MKJ30" t="e">
        <v>#N/A</v>
      </c>
      <c r="MKK30" t="e">
        <v>#N/A</v>
      </c>
      <c r="MKL30" t="e">
        <v>#N/A</v>
      </c>
      <c r="MKM30" t="e">
        <v>#N/A</v>
      </c>
      <c r="MKN30" t="e">
        <v>#N/A</v>
      </c>
      <c r="MKO30" t="e">
        <v>#N/A</v>
      </c>
      <c r="MKP30" t="e">
        <v>#N/A</v>
      </c>
      <c r="MKQ30" t="e">
        <v>#N/A</v>
      </c>
      <c r="MKR30" t="e">
        <v>#N/A</v>
      </c>
      <c r="MKS30" t="e">
        <v>#N/A</v>
      </c>
      <c r="MKT30" t="e">
        <v>#N/A</v>
      </c>
      <c r="MKU30" t="e">
        <v>#N/A</v>
      </c>
      <c r="MKV30" t="e">
        <v>#N/A</v>
      </c>
      <c r="MKW30" t="e">
        <v>#N/A</v>
      </c>
      <c r="MKX30" t="e">
        <v>#N/A</v>
      </c>
      <c r="MKY30" t="e">
        <v>#N/A</v>
      </c>
      <c r="MKZ30" t="e">
        <v>#N/A</v>
      </c>
      <c r="MLA30" t="e">
        <v>#N/A</v>
      </c>
      <c r="MLB30" t="e">
        <v>#N/A</v>
      </c>
      <c r="MLC30" t="e">
        <v>#N/A</v>
      </c>
      <c r="MLD30" t="e">
        <v>#N/A</v>
      </c>
      <c r="MLE30" t="e">
        <v>#N/A</v>
      </c>
      <c r="MLF30" t="e">
        <v>#N/A</v>
      </c>
      <c r="MLG30" t="e">
        <v>#N/A</v>
      </c>
      <c r="MLH30" t="e">
        <v>#N/A</v>
      </c>
      <c r="MLI30" t="e">
        <v>#N/A</v>
      </c>
      <c r="MLJ30" t="e">
        <v>#N/A</v>
      </c>
      <c r="MLK30" t="e">
        <v>#N/A</v>
      </c>
      <c r="MLL30" t="e">
        <v>#N/A</v>
      </c>
      <c r="MLM30" t="e">
        <v>#N/A</v>
      </c>
      <c r="MLN30" t="e">
        <v>#N/A</v>
      </c>
      <c r="MLO30" t="e">
        <v>#N/A</v>
      </c>
      <c r="MLP30" t="e">
        <v>#N/A</v>
      </c>
      <c r="MLQ30" t="e">
        <v>#N/A</v>
      </c>
      <c r="MLR30" t="e">
        <v>#N/A</v>
      </c>
      <c r="MLS30" t="e">
        <v>#N/A</v>
      </c>
      <c r="MLT30" t="e">
        <v>#N/A</v>
      </c>
      <c r="MLU30" t="e">
        <v>#N/A</v>
      </c>
      <c r="MLV30" t="e">
        <v>#N/A</v>
      </c>
      <c r="MLW30" t="e">
        <v>#N/A</v>
      </c>
      <c r="MLX30" t="e">
        <v>#N/A</v>
      </c>
      <c r="MLY30" t="e">
        <v>#N/A</v>
      </c>
      <c r="MLZ30" t="e">
        <v>#N/A</v>
      </c>
      <c r="MMA30" t="e">
        <v>#N/A</v>
      </c>
      <c r="MMB30" t="e">
        <v>#N/A</v>
      </c>
      <c r="MMC30" t="e">
        <v>#N/A</v>
      </c>
      <c r="MMD30" t="e">
        <v>#N/A</v>
      </c>
      <c r="MME30" t="e">
        <v>#N/A</v>
      </c>
      <c r="MMF30" t="e">
        <v>#N/A</v>
      </c>
      <c r="MMG30" t="e">
        <v>#N/A</v>
      </c>
      <c r="MMH30" t="e">
        <v>#N/A</v>
      </c>
      <c r="MMI30" t="e">
        <v>#N/A</v>
      </c>
      <c r="MMJ30" t="e">
        <v>#N/A</v>
      </c>
      <c r="MMK30" t="e">
        <v>#N/A</v>
      </c>
      <c r="MML30" t="e">
        <v>#N/A</v>
      </c>
      <c r="MMM30" t="e">
        <v>#N/A</v>
      </c>
      <c r="MMN30" t="e">
        <v>#N/A</v>
      </c>
      <c r="MMO30" t="e">
        <v>#N/A</v>
      </c>
      <c r="MMP30" t="e">
        <v>#N/A</v>
      </c>
      <c r="MMQ30" t="e">
        <v>#N/A</v>
      </c>
      <c r="MMR30" t="e">
        <v>#N/A</v>
      </c>
      <c r="MMS30" t="e">
        <v>#N/A</v>
      </c>
      <c r="MMT30" t="e">
        <v>#N/A</v>
      </c>
      <c r="MMU30" t="e">
        <v>#N/A</v>
      </c>
      <c r="MMV30" t="e">
        <v>#N/A</v>
      </c>
      <c r="MMW30" t="e">
        <v>#N/A</v>
      </c>
      <c r="MMX30" t="e">
        <v>#N/A</v>
      </c>
      <c r="MMY30" t="e">
        <v>#N/A</v>
      </c>
      <c r="MMZ30" t="e">
        <v>#N/A</v>
      </c>
      <c r="MNA30" t="e">
        <v>#N/A</v>
      </c>
      <c r="MNB30" t="e">
        <v>#N/A</v>
      </c>
      <c r="MNC30" t="e">
        <v>#N/A</v>
      </c>
      <c r="MND30" t="e">
        <v>#N/A</v>
      </c>
      <c r="MNE30" t="e">
        <v>#N/A</v>
      </c>
      <c r="MNF30" t="e">
        <v>#N/A</v>
      </c>
      <c r="MNG30" t="e">
        <v>#N/A</v>
      </c>
      <c r="MNH30" t="e">
        <v>#N/A</v>
      </c>
      <c r="MNI30" t="e">
        <v>#N/A</v>
      </c>
      <c r="MNJ30" t="e">
        <v>#N/A</v>
      </c>
      <c r="MNK30" t="e">
        <v>#N/A</v>
      </c>
      <c r="MNL30" t="e">
        <v>#N/A</v>
      </c>
      <c r="MNM30" t="e">
        <v>#N/A</v>
      </c>
      <c r="MNN30" t="e">
        <v>#N/A</v>
      </c>
      <c r="MNO30" t="e">
        <v>#N/A</v>
      </c>
      <c r="MNP30" t="e">
        <v>#N/A</v>
      </c>
      <c r="MNQ30" t="e">
        <v>#N/A</v>
      </c>
      <c r="MNR30" t="e">
        <v>#N/A</v>
      </c>
      <c r="MNS30" t="e">
        <v>#N/A</v>
      </c>
      <c r="MNT30" t="e">
        <v>#N/A</v>
      </c>
      <c r="MNU30" t="e">
        <v>#N/A</v>
      </c>
      <c r="MNV30" t="e">
        <v>#N/A</v>
      </c>
      <c r="MNW30" t="e">
        <v>#N/A</v>
      </c>
      <c r="MNX30" t="e">
        <v>#N/A</v>
      </c>
      <c r="MNY30" t="e">
        <v>#N/A</v>
      </c>
      <c r="MNZ30" t="e">
        <v>#N/A</v>
      </c>
      <c r="MOA30" t="e">
        <v>#N/A</v>
      </c>
      <c r="MOB30" t="e">
        <v>#N/A</v>
      </c>
      <c r="MOC30" t="e">
        <v>#N/A</v>
      </c>
      <c r="MOD30" t="e">
        <v>#N/A</v>
      </c>
      <c r="MOE30" t="e">
        <v>#N/A</v>
      </c>
      <c r="MOF30" t="e">
        <v>#N/A</v>
      </c>
      <c r="MOG30" t="e">
        <v>#N/A</v>
      </c>
      <c r="MOH30" t="e">
        <v>#N/A</v>
      </c>
      <c r="MOI30" t="e">
        <v>#N/A</v>
      </c>
      <c r="MOJ30" t="e">
        <v>#N/A</v>
      </c>
      <c r="MOK30" t="e">
        <v>#N/A</v>
      </c>
      <c r="MOL30" t="e">
        <v>#N/A</v>
      </c>
      <c r="MOM30" t="e">
        <v>#N/A</v>
      </c>
      <c r="MON30" t="e">
        <v>#N/A</v>
      </c>
      <c r="MOO30" t="e">
        <v>#N/A</v>
      </c>
      <c r="MOP30" t="e">
        <v>#N/A</v>
      </c>
      <c r="MOQ30" t="e">
        <v>#N/A</v>
      </c>
      <c r="MOR30" t="e">
        <v>#N/A</v>
      </c>
      <c r="MOS30" t="e">
        <v>#N/A</v>
      </c>
      <c r="MOT30" t="e">
        <v>#N/A</v>
      </c>
      <c r="MOU30" t="e">
        <v>#N/A</v>
      </c>
      <c r="MOV30" t="e">
        <v>#N/A</v>
      </c>
      <c r="MOW30" t="e">
        <v>#N/A</v>
      </c>
      <c r="MOX30" t="e">
        <v>#N/A</v>
      </c>
      <c r="MOY30" t="e">
        <v>#N/A</v>
      </c>
      <c r="MOZ30" t="e">
        <v>#N/A</v>
      </c>
      <c r="MPA30" t="e">
        <v>#N/A</v>
      </c>
      <c r="MPB30" t="e">
        <v>#N/A</v>
      </c>
      <c r="MPC30" t="e">
        <v>#N/A</v>
      </c>
      <c r="MPD30" t="e">
        <v>#N/A</v>
      </c>
      <c r="MPE30" t="e">
        <v>#N/A</v>
      </c>
      <c r="MPF30" t="e">
        <v>#N/A</v>
      </c>
      <c r="MPG30" t="e">
        <v>#N/A</v>
      </c>
      <c r="MPH30" t="e">
        <v>#N/A</v>
      </c>
      <c r="MPI30" t="e">
        <v>#N/A</v>
      </c>
      <c r="MPJ30" t="e">
        <v>#N/A</v>
      </c>
      <c r="MPK30" t="e">
        <v>#N/A</v>
      </c>
      <c r="MPL30" t="e">
        <v>#N/A</v>
      </c>
      <c r="MPM30" t="e">
        <v>#N/A</v>
      </c>
      <c r="MPN30" t="e">
        <v>#N/A</v>
      </c>
      <c r="MPO30" t="e">
        <v>#N/A</v>
      </c>
      <c r="MPP30" t="e">
        <v>#N/A</v>
      </c>
      <c r="MPQ30" t="e">
        <v>#N/A</v>
      </c>
      <c r="MPR30" t="e">
        <v>#N/A</v>
      </c>
      <c r="MPS30" t="e">
        <v>#N/A</v>
      </c>
      <c r="MPT30" t="e">
        <v>#N/A</v>
      </c>
      <c r="MPU30" t="e">
        <v>#N/A</v>
      </c>
      <c r="MPV30" t="e">
        <v>#N/A</v>
      </c>
      <c r="MPW30" t="e">
        <v>#N/A</v>
      </c>
      <c r="MPX30" t="e">
        <v>#N/A</v>
      </c>
      <c r="MPY30" t="e">
        <v>#N/A</v>
      </c>
      <c r="MPZ30" t="e">
        <v>#N/A</v>
      </c>
      <c r="MQA30" t="e">
        <v>#N/A</v>
      </c>
      <c r="MQB30" t="e">
        <v>#N/A</v>
      </c>
      <c r="MQC30" t="e">
        <v>#N/A</v>
      </c>
      <c r="MQD30" t="e">
        <v>#N/A</v>
      </c>
      <c r="MQE30" t="e">
        <v>#N/A</v>
      </c>
      <c r="MQF30" t="e">
        <v>#N/A</v>
      </c>
      <c r="MQG30" t="e">
        <v>#N/A</v>
      </c>
      <c r="MQH30" t="e">
        <v>#N/A</v>
      </c>
      <c r="MQI30" t="e">
        <v>#N/A</v>
      </c>
      <c r="MQJ30" t="e">
        <v>#N/A</v>
      </c>
      <c r="MQK30" t="e">
        <v>#N/A</v>
      </c>
      <c r="MQL30" t="e">
        <v>#N/A</v>
      </c>
      <c r="MQM30" t="e">
        <v>#N/A</v>
      </c>
      <c r="MQN30" t="e">
        <v>#N/A</v>
      </c>
      <c r="MQO30" t="e">
        <v>#N/A</v>
      </c>
      <c r="MQP30" t="e">
        <v>#N/A</v>
      </c>
      <c r="MQQ30" t="e">
        <v>#N/A</v>
      </c>
      <c r="MQR30" t="e">
        <v>#N/A</v>
      </c>
      <c r="MQS30" t="e">
        <v>#N/A</v>
      </c>
      <c r="MQT30" t="e">
        <v>#N/A</v>
      </c>
      <c r="MQU30" t="e">
        <v>#N/A</v>
      </c>
      <c r="MQV30" t="e">
        <v>#N/A</v>
      </c>
      <c r="MQW30" t="e">
        <v>#N/A</v>
      </c>
      <c r="MQX30" t="e">
        <v>#N/A</v>
      </c>
      <c r="MQY30" t="e">
        <v>#N/A</v>
      </c>
      <c r="MQZ30" t="e">
        <v>#N/A</v>
      </c>
      <c r="MRA30" t="e">
        <v>#N/A</v>
      </c>
      <c r="MRB30" t="e">
        <v>#N/A</v>
      </c>
      <c r="MRC30" t="e">
        <v>#N/A</v>
      </c>
      <c r="MRD30" t="e">
        <v>#N/A</v>
      </c>
      <c r="MRE30" t="e">
        <v>#N/A</v>
      </c>
      <c r="MRF30" t="e">
        <v>#N/A</v>
      </c>
      <c r="MRG30" t="e">
        <v>#N/A</v>
      </c>
      <c r="MRH30" t="e">
        <v>#N/A</v>
      </c>
      <c r="MRI30" t="e">
        <v>#N/A</v>
      </c>
      <c r="MRJ30" t="e">
        <v>#N/A</v>
      </c>
      <c r="MRK30" t="e">
        <v>#N/A</v>
      </c>
      <c r="MRL30" t="e">
        <v>#N/A</v>
      </c>
      <c r="MRM30" t="e">
        <v>#N/A</v>
      </c>
      <c r="MRN30" t="e">
        <v>#N/A</v>
      </c>
      <c r="MRO30" t="e">
        <v>#N/A</v>
      </c>
      <c r="MRP30" t="e">
        <v>#N/A</v>
      </c>
      <c r="MRQ30" t="e">
        <v>#N/A</v>
      </c>
      <c r="MRR30" t="e">
        <v>#N/A</v>
      </c>
      <c r="MRS30" t="e">
        <v>#N/A</v>
      </c>
      <c r="MRT30" t="e">
        <v>#N/A</v>
      </c>
      <c r="MRU30" t="e">
        <v>#N/A</v>
      </c>
      <c r="MRV30" t="e">
        <v>#N/A</v>
      </c>
      <c r="MRW30" t="e">
        <v>#N/A</v>
      </c>
      <c r="MRX30" t="e">
        <v>#N/A</v>
      </c>
      <c r="MRY30" t="e">
        <v>#N/A</v>
      </c>
      <c r="MRZ30" t="e">
        <v>#N/A</v>
      </c>
      <c r="MSA30" t="e">
        <v>#N/A</v>
      </c>
      <c r="MSB30" t="e">
        <v>#N/A</v>
      </c>
      <c r="MSC30" t="e">
        <v>#N/A</v>
      </c>
      <c r="MSD30" t="e">
        <v>#N/A</v>
      </c>
      <c r="MSE30" t="e">
        <v>#N/A</v>
      </c>
      <c r="MSF30" t="e">
        <v>#N/A</v>
      </c>
      <c r="MSG30" t="e">
        <v>#N/A</v>
      </c>
      <c r="MSH30" t="e">
        <v>#N/A</v>
      </c>
      <c r="MSI30" t="e">
        <v>#N/A</v>
      </c>
      <c r="MSJ30" t="e">
        <v>#N/A</v>
      </c>
      <c r="MSK30" t="e">
        <v>#N/A</v>
      </c>
      <c r="MSL30" t="e">
        <v>#N/A</v>
      </c>
      <c r="MSM30" t="e">
        <v>#N/A</v>
      </c>
      <c r="MSN30" t="e">
        <v>#N/A</v>
      </c>
      <c r="MSO30" t="e">
        <v>#N/A</v>
      </c>
      <c r="MSP30" t="e">
        <v>#N/A</v>
      </c>
      <c r="MSQ30" t="e">
        <v>#N/A</v>
      </c>
      <c r="MSR30" t="e">
        <v>#N/A</v>
      </c>
      <c r="MSS30" t="e">
        <v>#N/A</v>
      </c>
      <c r="MST30" t="e">
        <v>#N/A</v>
      </c>
      <c r="MSU30" t="e">
        <v>#N/A</v>
      </c>
      <c r="MSV30" t="e">
        <v>#N/A</v>
      </c>
      <c r="MSW30" t="e">
        <v>#N/A</v>
      </c>
      <c r="MSX30" t="e">
        <v>#N/A</v>
      </c>
      <c r="MSY30" t="e">
        <v>#N/A</v>
      </c>
      <c r="MSZ30" t="e">
        <v>#N/A</v>
      </c>
      <c r="MTA30" t="e">
        <v>#N/A</v>
      </c>
      <c r="MTB30" t="e">
        <v>#N/A</v>
      </c>
      <c r="MTC30" t="e">
        <v>#N/A</v>
      </c>
      <c r="MTD30" t="e">
        <v>#N/A</v>
      </c>
      <c r="MTE30" t="e">
        <v>#N/A</v>
      </c>
      <c r="MTF30" t="e">
        <v>#N/A</v>
      </c>
      <c r="MTG30" t="e">
        <v>#N/A</v>
      </c>
      <c r="MTH30" t="e">
        <v>#N/A</v>
      </c>
      <c r="MTI30" t="e">
        <v>#N/A</v>
      </c>
      <c r="MTJ30" t="e">
        <v>#N/A</v>
      </c>
      <c r="MTK30" t="e">
        <v>#N/A</v>
      </c>
      <c r="MTL30" t="e">
        <v>#N/A</v>
      </c>
      <c r="MTM30" t="e">
        <v>#N/A</v>
      </c>
      <c r="MTN30" t="e">
        <v>#N/A</v>
      </c>
      <c r="MTO30" t="e">
        <v>#N/A</v>
      </c>
      <c r="MTP30" t="e">
        <v>#N/A</v>
      </c>
      <c r="MTQ30" t="e">
        <v>#N/A</v>
      </c>
      <c r="MTR30" t="e">
        <v>#N/A</v>
      </c>
      <c r="MTS30" t="e">
        <v>#N/A</v>
      </c>
      <c r="MTT30" t="e">
        <v>#N/A</v>
      </c>
      <c r="MTU30" t="e">
        <v>#N/A</v>
      </c>
      <c r="MTV30" t="e">
        <v>#N/A</v>
      </c>
      <c r="MTW30" t="e">
        <v>#N/A</v>
      </c>
      <c r="MTX30" t="e">
        <v>#N/A</v>
      </c>
      <c r="MTY30" t="e">
        <v>#N/A</v>
      </c>
      <c r="MTZ30" t="e">
        <v>#N/A</v>
      </c>
      <c r="MUA30" t="e">
        <v>#N/A</v>
      </c>
      <c r="MUB30" t="e">
        <v>#N/A</v>
      </c>
      <c r="MUC30" t="e">
        <v>#N/A</v>
      </c>
      <c r="MUD30" t="e">
        <v>#N/A</v>
      </c>
      <c r="MUE30" t="e">
        <v>#N/A</v>
      </c>
      <c r="MUF30" t="e">
        <v>#N/A</v>
      </c>
      <c r="MUG30" t="e">
        <v>#N/A</v>
      </c>
      <c r="MUH30" t="e">
        <v>#N/A</v>
      </c>
      <c r="MUI30" t="e">
        <v>#N/A</v>
      </c>
      <c r="MUJ30" t="e">
        <v>#N/A</v>
      </c>
      <c r="MUK30" t="e">
        <v>#N/A</v>
      </c>
      <c r="MUL30" t="e">
        <v>#N/A</v>
      </c>
      <c r="MUM30" t="e">
        <v>#N/A</v>
      </c>
      <c r="MUN30" t="e">
        <v>#N/A</v>
      </c>
      <c r="MUO30" t="e">
        <v>#N/A</v>
      </c>
      <c r="MUP30" t="e">
        <v>#N/A</v>
      </c>
      <c r="MUQ30" t="e">
        <v>#N/A</v>
      </c>
      <c r="MUR30" t="e">
        <v>#N/A</v>
      </c>
      <c r="MUS30" t="e">
        <v>#N/A</v>
      </c>
      <c r="MUT30" t="e">
        <v>#N/A</v>
      </c>
      <c r="MUU30" t="e">
        <v>#N/A</v>
      </c>
      <c r="MUV30" t="e">
        <v>#N/A</v>
      </c>
      <c r="MUW30" t="e">
        <v>#N/A</v>
      </c>
      <c r="MUX30" t="e">
        <v>#N/A</v>
      </c>
      <c r="MUY30" t="e">
        <v>#N/A</v>
      </c>
      <c r="MUZ30" t="e">
        <v>#N/A</v>
      </c>
      <c r="MVA30" t="e">
        <v>#N/A</v>
      </c>
      <c r="MVB30" t="e">
        <v>#N/A</v>
      </c>
      <c r="MVC30" t="e">
        <v>#N/A</v>
      </c>
      <c r="MVD30" t="e">
        <v>#N/A</v>
      </c>
      <c r="MVE30" t="e">
        <v>#N/A</v>
      </c>
      <c r="MVF30" t="e">
        <v>#N/A</v>
      </c>
      <c r="MVG30" t="e">
        <v>#N/A</v>
      </c>
      <c r="MVH30" t="e">
        <v>#N/A</v>
      </c>
      <c r="MVI30" t="e">
        <v>#N/A</v>
      </c>
      <c r="MVJ30" t="e">
        <v>#N/A</v>
      </c>
      <c r="MVK30" t="e">
        <v>#N/A</v>
      </c>
      <c r="MVL30" t="e">
        <v>#N/A</v>
      </c>
      <c r="MVM30" t="e">
        <v>#N/A</v>
      </c>
      <c r="MVN30" t="e">
        <v>#N/A</v>
      </c>
      <c r="MVO30" t="e">
        <v>#N/A</v>
      </c>
      <c r="MVP30" t="e">
        <v>#N/A</v>
      </c>
      <c r="MVQ30" t="e">
        <v>#N/A</v>
      </c>
      <c r="MVR30" t="e">
        <v>#N/A</v>
      </c>
      <c r="MVS30" t="e">
        <v>#N/A</v>
      </c>
      <c r="MVT30" t="e">
        <v>#N/A</v>
      </c>
      <c r="MVU30" t="e">
        <v>#N/A</v>
      </c>
      <c r="MVV30" t="e">
        <v>#N/A</v>
      </c>
      <c r="MVW30" t="e">
        <v>#N/A</v>
      </c>
      <c r="MVX30" t="e">
        <v>#N/A</v>
      </c>
      <c r="MVY30" t="e">
        <v>#N/A</v>
      </c>
      <c r="MVZ30" t="e">
        <v>#N/A</v>
      </c>
      <c r="MWA30" t="e">
        <v>#N/A</v>
      </c>
      <c r="MWB30" t="e">
        <v>#N/A</v>
      </c>
      <c r="MWC30" t="e">
        <v>#N/A</v>
      </c>
      <c r="MWD30" t="e">
        <v>#N/A</v>
      </c>
      <c r="MWE30" t="e">
        <v>#N/A</v>
      </c>
      <c r="MWF30" t="e">
        <v>#N/A</v>
      </c>
      <c r="MWG30" t="e">
        <v>#N/A</v>
      </c>
      <c r="MWH30" t="e">
        <v>#N/A</v>
      </c>
      <c r="MWI30" t="e">
        <v>#N/A</v>
      </c>
      <c r="MWJ30" t="e">
        <v>#N/A</v>
      </c>
      <c r="MWK30" t="e">
        <v>#N/A</v>
      </c>
      <c r="MWL30" t="e">
        <v>#N/A</v>
      </c>
      <c r="MWM30" t="e">
        <v>#N/A</v>
      </c>
      <c r="MWN30" t="e">
        <v>#N/A</v>
      </c>
      <c r="MWO30" t="e">
        <v>#N/A</v>
      </c>
      <c r="MWP30" t="e">
        <v>#N/A</v>
      </c>
      <c r="MWQ30" t="e">
        <v>#N/A</v>
      </c>
      <c r="MWR30" t="e">
        <v>#N/A</v>
      </c>
      <c r="MWS30" t="e">
        <v>#N/A</v>
      </c>
      <c r="MWT30" t="e">
        <v>#N/A</v>
      </c>
      <c r="MWU30" t="e">
        <v>#N/A</v>
      </c>
      <c r="MWV30" t="e">
        <v>#N/A</v>
      </c>
      <c r="MWW30" t="e">
        <v>#N/A</v>
      </c>
      <c r="MWX30" t="e">
        <v>#N/A</v>
      </c>
      <c r="MWY30" t="e">
        <v>#N/A</v>
      </c>
      <c r="MWZ30" t="e">
        <v>#N/A</v>
      </c>
      <c r="MXA30" t="e">
        <v>#N/A</v>
      </c>
      <c r="MXB30" t="e">
        <v>#N/A</v>
      </c>
      <c r="MXC30" t="e">
        <v>#N/A</v>
      </c>
      <c r="MXD30" t="e">
        <v>#N/A</v>
      </c>
      <c r="MXE30" t="e">
        <v>#N/A</v>
      </c>
      <c r="MXF30" t="e">
        <v>#N/A</v>
      </c>
      <c r="MXG30" t="e">
        <v>#N/A</v>
      </c>
      <c r="MXH30" t="e">
        <v>#N/A</v>
      </c>
      <c r="MXI30" t="e">
        <v>#N/A</v>
      </c>
      <c r="MXJ30" t="e">
        <v>#N/A</v>
      </c>
      <c r="MXK30" t="e">
        <v>#N/A</v>
      </c>
      <c r="MXL30" t="e">
        <v>#N/A</v>
      </c>
      <c r="MXM30" t="e">
        <v>#N/A</v>
      </c>
      <c r="MXN30" t="e">
        <v>#N/A</v>
      </c>
      <c r="MXO30" t="e">
        <v>#N/A</v>
      </c>
      <c r="MXP30" t="e">
        <v>#N/A</v>
      </c>
      <c r="MXQ30" t="e">
        <v>#N/A</v>
      </c>
      <c r="MXR30" t="e">
        <v>#N/A</v>
      </c>
      <c r="MXS30" t="e">
        <v>#N/A</v>
      </c>
      <c r="MXT30" t="e">
        <v>#N/A</v>
      </c>
      <c r="MXU30" t="e">
        <v>#N/A</v>
      </c>
      <c r="MXV30" t="e">
        <v>#N/A</v>
      </c>
      <c r="MXW30" t="e">
        <v>#N/A</v>
      </c>
      <c r="MXX30" t="e">
        <v>#N/A</v>
      </c>
      <c r="MXY30" t="e">
        <v>#N/A</v>
      </c>
      <c r="MXZ30" t="e">
        <v>#N/A</v>
      </c>
      <c r="MYA30" t="e">
        <v>#N/A</v>
      </c>
      <c r="MYB30" t="e">
        <v>#N/A</v>
      </c>
      <c r="MYC30" t="e">
        <v>#N/A</v>
      </c>
      <c r="MYD30" t="e">
        <v>#N/A</v>
      </c>
      <c r="MYE30" t="e">
        <v>#N/A</v>
      </c>
      <c r="MYF30" t="e">
        <v>#N/A</v>
      </c>
      <c r="MYG30" t="e">
        <v>#N/A</v>
      </c>
      <c r="MYH30" t="e">
        <v>#N/A</v>
      </c>
      <c r="MYI30" t="e">
        <v>#N/A</v>
      </c>
      <c r="MYJ30" t="e">
        <v>#N/A</v>
      </c>
      <c r="MYK30" t="e">
        <v>#N/A</v>
      </c>
      <c r="MYL30" t="e">
        <v>#N/A</v>
      </c>
      <c r="MYM30" t="e">
        <v>#N/A</v>
      </c>
      <c r="MYN30" t="e">
        <v>#N/A</v>
      </c>
      <c r="MYO30" t="e">
        <v>#N/A</v>
      </c>
      <c r="MYP30" t="e">
        <v>#N/A</v>
      </c>
      <c r="MYQ30" t="e">
        <v>#N/A</v>
      </c>
      <c r="MYR30" t="e">
        <v>#N/A</v>
      </c>
      <c r="MYS30" t="e">
        <v>#N/A</v>
      </c>
      <c r="MYT30" t="e">
        <v>#N/A</v>
      </c>
      <c r="MYU30" t="e">
        <v>#N/A</v>
      </c>
      <c r="MYV30" t="e">
        <v>#N/A</v>
      </c>
      <c r="MYW30" t="e">
        <v>#N/A</v>
      </c>
      <c r="MYX30" t="e">
        <v>#N/A</v>
      </c>
      <c r="MYY30" t="e">
        <v>#N/A</v>
      </c>
      <c r="MYZ30" t="e">
        <v>#N/A</v>
      </c>
      <c r="MZA30" t="e">
        <v>#N/A</v>
      </c>
      <c r="MZB30" t="e">
        <v>#N/A</v>
      </c>
      <c r="MZC30" t="e">
        <v>#N/A</v>
      </c>
      <c r="MZD30" t="e">
        <v>#N/A</v>
      </c>
      <c r="MZE30" t="e">
        <v>#N/A</v>
      </c>
      <c r="MZF30" t="e">
        <v>#N/A</v>
      </c>
      <c r="MZG30" t="e">
        <v>#N/A</v>
      </c>
      <c r="MZH30" t="e">
        <v>#N/A</v>
      </c>
      <c r="MZI30" t="e">
        <v>#N/A</v>
      </c>
      <c r="MZJ30" t="e">
        <v>#N/A</v>
      </c>
      <c r="MZK30" t="e">
        <v>#N/A</v>
      </c>
      <c r="MZL30" t="e">
        <v>#N/A</v>
      </c>
      <c r="MZM30" t="e">
        <v>#N/A</v>
      </c>
      <c r="MZN30" t="e">
        <v>#N/A</v>
      </c>
      <c r="MZO30" t="e">
        <v>#N/A</v>
      </c>
      <c r="MZP30" t="e">
        <v>#N/A</v>
      </c>
      <c r="MZQ30" t="e">
        <v>#N/A</v>
      </c>
      <c r="MZR30" t="e">
        <v>#N/A</v>
      </c>
      <c r="MZS30" t="e">
        <v>#N/A</v>
      </c>
      <c r="MZT30" t="e">
        <v>#N/A</v>
      </c>
      <c r="MZU30" t="e">
        <v>#N/A</v>
      </c>
      <c r="MZV30" t="e">
        <v>#N/A</v>
      </c>
      <c r="MZW30" t="e">
        <v>#N/A</v>
      </c>
      <c r="MZX30" t="e">
        <v>#N/A</v>
      </c>
      <c r="MZY30" t="e">
        <v>#N/A</v>
      </c>
      <c r="MZZ30" t="e">
        <v>#N/A</v>
      </c>
      <c r="NAA30" t="e">
        <v>#N/A</v>
      </c>
      <c r="NAB30" t="e">
        <v>#N/A</v>
      </c>
      <c r="NAC30" t="e">
        <v>#N/A</v>
      </c>
      <c r="NAD30" t="e">
        <v>#N/A</v>
      </c>
      <c r="NAE30" t="e">
        <v>#N/A</v>
      </c>
      <c r="NAF30" t="e">
        <v>#N/A</v>
      </c>
      <c r="NAG30" t="e">
        <v>#N/A</v>
      </c>
      <c r="NAH30" t="e">
        <v>#N/A</v>
      </c>
      <c r="NAI30" t="e">
        <v>#N/A</v>
      </c>
      <c r="NAJ30" t="e">
        <v>#N/A</v>
      </c>
      <c r="NAK30" t="e">
        <v>#N/A</v>
      </c>
      <c r="NAL30" t="e">
        <v>#N/A</v>
      </c>
      <c r="NAM30" t="e">
        <v>#N/A</v>
      </c>
      <c r="NAN30" t="e">
        <v>#N/A</v>
      </c>
      <c r="NAO30" t="e">
        <v>#N/A</v>
      </c>
      <c r="NAP30" t="e">
        <v>#N/A</v>
      </c>
      <c r="NAQ30" t="e">
        <v>#N/A</v>
      </c>
      <c r="NAR30" t="e">
        <v>#N/A</v>
      </c>
      <c r="NAS30" t="e">
        <v>#N/A</v>
      </c>
      <c r="NAT30" t="e">
        <v>#N/A</v>
      </c>
      <c r="NAU30" t="e">
        <v>#N/A</v>
      </c>
      <c r="NAV30" t="e">
        <v>#N/A</v>
      </c>
      <c r="NAW30" t="e">
        <v>#N/A</v>
      </c>
      <c r="NAX30" t="e">
        <v>#N/A</v>
      </c>
      <c r="NAY30" t="e">
        <v>#N/A</v>
      </c>
      <c r="NAZ30" t="e">
        <v>#N/A</v>
      </c>
      <c r="NBA30" t="e">
        <v>#N/A</v>
      </c>
      <c r="NBB30" t="e">
        <v>#N/A</v>
      </c>
      <c r="NBC30" t="e">
        <v>#N/A</v>
      </c>
      <c r="NBD30" t="e">
        <v>#N/A</v>
      </c>
      <c r="NBE30" t="e">
        <v>#N/A</v>
      </c>
      <c r="NBF30" t="e">
        <v>#N/A</v>
      </c>
      <c r="NBG30" t="e">
        <v>#N/A</v>
      </c>
      <c r="NBH30" t="e">
        <v>#N/A</v>
      </c>
      <c r="NBI30" t="e">
        <v>#N/A</v>
      </c>
      <c r="NBJ30" t="e">
        <v>#N/A</v>
      </c>
      <c r="NBK30" t="e">
        <v>#N/A</v>
      </c>
      <c r="NBL30" t="e">
        <v>#N/A</v>
      </c>
      <c r="NBM30" t="e">
        <v>#N/A</v>
      </c>
      <c r="NBN30" t="e">
        <v>#N/A</v>
      </c>
      <c r="NBO30" t="e">
        <v>#N/A</v>
      </c>
      <c r="NBP30" t="e">
        <v>#N/A</v>
      </c>
      <c r="NBQ30" t="e">
        <v>#N/A</v>
      </c>
      <c r="NBR30" t="e">
        <v>#N/A</v>
      </c>
      <c r="NBS30" t="e">
        <v>#N/A</v>
      </c>
      <c r="NBT30" t="e">
        <v>#N/A</v>
      </c>
      <c r="NBU30" t="e">
        <v>#N/A</v>
      </c>
      <c r="NBV30" t="e">
        <v>#N/A</v>
      </c>
      <c r="NBW30" t="e">
        <v>#N/A</v>
      </c>
      <c r="NBX30" t="e">
        <v>#N/A</v>
      </c>
      <c r="NBY30" t="e">
        <v>#N/A</v>
      </c>
      <c r="NBZ30" t="e">
        <v>#N/A</v>
      </c>
      <c r="NCA30" t="e">
        <v>#N/A</v>
      </c>
      <c r="NCB30" t="e">
        <v>#N/A</v>
      </c>
      <c r="NCC30" t="e">
        <v>#N/A</v>
      </c>
      <c r="NCD30" t="e">
        <v>#N/A</v>
      </c>
      <c r="NCE30" t="e">
        <v>#N/A</v>
      </c>
      <c r="NCF30" t="e">
        <v>#N/A</v>
      </c>
      <c r="NCG30" t="e">
        <v>#N/A</v>
      </c>
      <c r="NCH30" t="e">
        <v>#N/A</v>
      </c>
      <c r="NCI30" t="e">
        <v>#N/A</v>
      </c>
      <c r="NCJ30" t="e">
        <v>#N/A</v>
      </c>
      <c r="NCK30" t="e">
        <v>#N/A</v>
      </c>
      <c r="NCL30" t="e">
        <v>#N/A</v>
      </c>
      <c r="NCM30" t="e">
        <v>#N/A</v>
      </c>
      <c r="NCN30" t="e">
        <v>#N/A</v>
      </c>
      <c r="NCO30" t="e">
        <v>#N/A</v>
      </c>
      <c r="NCP30" t="e">
        <v>#N/A</v>
      </c>
      <c r="NCQ30" t="e">
        <v>#N/A</v>
      </c>
      <c r="NCR30" t="e">
        <v>#N/A</v>
      </c>
      <c r="NCS30" t="e">
        <v>#N/A</v>
      </c>
      <c r="NCT30" t="e">
        <v>#N/A</v>
      </c>
      <c r="NCU30" t="e">
        <v>#N/A</v>
      </c>
      <c r="NCV30" t="e">
        <v>#N/A</v>
      </c>
      <c r="NCW30" t="e">
        <v>#N/A</v>
      </c>
      <c r="NCX30" t="e">
        <v>#N/A</v>
      </c>
      <c r="NCY30" t="e">
        <v>#N/A</v>
      </c>
      <c r="NCZ30" t="e">
        <v>#N/A</v>
      </c>
      <c r="NDA30" t="e">
        <v>#N/A</v>
      </c>
      <c r="NDB30" t="e">
        <v>#N/A</v>
      </c>
      <c r="NDC30" t="e">
        <v>#N/A</v>
      </c>
      <c r="NDD30" t="e">
        <v>#N/A</v>
      </c>
      <c r="NDE30" t="e">
        <v>#N/A</v>
      </c>
      <c r="NDF30" t="e">
        <v>#N/A</v>
      </c>
      <c r="NDG30" t="e">
        <v>#N/A</v>
      </c>
      <c r="NDH30" t="e">
        <v>#N/A</v>
      </c>
      <c r="NDI30" t="e">
        <v>#N/A</v>
      </c>
      <c r="NDJ30" t="e">
        <v>#N/A</v>
      </c>
      <c r="NDK30" t="e">
        <v>#N/A</v>
      </c>
      <c r="NDL30" t="e">
        <v>#N/A</v>
      </c>
      <c r="NDM30" t="e">
        <v>#N/A</v>
      </c>
      <c r="NDN30" t="e">
        <v>#N/A</v>
      </c>
      <c r="NDO30" t="e">
        <v>#N/A</v>
      </c>
      <c r="NDP30" t="e">
        <v>#N/A</v>
      </c>
      <c r="NDQ30" t="e">
        <v>#N/A</v>
      </c>
      <c r="NDR30" t="e">
        <v>#N/A</v>
      </c>
      <c r="NDS30" t="e">
        <v>#N/A</v>
      </c>
      <c r="NDT30" t="e">
        <v>#N/A</v>
      </c>
      <c r="NDU30" t="e">
        <v>#N/A</v>
      </c>
      <c r="NDV30" t="e">
        <v>#N/A</v>
      </c>
      <c r="NDW30" t="e">
        <v>#N/A</v>
      </c>
      <c r="NDX30" t="e">
        <v>#N/A</v>
      </c>
      <c r="NDY30" t="e">
        <v>#N/A</v>
      </c>
      <c r="NDZ30" t="e">
        <v>#N/A</v>
      </c>
      <c r="NEA30" t="e">
        <v>#N/A</v>
      </c>
      <c r="NEB30" t="e">
        <v>#N/A</v>
      </c>
      <c r="NEC30" t="e">
        <v>#N/A</v>
      </c>
      <c r="NED30" t="e">
        <v>#N/A</v>
      </c>
      <c r="NEE30" t="e">
        <v>#N/A</v>
      </c>
      <c r="NEF30" t="e">
        <v>#N/A</v>
      </c>
      <c r="NEG30" t="e">
        <v>#N/A</v>
      </c>
      <c r="NEH30" t="e">
        <v>#N/A</v>
      </c>
      <c r="NEI30" t="e">
        <v>#N/A</v>
      </c>
      <c r="NEJ30" t="e">
        <v>#N/A</v>
      </c>
      <c r="NEK30" t="e">
        <v>#N/A</v>
      </c>
      <c r="NEL30" t="e">
        <v>#N/A</v>
      </c>
      <c r="NEM30" t="e">
        <v>#N/A</v>
      </c>
      <c r="NEN30" t="e">
        <v>#N/A</v>
      </c>
      <c r="NEO30" t="e">
        <v>#N/A</v>
      </c>
      <c r="NEP30" t="e">
        <v>#N/A</v>
      </c>
      <c r="NEQ30" t="e">
        <v>#N/A</v>
      </c>
      <c r="NER30" t="e">
        <v>#N/A</v>
      </c>
      <c r="NES30" t="e">
        <v>#N/A</v>
      </c>
      <c r="NET30" t="e">
        <v>#N/A</v>
      </c>
      <c r="NEU30" t="e">
        <v>#N/A</v>
      </c>
      <c r="NEV30" t="e">
        <v>#N/A</v>
      </c>
      <c r="NEW30" t="e">
        <v>#N/A</v>
      </c>
      <c r="NEX30" t="e">
        <v>#N/A</v>
      </c>
      <c r="NEY30" t="e">
        <v>#N/A</v>
      </c>
      <c r="NEZ30" t="e">
        <v>#N/A</v>
      </c>
      <c r="NFA30" t="e">
        <v>#N/A</v>
      </c>
      <c r="NFB30" t="e">
        <v>#N/A</v>
      </c>
      <c r="NFC30" t="e">
        <v>#N/A</v>
      </c>
      <c r="NFD30" t="e">
        <v>#N/A</v>
      </c>
      <c r="NFE30" t="e">
        <v>#N/A</v>
      </c>
      <c r="NFF30" t="e">
        <v>#N/A</v>
      </c>
      <c r="NFG30" t="e">
        <v>#N/A</v>
      </c>
      <c r="NFH30" t="e">
        <v>#N/A</v>
      </c>
      <c r="NFI30" t="e">
        <v>#N/A</v>
      </c>
      <c r="NFJ30" t="e">
        <v>#N/A</v>
      </c>
      <c r="NFK30" t="e">
        <v>#N/A</v>
      </c>
      <c r="NFL30" t="e">
        <v>#N/A</v>
      </c>
      <c r="NFM30" t="e">
        <v>#N/A</v>
      </c>
      <c r="NFN30" t="e">
        <v>#N/A</v>
      </c>
      <c r="NFO30" t="e">
        <v>#N/A</v>
      </c>
      <c r="NFP30" t="e">
        <v>#N/A</v>
      </c>
      <c r="NFQ30" t="e">
        <v>#N/A</v>
      </c>
      <c r="NFR30" t="e">
        <v>#N/A</v>
      </c>
      <c r="NFS30" t="e">
        <v>#N/A</v>
      </c>
      <c r="NFT30" t="e">
        <v>#N/A</v>
      </c>
      <c r="NFU30" t="e">
        <v>#N/A</v>
      </c>
      <c r="NFV30" t="e">
        <v>#N/A</v>
      </c>
      <c r="NFW30" t="e">
        <v>#N/A</v>
      </c>
      <c r="NFX30" t="e">
        <v>#N/A</v>
      </c>
      <c r="NFY30" t="e">
        <v>#N/A</v>
      </c>
      <c r="NFZ30" t="e">
        <v>#N/A</v>
      </c>
      <c r="NGA30" t="e">
        <v>#N/A</v>
      </c>
      <c r="NGB30" t="e">
        <v>#N/A</v>
      </c>
      <c r="NGC30" t="e">
        <v>#N/A</v>
      </c>
      <c r="NGD30" t="e">
        <v>#N/A</v>
      </c>
      <c r="NGE30" t="e">
        <v>#N/A</v>
      </c>
      <c r="NGF30" t="e">
        <v>#N/A</v>
      </c>
      <c r="NGG30" t="e">
        <v>#N/A</v>
      </c>
      <c r="NGH30" t="e">
        <v>#N/A</v>
      </c>
      <c r="NGI30" t="e">
        <v>#N/A</v>
      </c>
      <c r="NGJ30" t="e">
        <v>#N/A</v>
      </c>
      <c r="NGK30" t="e">
        <v>#N/A</v>
      </c>
      <c r="NGL30" t="e">
        <v>#N/A</v>
      </c>
      <c r="NGM30" t="e">
        <v>#N/A</v>
      </c>
      <c r="NGN30" t="e">
        <v>#N/A</v>
      </c>
      <c r="NGO30" t="e">
        <v>#N/A</v>
      </c>
      <c r="NGP30" t="e">
        <v>#N/A</v>
      </c>
      <c r="NGQ30" t="e">
        <v>#N/A</v>
      </c>
      <c r="NGR30" t="e">
        <v>#N/A</v>
      </c>
      <c r="NGS30" t="e">
        <v>#N/A</v>
      </c>
      <c r="NGT30" t="e">
        <v>#N/A</v>
      </c>
      <c r="NGU30" t="e">
        <v>#N/A</v>
      </c>
      <c r="NGV30" t="e">
        <v>#N/A</v>
      </c>
      <c r="NGW30" t="e">
        <v>#N/A</v>
      </c>
      <c r="NGX30" t="e">
        <v>#N/A</v>
      </c>
      <c r="NGY30" t="e">
        <v>#N/A</v>
      </c>
      <c r="NGZ30" t="e">
        <v>#N/A</v>
      </c>
      <c r="NHA30" t="e">
        <v>#N/A</v>
      </c>
      <c r="NHB30" t="e">
        <v>#N/A</v>
      </c>
      <c r="NHC30" t="e">
        <v>#N/A</v>
      </c>
      <c r="NHD30" t="e">
        <v>#N/A</v>
      </c>
      <c r="NHE30" t="e">
        <v>#N/A</v>
      </c>
      <c r="NHF30" t="e">
        <v>#N/A</v>
      </c>
      <c r="NHG30" t="e">
        <v>#N/A</v>
      </c>
      <c r="NHH30" t="e">
        <v>#N/A</v>
      </c>
      <c r="NHI30" t="e">
        <v>#N/A</v>
      </c>
      <c r="NHJ30" t="e">
        <v>#N/A</v>
      </c>
      <c r="NHK30" t="e">
        <v>#N/A</v>
      </c>
      <c r="NHL30" t="e">
        <v>#N/A</v>
      </c>
      <c r="NHM30" t="e">
        <v>#N/A</v>
      </c>
      <c r="NHN30" t="e">
        <v>#N/A</v>
      </c>
      <c r="NHO30" t="e">
        <v>#N/A</v>
      </c>
      <c r="NHP30" t="e">
        <v>#N/A</v>
      </c>
      <c r="NHQ30" t="e">
        <v>#N/A</v>
      </c>
      <c r="NHR30" t="e">
        <v>#N/A</v>
      </c>
      <c r="NHS30" t="e">
        <v>#N/A</v>
      </c>
      <c r="NHT30" t="e">
        <v>#N/A</v>
      </c>
      <c r="NHU30" t="e">
        <v>#N/A</v>
      </c>
      <c r="NHV30" t="e">
        <v>#N/A</v>
      </c>
      <c r="NHW30" t="e">
        <v>#N/A</v>
      </c>
      <c r="NHX30" t="e">
        <v>#N/A</v>
      </c>
      <c r="NHY30" t="e">
        <v>#N/A</v>
      </c>
      <c r="NHZ30" t="e">
        <v>#N/A</v>
      </c>
      <c r="NIA30" t="e">
        <v>#N/A</v>
      </c>
      <c r="NIB30" t="e">
        <v>#N/A</v>
      </c>
      <c r="NIC30" t="e">
        <v>#N/A</v>
      </c>
      <c r="NID30" t="e">
        <v>#N/A</v>
      </c>
      <c r="NIE30" t="e">
        <v>#N/A</v>
      </c>
      <c r="NIF30" t="e">
        <v>#N/A</v>
      </c>
      <c r="NIG30" t="e">
        <v>#N/A</v>
      </c>
      <c r="NIH30" t="e">
        <v>#N/A</v>
      </c>
      <c r="NII30" t="e">
        <v>#N/A</v>
      </c>
      <c r="NIJ30" t="e">
        <v>#N/A</v>
      </c>
      <c r="NIK30" t="e">
        <v>#N/A</v>
      </c>
      <c r="NIL30" t="e">
        <v>#N/A</v>
      </c>
      <c r="NIM30" t="e">
        <v>#N/A</v>
      </c>
      <c r="NIN30" t="e">
        <v>#N/A</v>
      </c>
      <c r="NIO30" t="e">
        <v>#N/A</v>
      </c>
      <c r="NIP30" t="e">
        <v>#N/A</v>
      </c>
      <c r="NIQ30" t="e">
        <v>#N/A</v>
      </c>
      <c r="NIR30" t="e">
        <v>#N/A</v>
      </c>
      <c r="NIS30" t="e">
        <v>#N/A</v>
      </c>
      <c r="NIT30" t="e">
        <v>#N/A</v>
      </c>
      <c r="NIU30" t="e">
        <v>#N/A</v>
      </c>
      <c r="NIV30" t="e">
        <v>#N/A</v>
      </c>
      <c r="NIW30" t="e">
        <v>#N/A</v>
      </c>
      <c r="NIX30" t="e">
        <v>#N/A</v>
      </c>
      <c r="NIY30" t="e">
        <v>#N/A</v>
      </c>
      <c r="NIZ30" t="e">
        <v>#N/A</v>
      </c>
      <c r="NJA30" t="e">
        <v>#N/A</v>
      </c>
      <c r="NJB30" t="e">
        <v>#N/A</v>
      </c>
      <c r="NJC30" t="e">
        <v>#N/A</v>
      </c>
      <c r="NJD30" t="e">
        <v>#N/A</v>
      </c>
      <c r="NJE30" t="e">
        <v>#N/A</v>
      </c>
      <c r="NJF30" t="e">
        <v>#N/A</v>
      </c>
      <c r="NJG30" t="e">
        <v>#N/A</v>
      </c>
      <c r="NJH30" t="e">
        <v>#N/A</v>
      </c>
      <c r="NJI30" t="e">
        <v>#N/A</v>
      </c>
      <c r="NJJ30" t="e">
        <v>#N/A</v>
      </c>
      <c r="NJK30" t="e">
        <v>#N/A</v>
      </c>
      <c r="NJL30" t="e">
        <v>#N/A</v>
      </c>
      <c r="NJM30" t="e">
        <v>#N/A</v>
      </c>
      <c r="NJN30" t="e">
        <v>#N/A</v>
      </c>
      <c r="NJO30" t="e">
        <v>#N/A</v>
      </c>
      <c r="NJP30" t="e">
        <v>#N/A</v>
      </c>
      <c r="NJQ30" t="e">
        <v>#N/A</v>
      </c>
      <c r="NJR30" t="e">
        <v>#N/A</v>
      </c>
      <c r="NJS30" t="e">
        <v>#N/A</v>
      </c>
      <c r="NJT30" t="e">
        <v>#N/A</v>
      </c>
      <c r="NJU30" t="e">
        <v>#N/A</v>
      </c>
      <c r="NJV30" t="e">
        <v>#N/A</v>
      </c>
      <c r="NJW30" t="e">
        <v>#N/A</v>
      </c>
      <c r="NJX30" t="e">
        <v>#N/A</v>
      </c>
      <c r="NJY30" t="e">
        <v>#N/A</v>
      </c>
      <c r="NJZ30" t="e">
        <v>#N/A</v>
      </c>
      <c r="NKA30" t="e">
        <v>#N/A</v>
      </c>
      <c r="NKB30" t="e">
        <v>#N/A</v>
      </c>
      <c r="NKC30" t="e">
        <v>#N/A</v>
      </c>
      <c r="NKD30" t="e">
        <v>#N/A</v>
      </c>
      <c r="NKE30" t="e">
        <v>#N/A</v>
      </c>
      <c r="NKF30" t="e">
        <v>#N/A</v>
      </c>
      <c r="NKG30" t="e">
        <v>#N/A</v>
      </c>
      <c r="NKH30" t="e">
        <v>#N/A</v>
      </c>
      <c r="NKI30" t="e">
        <v>#N/A</v>
      </c>
      <c r="NKJ30" t="e">
        <v>#N/A</v>
      </c>
      <c r="NKK30" t="e">
        <v>#N/A</v>
      </c>
      <c r="NKL30" t="e">
        <v>#N/A</v>
      </c>
      <c r="NKM30" t="e">
        <v>#N/A</v>
      </c>
      <c r="NKN30" t="e">
        <v>#N/A</v>
      </c>
      <c r="NKO30" t="e">
        <v>#N/A</v>
      </c>
      <c r="NKP30" t="e">
        <v>#N/A</v>
      </c>
      <c r="NKQ30" t="e">
        <v>#N/A</v>
      </c>
      <c r="NKR30" t="e">
        <v>#N/A</v>
      </c>
      <c r="NKS30" t="e">
        <v>#N/A</v>
      </c>
      <c r="NKT30" t="e">
        <v>#N/A</v>
      </c>
      <c r="NKU30" t="e">
        <v>#N/A</v>
      </c>
      <c r="NKV30" t="e">
        <v>#N/A</v>
      </c>
      <c r="NKW30" t="e">
        <v>#N/A</v>
      </c>
      <c r="NKX30" t="e">
        <v>#N/A</v>
      </c>
      <c r="NKY30" t="e">
        <v>#N/A</v>
      </c>
      <c r="NKZ30" t="e">
        <v>#N/A</v>
      </c>
      <c r="NLA30" t="e">
        <v>#N/A</v>
      </c>
      <c r="NLB30" t="e">
        <v>#N/A</v>
      </c>
      <c r="NLC30" t="e">
        <v>#N/A</v>
      </c>
      <c r="NLD30" t="e">
        <v>#N/A</v>
      </c>
      <c r="NLE30" t="e">
        <v>#N/A</v>
      </c>
      <c r="NLF30" t="e">
        <v>#N/A</v>
      </c>
      <c r="NLG30" t="e">
        <v>#N/A</v>
      </c>
      <c r="NLH30" t="e">
        <v>#N/A</v>
      </c>
      <c r="NLI30" t="e">
        <v>#N/A</v>
      </c>
      <c r="NLJ30" t="e">
        <v>#N/A</v>
      </c>
      <c r="NLK30" t="e">
        <v>#N/A</v>
      </c>
      <c r="NLL30" t="e">
        <v>#N/A</v>
      </c>
      <c r="NLM30" t="e">
        <v>#N/A</v>
      </c>
      <c r="NLN30" t="e">
        <v>#N/A</v>
      </c>
      <c r="NLO30" t="e">
        <v>#N/A</v>
      </c>
      <c r="NLP30" t="e">
        <v>#N/A</v>
      </c>
      <c r="NLQ30" t="e">
        <v>#N/A</v>
      </c>
      <c r="NLR30" t="e">
        <v>#N/A</v>
      </c>
      <c r="NLS30" t="e">
        <v>#N/A</v>
      </c>
      <c r="NLT30" t="e">
        <v>#N/A</v>
      </c>
      <c r="NLU30" t="e">
        <v>#N/A</v>
      </c>
      <c r="NLV30" t="e">
        <v>#N/A</v>
      </c>
      <c r="NLW30" t="e">
        <v>#N/A</v>
      </c>
      <c r="NLX30" t="e">
        <v>#N/A</v>
      </c>
      <c r="NLY30" t="e">
        <v>#N/A</v>
      </c>
      <c r="NLZ30" t="e">
        <v>#N/A</v>
      </c>
      <c r="NMA30" t="e">
        <v>#N/A</v>
      </c>
      <c r="NMB30" t="e">
        <v>#N/A</v>
      </c>
      <c r="NMC30" t="e">
        <v>#N/A</v>
      </c>
      <c r="NMD30" t="e">
        <v>#N/A</v>
      </c>
      <c r="NME30" t="e">
        <v>#N/A</v>
      </c>
      <c r="NMF30" t="e">
        <v>#N/A</v>
      </c>
      <c r="NMG30" t="e">
        <v>#N/A</v>
      </c>
      <c r="NMH30" t="e">
        <v>#N/A</v>
      </c>
      <c r="NMI30" t="e">
        <v>#N/A</v>
      </c>
      <c r="NMJ30" t="e">
        <v>#N/A</v>
      </c>
      <c r="NMK30" t="e">
        <v>#N/A</v>
      </c>
      <c r="NML30" t="e">
        <v>#N/A</v>
      </c>
      <c r="NMM30" t="e">
        <v>#N/A</v>
      </c>
      <c r="NMN30" t="e">
        <v>#N/A</v>
      </c>
      <c r="NMO30" t="e">
        <v>#N/A</v>
      </c>
      <c r="NMP30" t="e">
        <v>#N/A</v>
      </c>
      <c r="NMQ30" t="e">
        <v>#N/A</v>
      </c>
      <c r="NMR30" t="e">
        <v>#N/A</v>
      </c>
      <c r="NMS30" t="e">
        <v>#N/A</v>
      </c>
      <c r="NMT30" t="e">
        <v>#N/A</v>
      </c>
      <c r="NMU30" t="e">
        <v>#N/A</v>
      </c>
      <c r="NMV30" t="e">
        <v>#N/A</v>
      </c>
      <c r="NMW30" t="e">
        <v>#N/A</v>
      </c>
      <c r="NMX30" t="e">
        <v>#N/A</v>
      </c>
      <c r="NMY30" t="e">
        <v>#N/A</v>
      </c>
      <c r="NMZ30" t="e">
        <v>#N/A</v>
      </c>
      <c r="NNA30" t="e">
        <v>#N/A</v>
      </c>
      <c r="NNB30" t="e">
        <v>#N/A</v>
      </c>
      <c r="NNC30" t="e">
        <v>#N/A</v>
      </c>
      <c r="NND30" t="e">
        <v>#N/A</v>
      </c>
      <c r="NNE30" t="e">
        <v>#N/A</v>
      </c>
      <c r="NNF30" t="e">
        <v>#N/A</v>
      </c>
      <c r="NNG30" t="e">
        <v>#N/A</v>
      </c>
      <c r="NNH30" t="e">
        <v>#N/A</v>
      </c>
      <c r="NNI30" t="e">
        <v>#N/A</v>
      </c>
      <c r="NNJ30" t="e">
        <v>#N/A</v>
      </c>
      <c r="NNK30" t="e">
        <v>#N/A</v>
      </c>
      <c r="NNL30" t="e">
        <v>#N/A</v>
      </c>
      <c r="NNM30" t="e">
        <v>#N/A</v>
      </c>
      <c r="NNN30" t="e">
        <v>#N/A</v>
      </c>
      <c r="NNO30" t="e">
        <v>#N/A</v>
      </c>
      <c r="NNP30" t="e">
        <v>#N/A</v>
      </c>
      <c r="NNQ30" t="e">
        <v>#N/A</v>
      </c>
      <c r="NNR30" t="e">
        <v>#N/A</v>
      </c>
      <c r="NNS30" t="e">
        <v>#N/A</v>
      </c>
      <c r="NNT30" t="e">
        <v>#N/A</v>
      </c>
      <c r="NNU30" t="e">
        <v>#N/A</v>
      </c>
      <c r="NNV30" t="e">
        <v>#N/A</v>
      </c>
      <c r="NNW30" t="e">
        <v>#N/A</v>
      </c>
      <c r="NNX30" t="e">
        <v>#N/A</v>
      </c>
      <c r="NNY30" t="e">
        <v>#N/A</v>
      </c>
      <c r="NNZ30" t="e">
        <v>#N/A</v>
      </c>
      <c r="NOA30" t="e">
        <v>#N/A</v>
      </c>
      <c r="NOB30" t="e">
        <v>#N/A</v>
      </c>
      <c r="NOC30" t="e">
        <v>#N/A</v>
      </c>
      <c r="NOD30" t="e">
        <v>#N/A</v>
      </c>
      <c r="NOE30" t="e">
        <v>#N/A</v>
      </c>
      <c r="NOF30" t="e">
        <v>#N/A</v>
      </c>
      <c r="NOG30" t="e">
        <v>#N/A</v>
      </c>
      <c r="NOH30" t="e">
        <v>#N/A</v>
      </c>
      <c r="NOI30" t="e">
        <v>#N/A</v>
      </c>
      <c r="NOJ30" t="e">
        <v>#N/A</v>
      </c>
      <c r="NOK30" t="e">
        <v>#N/A</v>
      </c>
      <c r="NOL30" t="e">
        <v>#N/A</v>
      </c>
      <c r="NOM30" t="e">
        <v>#N/A</v>
      </c>
      <c r="NON30" t="e">
        <v>#N/A</v>
      </c>
      <c r="NOO30" t="e">
        <v>#N/A</v>
      </c>
      <c r="NOP30" t="e">
        <v>#N/A</v>
      </c>
      <c r="NOQ30" t="e">
        <v>#N/A</v>
      </c>
      <c r="NOR30" t="e">
        <v>#N/A</v>
      </c>
      <c r="NOS30" t="e">
        <v>#N/A</v>
      </c>
      <c r="NOT30" t="e">
        <v>#N/A</v>
      </c>
      <c r="NOU30" t="e">
        <v>#N/A</v>
      </c>
      <c r="NOV30" t="e">
        <v>#N/A</v>
      </c>
      <c r="NOW30" t="e">
        <v>#N/A</v>
      </c>
      <c r="NOX30" t="e">
        <v>#N/A</v>
      </c>
      <c r="NOY30" t="e">
        <v>#N/A</v>
      </c>
      <c r="NOZ30" t="e">
        <v>#N/A</v>
      </c>
      <c r="NPA30" t="e">
        <v>#N/A</v>
      </c>
      <c r="NPB30" t="e">
        <v>#N/A</v>
      </c>
      <c r="NPC30" t="e">
        <v>#N/A</v>
      </c>
      <c r="NPD30" t="e">
        <v>#N/A</v>
      </c>
      <c r="NPE30" t="e">
        <v>#N/A</v>
      </c>
      <c r="NPF30" t="e">
        <v>#N/A</v>
      </c>
      <c r="NPG30" t="e">
        <v>#N/A</v>
      </c>
      <c r="NPH30" t="e">
        <v>#N/A</v>
      </c>
      <c r="NPI30" t="e">
        <v>#N/A</v>
      </c>
      <c r="NPJ30" t="e">
        <v>#N/A</v>
      </c>
      <c r="NPK30" t="e">
        <v>#N/A</v>
      </c>
      <c r="NPL30" t="e">
        <v>#N/A</v>
      </c>
      <c r="NPM30" t="e">
        <v>#N/A</v>
      </c>
      <c r="NPN30" t="e">
        <v>#N/A</v>
      </c>
      <c r="NPO30" t="e">
        <v>#N/A</v>
      </c>
      <c r="NPP30" t="e">
        <v>#N/A</v>
      </c>
      <c r="NPQ30" t="e">
        <v>#N/A</v>
      </c>
      <c r="NPR30" t="e">
        <v>#N/A</v>
      </c>
      <c r="NPS30" t="e">
        <v>#N/A</v>
      </c>
      <c r="NPT30" t="e">
        <v>#N/A</v>
      </c>
      <c r="NPU30" t="e">
        <v>#N/A</v>
      </c>
      <c r="NPV30" t="e">
        <v>#N/A</v>
      </c>
      <c r="NPW30" t="e">
        <v>#N/A</v>
      </c>
      <c r="NPX30" t="e">
        <v>#N/A</v>
      </c>
      <c r="NPY30" t="e">
        <v>#N/A</v>
      </c>
      <c r="NPZ30" t="e">
        <v>#N/A</v>
      </c>
      <c r="NQA30" t="e">
        <v>#N/A</v>
      </c>
      <c r="NQB30" t="e">
        <v>#N/A</v>
      </c>
      <c r="NQC30" t="e">
        <v>#N/A</v>
      </c>
      <c r="NQD30" t="e">
        <v>#N/A</v>
      </c>
      <c r="NQE30" t="e">
        <v>#N/A</v>
      </c>
      <c r="NQF30" t="e">
        <v>#N/A</v>
      </c>
      <c r="NQG30" t="e">
        <v>#N/A</v>
      </c>
      <c r="NQH30" t="e">
        <v>#N/A</v>
      </c>
      <c r="NQI30" t="e">
        <v>#N/A</v>
      </c>
      <c r="NQJ30" t="e">
        <v>#N/A</v>
      </c>
      <c r="NQK30" t="e">
        <v>#N/A</v>
      </c>
      <c r="NQL30" t="e">
        <v>#N/A</v>
      </c>
      <c r="NQM30" t="e">
        <v>#N/A</v>
      </c>
      <c r="NQN30" t="e">
        <v>#N/A</v>
      </c>
      <c r="NQO30" t="e">
        <v>#N/A</v>
      </c>
      <c r="NQP30" t="e">
        <v>#N/A</v>
      </c>
      <c r="NQQ30" t="e">
        <v>#N/A</v>
      </c>
      <c r="NQR30" t="e">
        <v>#N/A</v>
      </c>
      <c r="NQS30" t="e">
        <v>#N/A</v>
      </c>
      <c r="NQT30" t="e">
        <v>#N/A</v>
      </c>
      <c r="NQU30" t="e">
        <v>#N/A</v>
      </c>
      <c r="NQV30" t="e">
        <v>#N/A</v>
      </c>
      <c r="NQW30" t="e">
        <v>#N/A</v>
      </c>
      <c r="NQX30" t="e">
        <v>#N/A</v>
      </c>
      <c r="NQY30" t="e">
        <v>#N/A</v>
      </c>
      <c r="NQZ30" t="e">
        <v>#N/A</v>
      </c>
      <c r="NRA30" t="e">
        <v>#N/A</v>
      </c>
      <c r="NRB30" t="e">
        <v>#N/A</v>
      </c>
      <c r="NRC30" t="e">
        <v>#N/A</v>
      </c>
      <c r="NRD30" t="e">
        <v>#N/A</v>
      </c>
      <c r="NRE30" t="e">
        <v>#N/A</v>
      </c>
      <c r="NRF30" t="e">
        <v>#N/A</v>
      </c>
      <c r="NRG30" t="e">
        <v>#N/A</v>
      </c>
      <c r="NRH30" t="e">
        <v>#N/A</v>
      </c>
      <c r="NRI30" t="e">
        <v>#N/A</v>
      </c>
      <c r="NRJ30" t="e">
        <v>#N/A</v>
      </c>
      <c r="NRK30" t="e">
        <v>#N/A</v>
      </c>
      <c r="NRL30" t="e">
        <v>#N/A</v>
      </c>
      <c r="NRM30" t="e">
        <v>#N/A</v>
      </c>
      <c r="NRN30" t="e">
        <v>#N/A</v>
      </c>
      <c r="NRO30" t="e">
        <v>#N/A</v>
      </c>
      <c r="NRP30" t="e">
        <v>#N/A</v>
      </c>
      <c r="NRQ30" t="e">
        <v>#N/A</v>
      </c>
      <c r="NRR30" t="e">
        <v>#N/A</v>
      </c>
      <c r="NRS30" t="e">
        <v>#N/A</v>
      </c>
      <c r="NRT30" t="e">
        <v>#N/A</v>
      </c>
      <c r="NRU30" t="e">
        <v>#N/A</v>
      </c>
      <c r="NRV30" t="e">
        <v>#N/A</v>
      </c>
      <c r="NRW30" t="e">
        <v>#N/A</v>
      </c>
      <c r="NRX30" t="e">
        <v>#N/A</v>
      </c>
      <c r="NRY30" t="e">
        <v>#N/A</v>
      </c>
      <c r="NRZ30" t="e">
        <v>#N/A</v>
      </c>
      <c r="NSA30" t="e">
        <v>#N/A</v>
      </c>
      <c r="NSB30" t="e">
        <v>#N/A</v>
      </c>
      <c r="NSC30" t="e">
        <v>#N/A</v>
      </c>
      <c r="NSD30" t="e">
        <v>#N/A</v>
      </c>
      <c r="NSE30" t="e">
        <v>#N/A</v>
      </c>
      <c r="NSF30" t="e">
        <v>#N/A</v>
      </c>
      <c r="NSG30" t="e">
        <v>#N/A</v>
      </c>
      <c r="NSH30" t="e">
        <v>#N/A</v>
      </c>
      <c r="NSI30" t="e">
        <v>#N/A</v>
      </c>
      <c r="NSJ30" t="e">
        <v>#N/A</v>
      </c>
      <c r="NSK30" t="e">
        <v>#N/A</v>
      </c>
      <c r="NSL30" t="e">
        <v>#N/A</v>
      </c>
      <c r="NSM30" t="e">
        <v>#N/A</v>
      </c>
      <c r="NSN30" t="e">
        <v>#N/A</v>
      </c>
      <c r="NSO30" t="e">
        <v>#N/A</v>
      </c>
      <c r="NSP30" t="e">
        <v>#N/A</v>
      </c>
      <c r="NSQ30" t="e">
        <v>#N/A</v>
      </c>
      <c r="NSR30" t="e">
        <v>#N/A</v>
      </c>
      <c r="NSS30" t="e">
        <v>#N/A</v>
      </c>
      <c r="NST30" t="e">
        <v>#N/A</v>
      </c>
      <c r="NSU30" t="e">
        <v>#N/A</v>
      </c>
      <c r="NSV30" t="e">
        <v>#N/A</v>
      </c>
      <c r="NSW30" t="e">
        <v>#N/A</v>
      </c>
      <c r="NSX30" t="e">
        <v>#N/A</v>
      </c>
      <c r="NSY30" t="e">
        <v>#N/A</v>
      </c>
      <c r="NSZ30" t="e">
        <v>#N/A</v>
      </c>
      <c r="NTA30" t="e">
        <v>#N/A</v>
      </c>
      <c r="NTB30" t="e">
        <v>#N/A</v>
      </c>
      <c r="NTC30" t="e">
        <v>#N/A</v>
      </c>
      <c r="NTD30" t="e">
        <v>#N/A</v>
      </c>
      <c r="NTE30" t="e">
        <v>#N/A</v>
      </c>
      <c r="NTF30" t="e">
        <v>#N/A</v>
      </c>
      <c r="NTG30" t="e">
        <v>#N/A</v>
      </c>
      <c r="NTH30" t="e">
        <v>#N/A</v>
      </c>
      <c r="NTI30" t="e">
        <v>#N/A</v>
      </c>
      <c r="NTJ30" t="e">
        <v>#N/A</v>
      </c>
      <c r="NTK30" t="e">
        <v>#N/A</v>
      </c>
      <c r="NTL30" t="e">
        <v>#N/A</v>
      </c>
      <c r="NTM30" t="e">
        <v>#N/A</v>
      </c>
      <c r="NTN30" t="e">
        <v>#N/A</v>
      </c>
      <c r="NTO30" t="e">
        <v>#N/A</v>
      </c>
      <c r="NTP30" t="e">
        <v>#N/A</v>
      </c>
      <c r="NTQ30" t="e">
        <v>#N/A</v>
      </c>
      <c r="NTR30" t="e">
        <v>#N/A</v>
      </c>
      <c r="NTS30" t="e">
        <v>#N/A</v>
      </c>
      <c r="NTT30" t="e">
        <v>#N/A</v>
      </c>
      <c r="NTU30" t="e">
        <v>#N/A</v>
      </c>
      <c r="NTV30" t="e">
        <v>#N/A</v>
      </c>
      <c r="NTW30" t="e">
        <v>#N/A</v>
      </c>
      <c r="NTX30" t="e">
        <v>#N/A</v>
      </c>
      <c r="NTY30" t="e">
        <v>#N/A</v>
      </c>
      <c r="NTZ30" t="e">
        <v>#N/A</v>
      </c>
      <c r="NUA30" t="e">
        <v>#N/A</v>
      </c>
      <c r="NUB30" t="e">
        <v>#N/A</v>
      </c>
      <c r="NUC30" t="e">
        <v>#N/A</v>
      </c>
      <c r="NUD30" t="e">
        <v>#N/A</v>
      </c>
      <c r="NUE30" t="e">
        <v>#N/A</v>
      </c>
      <c r="NUF30" t="e">
        <v>#N/A</v>
      </c>
      <c r="NUG30" t="e">
        <v>#N/A</v>
      </c>
      <c r="NUH30" t="e">
        <v>#N/A</v>
      </c>
      <c r="NUI30" t="e">
        <v>#N/A</v>
      </c>
      <c r="NUJ30" t="e">
        <v>#N/A</v>
      </c>
      <c r="NUK30" t="e">
        <v>#N/A</v>
      </c>
      <c r="NUL30" t="e">
        <v>#N/A</v>
      </c>
      <c r="NUM30" t="e">
        <v>#N/A</v>
      </c>
      <c r="NUN30" t="e">
        <v>#N/A</v>
      </c>
      <c r="NUO30" t="e">
        <v>#N/A</v>
      </c>
      <c r="NUP30" t="e">
        <v>#N/A</v>
      </c>
      <c r="NUQ30" t="e">
        <v>#N/A</v>
      </c>
      <c r="NUR30" t="e">
        <v>#N/A</v>
      </c>
      <c r="NUS30" t="e">
        <v>#N/A</v>
      </c>
      <c r="NUT30" t="e">
        <v>#N/A</v>
      </c>
      <c r="NUU30" t="e">
        <v>#N/A</v>
      </c>
      <c r="NUV30" t="e">
        <v>#N/A</v>
      </c>
      <c r="NUW30" t="e">
        <v>#N/A</v>
      </c>
      <c r="NUX30" t="e">
        <v>#N/A</v>
      </c>
      <c r="NUY30" t="e">
        <v>#N/A</v>
      </c>
      <c r="NUZ30" t="e">
        <v>#N/A</v>
      </c>
      <c r="NVA30" t="e">
        <v>#N/A</v>
      </c>
      <c r="NVB30" t="e">
        <v>#N/A</v>
      </c>
      <c r="NVC30" t="e">
        <v>#N/A</v>
      </c>
      <c r="NVD30" t="e">
        <v>#N/A</v>
      </c>
      <c r="NVE30" t="e">
        <v>#N/A</v>
      </c>
      <c r="NVF30" t="e">
        <v>#N/A</v>
      </c>
      <c r="NVG30" t="e">
        <v>#N/A</v>
      </c>
      <c r="NVH30" t="e">
        <v>#N/A</v>
      </c>
      <c r="NVI30" t="e">
        <v>#N/A</v>
      </c>
      <c r="NVJ30" t="e">
        <v>#N/A</v>
      </c>
      <c r="NVK30" t="e">
        <v>#N/A</v>
      </c>
      <c r="NVL30" t="e">
        <v>#N/A</v>
      </c>
      <c r="NVM30" t="e">
        <v>#N/A</v>
      </c>
      <c r="NVN30" t="e">
        <v>#N/A</v>
      </c>
      <c r="NVO30" t="e">
        <v>#N/A</v>
      </c>
      <c r="NVP30" t="e">
        <v>#N/A</v>
      </c>
      <c r="NVQ30" t="e">
        <v>#N/A</v>
      </c>
      <c r="NVR30" t="e">
        <v>#N/A</v>
      </c>
      <c r="NVS30" t="e">
        <v>#N/A</v>
      </c>
      <c r="NVT30" t="e">
        <v>#N/A</v>
      </c>
      <c r="NVU30" t="e">
        <v>#N/A</v>
      </c>
      <c r="NVV30" t="e">
        <v>#N/A</v>
      </c>
      <c r="NVW30" t="e">
        <v>#N/A</v>
      </c>
      <c r="NVX30" t="e">
        <v>#N/A</v>
      </c>
      <c r="NVY30" t="e">
        <v>#N/A</v>
      </c>
      <c r="NVZ30" t="e">
        <v>#N/A</v>
      </c>
      <c r="NWA30" t="e">
        <v>#N/A</v>
      </c>
      <c r="NWB30" t="e">
        <v>#N/A</v>
      </c>
      <c r="NWC30" t="e">
        <v>#N/A</v>
      </c>
      <c r="NWD30" t="e">
        <v>#N/A</v>
      </c>
      <c r="NWE30" t="e">
        <v>#N/A</v>
      </c>
      <c r="NWF30" t="e">
        <v>#N/A</v>
      </c>
      <c r="NWG30" t="e">
        <v>#N/A</v>
      </c>
      <c r="NWH30" t="e">
        <v>#N/A</v>
      </c>
      <c r="NWI30" t="e">
        <v>#N/A</v>
      </c>
      <c r="NWJ30" t="e">
        <v>#N/A</v>
      </c>
      <c r="NWK30" t="e">
        <v>#N/A</v>
      </c>
      <c r="NWL30" t="e">
        <v>#N/A</v>
      </c>
      <c r="NWM30" t="e">
        <v>#N/A</v>
      </c>
      <c r="NWN30" t="e">
        <v>#N/A</v>
      </c>
      <c r="NWO30" t="e">
        <v>#N/A</v>
      </c>
      <c r="NWP30" t="e">
        <v>#N/A</v>
      </c>
      <c r="NWQ30" t="e">
        <v>#N/A</v>
      </c>
      <c r="NWR30" t="e">
        <v>#N/A</v>
      </c>
      <c r="NWS30" t="e">
        <v>#N/A</v>
      </c>
      <c r="NWT30" t="e">
        <v>#N/A</v>
      </c>
      <c r="NWU30" t="e">
        <v>#N/A</v>
      </c>
      <c r="NWV30" t="e">
        <v>#N/A</v>
      </c>
      <c r="NWW30" t="e">
        <v>#N/A</v>
      </c>
      <c r="NWX30" t="e">
        <v>#N/A</v>
      </c>
      <c r="NWY30" t="e">
        <v>#N/A</v>
      </c>
      <c r="NWZ30" t="e">
        <v>#N/A</v>
      </c>
      <c r="NXA30" t="e">
        <v>#N/A</v>
      </c>
      <c r="NXB30" t="e">
        <v>#N/A</v>
      </c>
      <c r="NXC30" t="e">
        <v>#N/A</v>
      </c>
      <c r="NXD30" t="e">
        <v>#N/A</v>
      </c>
      <c r="NXE30" t="e">
        <v>#N/A</v>
      </c>
      <c r="NXF30" t="e">
        <v>#N/A</v>
      </c>
      <c r="NXG30" t="e">
        <v>#N/A</v>
      </c>
      <c r="NXH30" t="e">
        <v>#N/A</v>
      </c>
      <c r="NXI30" t="e">
        <v>#N/A</v>
      </c>
      <c r="NXJ30" t="e">
        <v>#N/A</v>
      </c>
      <c r="NXK30" t="e">
        <v>#N/A</v>
      </c>
      <c r="NXL30" t="e">
        <v>#N/A</v>
      </c>
      <c r="NXM30" t="e">
        <v>#N/A</v>
      </c>
      <c r="NXN30" t="e">
        <v>#N/A</v>
      </c>
      <c r="NXO30" t="e">
        <v>#N/A</v>
      </c>
      <c r="NXP30" t="e">
        <v>#N/A</v>
      </c>
      <c r="NXQ30" t="e">
        <v>#N/A</v>
      </c>
      <c r="NXR30" t="e">
        <v>#N/A</v>
      </c>
      <c r="NXS30" t="e">
        <v>#N/A</v>
      </c>
      <c r="NXT30" t="e">
        <v>#N/A</v>
      </c>
      <c r="NXU30" t="e">
        <v>#N/A</v>
      </c>
      <c r="NXV30" t="e">
        <v>#N/A</v>
      </c>
      <c r="NXW30" t="e">
        <v>#N/A</v>
      </c>
      <c r="NXX30" t="e">
        <v>#N/A</v>
      </c>
      <c r="NXY30" t="e">
        <v>#N/A</v>
      </c>
      <c r="NXZ30" t="e">
        <v>#N/A</v>
      </c>
      <c r="NYA30" t="e">
        <v>#N/A</v>
      </c>
      <c r="NYB30" t="e">
        <v>#N/A</v>
      </c>
      <c r="NYC30" t="e">
        <v>#N/A</v>
      </c>
      <c r="NYD30" t="e">
        <v>#N/A</v>
      </c>
      <c r="NYE30" t="e">
        <v>#N/A</v>
      </c>
      <c r="NYF30" t="e">
        <v>#N/A</v>
      </c>
      <c r="NYG30" t="e">
        <v>#N/A</v>
      </c>
      <c r="NYH30" t="e">
        <v>#N/A</v>
      </c>
      <c r="NYI30" t="e">
        <v>#N/A</v>
      </c>
      <c r="NYJ30" t="e">
        <v>#N/A</v>
      </c>
      <c r="NYK30" t="e">
        <v>#N/A</v>
      </c>
      <c r="NYL30" t="e">
        <v>#N/A</v>
      </c>
      <c r="NYM30" t="e">
        <v>#N/A</v>
      </c>
      <c r="NYN30" t="e">
        <v>#N/A</v>
      </c>
      <c r="NYO30" t="e">
        <v>#N/A</v>
      </c>
      <c r="NYP30" t="e">
        <v>#N/A</v>
      </c>
      <c r="NYQ30" t="e">
        <v>#N/A</v>
      </c>
      <c r="NYR30" t="e">
        <v>#N/A</v>
      </c>
      <c r="NYS30" t="e">
        <v>#N/A</v>
      </c>
      <c r="NYT30" t="e">
        <v>#N/A</v>
      </c>
      <c r="NYU30" t="e">
        <v>#N/A</v>
      </c>
      <c r="NYV30" t="e">
        <v>#N/A</v>
      </c>
      <c r="NYW30" t="e">
        <v>#N/A</v>
      </c>
      <c r="NYX30" t="e">
        <v>#N/A</v>
      </c>
      <c r="NYY30" t="e">
        <v>#N/A</v>
      </c>
      <c r="NYZ30" t="e">
        <v>#N/A</v>
      </c>
      <c r="NZA30" t="e">
        <v>#N/A</v>
      </c>
      <c r="NZB30" t="e">
        <v>#N/A</v>
      </c>
      <c r="NZC30" t="e">
        <v>#N/A</v>
      </c>
      <c r="NZD30" t="e">
        <v>#N/A</v>
      </c>
      <c r="NZE30" t="e">
        <v>#N/A</v>
      </c>
      <c r="NZF30" t="e">
        <v>#N/A</v>
      </c>
      <c r="NZG30" t="e">
        <v>#N/A</v>
      </c>
      <c r="NZH30" t="e">
        <v>#N/A</v>
      </c>
      <c r="NZI30" t="e">
        <v>#N/A</v>
      </c>
      <c r="NZJ30" t="e">
        <v>#N/A</v>
      </c>
      <c r="NZK30" t="e">
        <v>#N/A</v>
      </c>
      <c r="NZL30" t="e">
        <v>#N/A</v>
      </c>
      <c r="NZM30" t="e">
        <v>#N/A</v>
      </c>
      <c r="NZN30" t="e">
        <v>#N/A</v>
      </c>
      <c r="NZO30" t="e">
        <v>#N/A</v>
      </c>
      <c r="NZP30" t="e">
        <v>#N/A</v>
      </c>
      <c r="NZQ30" t="e">
        <v>#N/A</v>
      </c>
      <c r="NZR30" t="e">
        <v>#N/A</v>
      </c>
      <c r="NZS30" t="e">
        <v>#N/A</v>
      </c>
      <c r="NZT30" t="e">
        <v>#N/A</v>
      </c>
      <c r="NZU30" t="e">
        <v>#N/A</v>
      </c>
      <c r="NZV30" t="e">
        <v>#N/A</v>
      </c>
      <c r="NZW30" t="e">
        <v>#N/A</v>
      </c>
      <c r="NZX30" t="e">
        <v>#N/A</v>
      </c>
      <c r="NZY30" t="e">
        <v>#N/A</v>
      </c>
      <c r="NZZ30" t="e">
        <v>#N/A</v>
      </c>
      <c r="OAA30" t="e">
        <v>#N/A</v>
      </c>
      <c r="OAB30" t="e">
        <v>#N/A</v>
      </c>
      <c r="OAC30" t="e">
        <v>#N/A</v>
      </c>
      <c r="OAD30" t="e">
        <v>#N/A</v>
      </c>
      <c r="OAE30" t="e">
        <v>#N/A</v>
      </c>
      <c r="OAF30" t="e">
        <v>#N/A</v>
      </c>
      <c r="OAG30" t="e">
        <v>#N/A</v>
      </c>
      <c r="OAH30" t="e">
        <v>#N/A</v>
      </c>
      <c r="OAI30" t="e">
        <v>#N/A</v>
      </c>
      <c r="OAJ30" t="e">
        <v>#N/A</v>
      </c>
      <c r="OAK30" t="e">
        <v>#N/A</v>
      </c>
      <c r="OAL30" t="e">
        <v>#N/A</v>
      </c>
      <c r="OAM30" t="e">
        <v>#N/A</v>
      </c>
      <c r="OAN30" t="e">
        <v>#N/A</v>
      </c>
      <c r="OAO30" t="e">
        <v>#N/A</v>
      </c>
      <c r="OAP30" t="e">
        <v>#N/A</v>
      </c>
      <c r="OAQ30" t="e">
        <v>#N/A</v>
      </c>
      <c r="OAR30" t="e">
        <v>#N/A</v>
      </c>
      <c r="OAS30" t="e">
        <v>#N/A</v>
      </c>
      <c r="OAT30" t="e">
        <v>#N/A</v>
      </c>
      <c r="OAU30" t="e">
        <v>#N/A</v>
      </c>
      <c r="OAV30" t="e">
        <v>#N/A</v>
      </c>
      <c r="OAW30" t="e">
        <v>#N/A</v>
      </c>
      <c r="OAX30" t="e">
        <v>#N/A</v>
      </c>
      <c r="OAY30" t="e">
        <v>#N/A</v>
      </c>
      <c r="OAZ30" t="e">
        <v>#N/A</v>
      </c>
      <c r="OBA30" t="e">
        <v>#N/A</v>
      </c>
      <c r="OBB30" t="e">
        <v>#N/A</v>
      </c>
      <c r="OBC30" t="e">
        <v>#N/A</v>
      </c>
      <c r="OBD30" t="e">
        <v>#N/A</v>
      </c>
      <c r="OBE30" t="e">
        <v>#N/A</v>
      </c>
      <c r="OBF30" t="e">
        <v>#N/A</v>
      </c>
      <c r="OBG30" t="e">
        <v>#N/A</v>
      </c>
      <c r="OBH30" t="e">
        <v>#N/A</v>
      </c>
      <c r="OBI30" t="e">
        <v>#N/A</v>
      </c>
      <c r="OBJ30" t="e">
        <v>#N/A</v>
      </c>
      <c r="OBK30" t="e">
        <v>#N/A</v>
      </c>
      <c r="OBL30" t="e">
        <v>#N/A</v>
      </c>
      <c r="OBM30" t="e">
        <v>#N/A</v>
      </c>
      <c r="OBN30" t="e">
        <v>#N/A</v>
      </c>
      <c r="OBO30" t="e">
        <v>#N/A</v>
      </c>
      <c r="OBP30" t="e">
        <v>#N/A</v>
      </c>
      <c r="OBQ30" t="e">
        <v>#N/A</v>
      </c>
      <c r="OBR30" t="e">
        <v>#N/A</v>
      </c>
      <c r="OBS30" t="e">
        <v>#N/A</v>
      </c>
      <c r="OBT30" t="e">
        <v>#N/A</v>
      </c>
      <c r="OBU30" t="e">
        <v>#N/A</v>
      </c>
      <c r="OBV30" t="e">
        <v>#N/A</v>
      </c>
      <c r="OBW30" t="e">
        <v>#N/A</v>
      </c>
      <c r="OBX30" t="e">
        <v>#N/A</v>
      </c>
      <c r="OBY30" t="e">
        <v>#N/A</v>
      </c>
      <c r="OBZ30" t="e">
        <v>#N/A</v>
      </c>
      <c r="OCA30" t="e">
        <v>#N/A</v>
      </c>
      <c r="OCB30" t="e">
        <v>#N/A</v>
      </c>
      <c r="OCC30" t="e">
        <v>#N/A</v>
      </c>
      <c r="OCD30" t="e">
        <v>#N/A</v>
      </c>
      <c r="OCE30" t="e">
        <v>#N/A</v>
      </c>
      <c r="OCF30" t="e">
        <v>#N/A</v>
      </c>
      <c r="OCG30" t="e">
        <v>#N/A</v>
      </c>
      <c r="OCH30" t="e">
        <v>#N/A</v>
      </c>
      <c r="OCI30" t="e">
        <v>#N/A</v>
      </c>
      <c r="OCJ30" t="e">
        <v>#N/A</v>
      </c>
      <c r="OCK30" t="e">
        <v>#N/A</v>
      </c>
      <c r="OCL30" t="e">
        <v>#N/A</v>
      </c>
      <c r="OCM30" t="e">
        <v>#N/A</v>
      </c>
      <c r="OCN30" t="e">
        <v>#N/A</v>
      </c>
      <c r="OCO30" t="e">
        <v>#N/A</v>
      </c>
      <c r="OCP30" t="e">
        <v>#N/A</v>
      </c>
      <c r="OCQ30" t="e">
        <v>#N/A</v>
      </c>
      <c r="OCR30" t="e">
        <v>#N/A</v>
      </c>
      <c r="OCS30" t="e">
        <v>#N/A</v>
      </c>
      <c r="OCT30" t="e">
        <v>#N/A</v>
      </c>
      <c r="OCU30" t="e">
        <v>#N/A</v>
      </c>
      <c r="OCV30" t="e">
        <v>#N/A</v>
      </c>
      <c r="OCW30" t="e">
        <v>#N/A</v>
      </c>
      <c r="OCX30" t="e">
        <v>#N/A</v>
      </c>
      <c r="OCY30" t="e">
        <v>#N/A</v>
      </c>
      <c r="OCZ30" t="e">
        <v>#N/A</v>
      </c>
      <c r="ODA30" t="e">
        <v>#N/A</v>
      </c>
      <c r="ODB30" t="e">
        <v>#N/A</v>
      </c>
      <c r="ODC30" t="e">
        <v>#N/A</v>
      </c>
      <c r="ODD30" t="e">
        <v>#N/A</v>
      </c>
      <c r="ODE30" t="e">
        <v>#N/A</v>
      </c>
      <c r="ODF30" t="e">
        <v>#N/A</v>
      </c>
      <c r="ODG30" t="e">
        <v>#N/A</v>
      </c>
      <c r="ODH30" t="e">
        <v>#N/A</v>
      </c>
      <c r="ODI30" t="e">
        <v>#N/A</v>
      </c>
      <c r="ODJ30" t="e">
        <v>#N/A</v>
      </c>
      <c r="ODK30" t="e">
        <v>#N/A</v>
      </c>
      <c r="ODL30" t="e">
        <v>#N/A</v>
      </c>
      <c r="ODM30" t="e">
        <v>#N/A</v>
      </c>
      <c r="ODN30" t="e">
        <v>#N/A</v>
      </c>
      <c r="ODO30" t="e">
        <v>#N/A</v>
      </c>
      <c r="ODP30" t="e">
        <v>#N/A</v>
      </c>
      <c r="ODQ30" t="e">
        <v>#N/A</v>
      </c>
      <c r="ODR30" t="e">
        <v>#N/A</v>
      </c>
      <c r="ODS30" t="e">
        <v>#N/A</v>
      </c>
      <c r="ODT30" t="e">
        <v>#N/A</v>
      </c>
      <c r="ODU30" t="e">
        <v>#N/A</v>
      </c>
      <c r="ODV30" t="e">
        <v>#N/A</v>
      </c>
      <c r="ODW30" t="e">
        <v>#N/A</v>
      </c>
      <c r="ODX30" t="e">
        <v>#N/A</v>
      </c>
      <c r="ODY30" t="e">
        <v>#N/A</v>
      </c>
      <c r="ODZ30" t="e">
        <v>#N/A</v>
      </c>
      <c r="OEA30" t="e">
        <v>#N/A</v>
      </c>
      <c r="OEB30" t="e">
        <v>#N/A</v>
      </c>
      <c r="OEC30" t="e">
        <v>#N/A</v>
      </c>
      <c r="OED30" t="e">
        <v>#N/A</v>
      </c>
      <c r="OEE30" t="e">
        <v>#N/A</v>
      </c>
      <c r="OEF30" t="e">
        <v>#N/A</v>
      </c>
      <c r="OEG30" t="e">
        <v>#N/A</v>
      </c>
      <c r="OEH30" t="e">
        <v>#N/A</v>
      </c>
      <c r="OEI30" t="e">
        <v>#N/A</v>
      </c>
      <c r="OEJ30" t="e">
        <v>#N/A</v>
      </c>
      <c r="OEK30" t="e">
        <v>#N/A</v>
      </c>
      <c r="OEL30" t="e">
        <v>#N/A</v>
      </c>
      <c r="OEM30" t="e">
        <v>#N/A</v>
      </c>
      <c r="OEN30" t="e">
        <v>#N/A</v>
      </c>
      <c r="OEO30" t="e">
        <v>#N/A</v>
      </c>
      <c r="OEP30" t="e">
        <v>#N/A</v>
      </c>
      <c r="OEQ30" t="e">
        <v>#N/A</v>
      </c>
      <c r="OER30" t="e">
        <v>#N/A</v>
      </c>
      <c r="OES30" t="e">
        <v>#N/A</v>
      </c>
      <c r="OET30" t="e">
        <v>#N/A</v>
      </c>
      <c r="OEU30" t="e">
        <v>#N/A</v>
      </c>
      <c r="OEV30" t="e">
        <v>#N/A</v>
      </c>
      <c r="OEW30" t="e">
        <v>#N/A</v>
      </c>
      <c r="OEX30" t="e">
        <v>#N/A</v>
      </c>
      <c r="OEY30" t="e">
        <v>#N/A</v>
      </c>
      <c r="OEZ30" t="e">
        <v>#N/A</v>
      </c>
      <c r="OFA30" t="e">
        <v>#N/A</v>
      </c>
      <c r="OFB30" t="e">
        <v>#N/A</v>
      </c>
      <c r="OFC30" t="e">
        <v>#N/A</v>
      </c>
      <c r="OFD30" t="e">
        <v>#N/A</v>
      </c>
      <c r="OFE30" t="e">
        <v>#N/A</v>
      </c>
      <c r="OFF30" t="e">
        <v>#N/A</v>
      </c>
      <c r="OFG30" t="e">
        <v>#N/A</v>
      </c>
      <c r="OFH30" t="e">
        <v>#N/A</v>
      </c>
      <c r="OFI30" t="e">
        <v>#N/A</v>
      </c>
      <c r="OFJ30" t="e">
        <v>#N/A</v>
      </c>
      <c r="OFK30" t="e">
        <v>#N/A</v>
      </c>
      <c r="OFL30" t="e">
        <v>#N/A</v>
      </c>
      <c r="OFM30" t="e">
        <v>#N/A</v>
      </c>
      <c r="OFN30" t="e">
        <v>#N/A</v>
      </c>
      <c r="OFO30" t="e">
        <v>#N/A</v>
      </c>
      <c r="OFP30" t="e">
        <v>#N/A</v>
      </c>
      <c r="OFQ30" t="e">
        <v>#N/A</v>
      </c>
      <c r="OFR30" t="e">
        <v>#N/A</v>
      </c>
      <c r="OFS30" t="e">
        <v>#N/A</v>
      </c>
      <c r="OFT30" t="e">
        <v>#N/A</v>
      </c>
      <c r="OFU30" t="e">
        <v>#N/A</v>
      </c>
      <c r="OFV30" t="e">
        <v>#N/A</v>
      </c>
      <c r="OFW30" t="e">
        <v>#N/A</v>
      </c>
      <c r="OFX30" t="e">
        <v>#N/A</v>
      </c>
      <c r="OFY30" t="e">
        <v>#N/A</v>
      </c>
      <c r="OFZ30" t="e">
        <v>#N/A</v>
      </c>
      <c r="OGA30" t="e">
        <v>#N/A</v>
      </c>
      <c r="OGB30" t="e">
        <v>#N/A</v>
      </c>
      <c r="OGC30" t="e">
        <v>#N/A</v>
      </c>
      <c r="OGD30" t="e">
        <v>#N/A</v>
      </c>
      <c r="OGE30" t="e">
        <v>#N/A</v>
      </c>
      <c r="OGF30" t="e">
        <v>#N/A</v>
      </c>
      <c r="OGG30" t="e">
        <v>#N/A</v>
      </c>
      <c r="OGH30" t="e">
        <v>#N/A</v>
      </c>
      <c r="OGI30" t="e">
        <v>#N/A</v>
      </c>
      <c r="OGJ30" t="e">
        <v>#N/A</v>
      </c>
      <c r="OGK30" t="e">
        <v>#N/A</v>
      </c>
      <c r="OGL30" t="e">
        <v>#N/A</v>
      </c>
      <c r="OGM30" t="e">
        <v>#N/A</v>
      </c>
      <c r="OGN30" t="e">
        <v>#N/A</v>
      </c>
      <c r="OGO30" t="e">
        <v>#N/A</v>
      </c>
      <c r="OGP30" t="e">
        <v>#N/A</v>
      </c>
      <c r="OGQ30" t="e">
        <v>#N/A</v>
      </c>
      <c r="OGR30" t="e">
        <v>#N/A</v>
      </c>
      <c r="OGS30" t="e">
        <v>#N/A</v>
      </c>
      <c r="OGT30" t="e">
        <v>#N/A</v>
      </c>
      <c r="OGU30" t="e">
        <v>#N/A</v>
      </c>
      <c r="OGV30" t="e">
        <v>#N/A</v>
      </c>
      <c r="OGW30" t="e">
        <v>#N/A</v>
      </c>
      <c r="OGX30" t="e">
        <v>#N/A</v>
      </c>
      <c r="OGY30" t="e">
        <v>#N/A</v>
      </c>
      <c r="OGZ30" t="e">
        <v>#N/A</v>
      </c>
      <c r="OHA30" t="e">
        <v>#N/A</v>
      </c>
      <c r="OHB30" t="e">
        <v>#N/A</v>
      </c>
      <c r="OHC30" t="e">
        <v>#N/A</v>
      </c>
      <c r="OHD30" t="e">
        <v>#N/A</v>
      </c>
      <c r="OHE30" t="e">
        <v>#N/A</v>
      </c>
      <c r="OHF30" t="e">
        <v>#N/A</v>
      </c>
      <c r="OHG30" t="e">
        <v>#N/A</v>
      </c>
      <c r="OHH30" t="e">
        <v>#N/A</v>
      </c>
      <c r="OHI30" t="e">
        <v>#N/A</v>
      </c>
      <c r="OHJ30" t="e">
        <v>#N/A</v>
      </c>
      <c r="OHK30" t="e">
        <v>#N/A</v>
      </c>
      <c r="OHL30" t="e">
        <v>#N/A</v>
      </c>
      <c r="OHM30" t="e">
        <v>#N/A</v>
      </c>
      <c r="OHN30" t="e">
        <v>#N/A</v>
      </c>
      <c r="OHO30" t="e">
        <v>#N/A</v>
      </c>
      <c r="OHP30" t="e">
        <v>#N/A</v>
      </c>
      <c r="OHQ30" t="e">
        <v>#N/A</v>
      </c>
      <c r="OHR30" t="e">
        <v>#N/A</v>
      </c>
      <c r="OHS30" t="e">
        <v>#N/A</v>
      </c>
      <c r="OHT30" t="e">
        <v>#N/A</v>
      </c>
      <c r="OHU30" t="e">
        <v>#N/A</v>
      </c>
      <c r="OHV30" t="e">
        <v>#N/A</v>
      </c>
      <c r="OHW30" t="e">
        <v>#N/A</v>
      </c>
      <c r="OHX30" t="e">
        <v>#N/A</v>
      </c>
      <c r="OHY30" t="e">
        <v>#N/A</v>
      </c>
      <c r="OHZ30" t="e">
        <v>#N/A</v>
      </c>
      <c r="OIA30" t="e">
        <v>#N/A</v>
      </c>
      <c r="OIB30" t="e">
        <v>#N/A</v>
      </c>
      <c r="OIC30" t="e">
        <v>#N/A</v>
      </c>
      <c r="OID30" t="e">
        <v>#N/A</v>
      </c>
      <c r="OIE30" t="e">
        <v>#N/A</v>
      </c>
      <c r="OIF30" t="e">
        <v>#N/A</v>
      </c>
      <c r="OIG30" t="e">
        <v>#N/A</v>
      </c>
      <c r="OIH30" t="e">
        <v>#N/A</v>
      </c>
      <c r="OII30" t="e">
        <v>#N/A</v>
      </c>
      <c r="OIJ30" t="e">
        <v>#N/A</v>
      </c>
      <c r="OIK30" t="e">
        <v>#N/A</v>
      </c>
      <c r="OIL30" t="e">
        <v>#N/A</v>
      </c>
      <c r="OIM30" t="e">
        <v>#N/A</v>
      </c>
      <c r="OIN30" t="e">
        <v>#N/A</v>
      </c>
      <c r="OIO30" t="e">
        <v>#N/A</v>
      </c>
      <c r="OIP30" t="e">
        <v>#N/A</v>
      </c>
      <c r="OIQ30" t="e">
        <v>#N/A</v>
      </c>
      <c r="OIR30" t="e">
        <v>#N/A</v>
      </c>
      <c r="OIS30" t="e">
        <v>#N/A</v>
      </c>
      <c r="OIT30" t="e">
        <v>#N/A</v>
      </c>
      <c r="OIU30" t="e">
        <v>#N/A</v>
      </c>
      <c r="OIV30" t="e">
        <v>#N/A</v>
      </c>
      <c r="OIW30" t="e">
        <v>#N/A</v>
      </c>
      <c r="OIX30" t="e">
        <v>#N/A</v>
      </c>
      <c r="OIY30" t="e">
        <v>#N/A</v>
      </c>
      <c r="OIZ30" t="e">
        <v>#N/A</v>
      </c>
      <c r="OJA30" t="e">
        <v>#N/A</v>
      </c>
      <c r="OJB30" t="e">
        <v>#N/A</v>
      </c>
      <c r="OJC30" t="e">
        <v>#N/A</v>
      </c>
      <c r="OJD30" t="e">
        <v>#N/A</v>
      </c>
      <c r="OJE30" t="e">
        <v>#N/A</v>
      </c>
      <c r="OJF30" t="e">
        <v>#N/A</v>
      </c>
      <c r="OJG30" t="e">
        <v>#N/A</v>
      </c>
      <c r="OJH30" t="e">
        <v>#N/A</v>
      </c>
      <c r="OJI30" t="e">
        <v>#N/A</v>
      </c>
      <c r="OJJ30" t="e">
        <v>#N/A</v>
      </c>
      <c r="OJK30" t="e">
        <v>#N/A</v>
      </c>
      <c r="OJL30" t="e">
        <v>#N/A</v>
      </c>
      <c r="OJM30" t="e">
        <v>#N/A</v>
      </c>
      <c r="OJN30" t="e">
        <v>#N/A</v>
      </c>
      <c r="OJO30" t="e">
        <v>#N/A</v>
      </c>
      <c r="OJP30" t="e">
        <v>#N/A</v>
      </c>
      <c r="OJQ30" t="e">
        <v>#N/A</v>
      </c>
      <c r="OJR30" t="e">
        <v>#N/A</v>
      </c>
      <c r="OJS30" t="e">
        <v>#N/A</v>
      </c>
      <c r="OJT30" t="e">
        <v>#N/A</v>
      </c>
      <c r="OJU30" t="e">
        <v>#N/A</v>
      </c>
      <c r="OJV30" t="e">
        <v>#N/A</v>
      </c>
      <c r="OJW30" t="e">
        <v>#N/A</v>
      </c>
      <c r="OJX30" t="e">
        <v>#N/A</v>
      </c>
      <c r="OJY30" t="e">
        <v>#N/A</v>
      </c>
      <c r="OJZ30" t="e">
        <v>#N/A</v>
      </c>
      <c r="OKA30" t="e">
        <v>#N/A</v>
      </c>
      <c r="OKB30" t="e">
        <v>#N/A</v>
      </c>
      <c r="OKC30" t="e">
        <v>#N/A</v>
      </c>
      <c r="OKD30" t="e">
        <v>#N/A</v>
      </c>
      <c r="OKE30" t="e">
        <v>#N/A</v>
      </c>
      <c r="OKF30" t="e">
        <v>#N/A</v>
      </c>
      <c r="OKG30" t="e">
        <v>#N/A</v>
      </c>
      <c r="OKH30" t="e">
        <v>#N/A</v>
      </c>
      <c r="OKI30" t="e">
        <v>#N/A</v>
      </c>
      <c r="OKJ30" t="e">
        <v>#N/A</v>
      </c>
      <c r="OKK30" t="e">
        <v>#N/A</v>
      </c>
      <c r="OKL30" t="e">
        <v>#N/A</v>
      </c>
      <c r="OKM30" t="e">
        <v>#N/A</v>
      </c>
      <c r="OKN30" t="e">
        <v>#N/A</v>
      </c>
      <c r="OKO30" t="e">
        <v>#N/A</v>
      </c>
      <c r="OKP30" t="e">
        <v>#N/A</v>
      </c>
      <c r="OKQ30" t="e">
        <v>#N/A</v>
      </c>
      <c r="OKR30" t="e">
        <v>#N/A</v>
      </c>
      <c r="OKS30" t="e">
        <v>#N/A</v>
      </c>
      <c r="OKT30" t="e">
        <v>#N/A</v>
      </c>
      <c r="OKU30" t="e">
        <v>#N/A</v>
      </c>
      <c r="OKV30" t="e">
        <v>#N/A</v>
      </c>
      <c r="OKW30" t="e">
        <v>#N/A</v>
      </c>
      <c r="OKX30" t="e">
        <v>#N/A</v>
      </c>
      <c r="OKY30" t="e">
        <v>#N/A</v>
      </c>
      <c r="OKZ30" t="e">
        <v>#N/A</v>
      </c>
      <c r="OLA30" t="e">
        <v>#N/A</v>
      </c>
      <c r="OLB30" t="e">
        <v>#N/A</v>
      </c>
      <c r="OLC30" t="e">
        <v>#N/A</v>
      </c>
      <c r="OLD30" t="e">
        <v>#N/A</v>
      </c>
      <c r="OLE30" t="e">
        <v>#N/A</v>
      </c>
      <c r="OLF30" t="e">
        <v>#N/A</v>
      </c>
      <c r="OLG30" t="e">
        <v>#N/A</v>
      </c>
      <c r="OLH30" t="e">
        <v>#N/A</v>
      </c>
      <c r="OLI30" t="e">
        <v>#N/A</v>
      </c>
      <c r="OLJ30" t="e">
        <v>#N/A</v>
      </c>
      <c r="OLK30" t="e">
        <v>#N/A</v>
      </c>
      <c r="OLL30" t="e">
        <v>#N/A</v>
      </c>
      <c r="OLM30" t="e">
        <v>#N/A</v>
      </c>
      <c r="OLN30" t="e">
        <v>#N/A</v>
      </c>
      <c r="OLO30" t="e">
        <v>#N/A</v>
      </c>
      <c r="OLP30" t="e">
        <v>#N/A</v>
      </c>
      <c r="OLQ30" t="e">
        <v>#N/A</v>
      </c>
      <c r="OLR30" t="e">
        <v>#N/A</v>
      </c>
      <c r="OLS30" t="e">
        <v>#N/A</v>
      </c>
      <c r="OLT30" t="e">
        <v>#N/A</v>
      </c>
      <c r="OLU30" t="e">
        <v>#N/A</v>
      </c>
      <c r="OLV30" t="e">
        <v>#N/A</v>
      </c>
      <c r="OLW30" t="e">
        <v>#N/A</v>
      </c>
      <c r="OLX30" t="e">
        <v>#N/A</v>
      </c>
      <c r="OLY30" t="e">
        <v>#N/A</v>
      </c>
      <c r="OLZ30" t="e">
        <v>#N/A</v>
      </c>
      <c r="OMA30" t="e">
        <v>#N/A</v>
      </c>
      <c r="OMB30" t="e">
        <v>#N/A</v>
      </c>
      <c r="OMC30" t="e">
        <v>#N/A</v>
      </c>
      <c r="OMD30" t="e">
        <v>#N/A</v>
      </c>
      <c r="OME30" t="e">
        <v>#N/A</v>
      </c>
      <c r="OMF30" t="e">
        <v>#N/A</v>
      </c>
      <c r="OMG30" t="e">
        <v>#N/A</v>
      </c>
      <c r="OMH30" t="e">
        <v>#N/A</v>
      </c>
      <c r="OMI30" t="e">
        <v>#N/A</v>
      </c>
      <c r="OMJ30" t="e">
        <v>#N/A</v>
      </c>
      <c r="OMK30" t="e">
        <v>#N/A</v>
      </c>
      <c r="OML30" t="e">
        <v>#N/A</v>
      </c>
      <c r="OMM30" t="e">
        <v>#N/A</v>
      </c>
      <c r="OMN30" t="e">
        <v>#N/A</v>
      </c>
      <c r="OMO30" t="e">
        <v>#N/A</v>
      </c>
      <c r="OMP30" t="e">
        <v>#N/A</v>
      </c>
      <c r="OMQ30" t="e">
        <v>#N/A</v>
      </c>
      <c r="OMR30" t="e">
        <v>#N/A</v>
      </c>
      <c r="OMS30" t="e">
        <v>#N/A</v>
      </c>
      <c r="OMT30" t="e">
        <v>#N/A</v>
      </c>
      <c r="OMU30" t="e">
        <v>#N/A</v>
      </c>
      <c r="OMV30" t="e">
        <v>#N/A</v>
      </c>
      <c r="OMW30" t="e">
        <v>#N/A</v>
      </c>
      <c r="OMX30" t="e">
        <v>#N/A</v>
      </c>
      <c r="OMY30" t="e">
        <v>#N/A</v>
      </c>
      <c r="OMZ30" t="e">
        <v>#N/A</v>
      </c>
      <c r="ONA30" t="e">
        <v>#N/A</v>
      </c>
      <c r="ONB30" t="e">
        <v>#N/A</v>
      </c>
      <c r="ONC30" t="e">
        <v>#N/A</v>
      </c>
      <c r="OND30" t="e">
        <v>#N/A</v>
      </c>
      <c r="ONE30" t="e">
        <v>#N/A</v>
      </c>
      <c r="ONF30" t="e">
        <v>#N/A</v>
      </c>
      <c r="ONG30" t="e">
        <v>#N/A</v>
      </c>
      <c r="ONH30" t="e">
        <v>#N/A</v>
      </c>
      <c r="ONI30" t="e">
        <v>#N/A</v>
      </c>
      <c r="ONJ30" t="e">
        <v>#N/A</v>
      </c>
      <c r="ONK30" t="e">
        <v>#N/A</v>
      </c>
      <c r="ONL30" t="e">
        <v>#N/A</v>
      </c>
      <c r="ONM30" t="e">
        <v>#N/A</v>
      </c>
      <c r="ONN30" t="e">
        <v>#N/A</v>
      </c>
      <c r="ONO30" t="e">
        <v>#N/A</v>
      </c>
      <c r="ONP30" t="e">
        <v>#N/A</v>
      </c>
      <c r="ONQ30" t="e">
        <v>#N/A</v>
      </c>
      <c r="ONR30" t="e">
        <v>#N/A</v>
      </c>
      <c r="ONS30" t="e">
        <v>#N/A</v>
      </c>
      <c r="ONT30" t="e">
        <v>#N/A</v>
      </c>
      <c r="ONU30" t="e">
        <v>#N/A</v>
      </c>
      <c r="ONV30" t="e">
        <v>#N/A</v>
      </c>
      <c r="ONW30" t="e">
        <v>#N/A</v>
      </c>
      <c r="ONX30" t="e">
        <v>#N/A</v>
      </c>
      <c r="ONY30" t="e">
        <v>#N/A</v>
      </c>
      <c r="ONZ30" t="e">
        <v>#N/A</v>
      </c>
      <c r="OOA30" t="e">
        <v>#N/A</v>
      </c>
      <c r="OOB30" t="e">
        <v>#N/A</v>
      </c>
      <c r="OOC30" t="e">
        <v>#N/A</v>
      </c>
      <c r="OOD30" t="e">
        <v>#N/A</v>
      </c>
      <c r="OOE30" t="e">
        <v>#N/A</v>
      </c>
      <c r="OOF30" t="e">
        <v>#N/A</v>
      </c>
      <c r="OOG30" t="e">
        <v>#N/A</v>
      </c>
      <c r="OOH30" t="e">
        <v>#N/A</v>
      </c>
      <c r="OOI30" t="e">
        <v>#N/A</v>
      </c>
      <c r="OOJ30" t="e">
        <v>#N/A</v>
      </c>
      <c r="OOK30" t="e">
        <v>#N/A</v>
      </c>
      <c r="OOL30" t="e">
        <v>#N/A</v>
      </c>
      <c r="OOM30" t="e">
        <v>#N/A</v>
      </c>
      <c r="OON30" t="e">
        <v>#N/A</v>
      </c>
      <c r="OOO30" t="e">
        <v>#N/A</v>
      </c>
      <c r="OOP30" t="e">
        <v>#N/A</v>
      </c>
      <c r="OOQ30" t="e">
        <v>#N/A</v>
      </c>
      <c r="OOR30" t="e">
        <v>#N/A</v>
      </c>
      <c r="OOS30" t="e">
        <v>#N/A</v>
      </c>
      <c r="OOT30" t="e">
        <v>#N/A</v>
      </c>
      <c r="OOU30" t="e">
        <v>#N/A</v>
      </c>
      <c r="OOV30" t="e">
        <v>#N/A</v>
      </c>
      <c r="OOW30" t="e">
        <v>#N/A</v>
      </c>
      <c r="OOX30" t="e">
        <v>#N/A</v>
      </c>
      <c r="OOY30" t="e">
        <v>#N/A</v>
      </c>
      <c r="OOZ30" t="e">
        <v>#N/A</v>
      </c>
      <c r="OPA30" t="e">
        <v>#N/A</v>
      </c>
      <c r="OPB30" t="e">
        <v>#N/A</v>
      </c>
      <c r="OPC30" t="e">
        <v>#N/A</v>
      </c>
      <c r="OPD30" t="e">
        <v>#N/A</v>
      </c>
      <c r="OPE30" t="e">
        <v>#N/A</v>
      </c>
      <c r="OPF30" t="e">
        <v>#N/A</v>
      </c>
      <c r="OPG30" t="e">
        <v>#N/A</v>
      </c>
      <c r="OPH30" t="e">
        <v>#N/A</v>
      </c>
      <c r="OPI30" t="e">
        <v>#N/A</v>
      </c>
      <c r="OPJ30" t="e">
        <v>#N/A</v>
      </c>
      <c r="OPK30" t="e">
        <v>#N/A</v>
      </c>
      <c r="OPL30" t="e">
        <v>#N/A</v>
      </c>
      <c r="OPM30" t="e">
        <v>#N/A</v>
      </c>
      <c r="OPN30" t="e">
        <v>#N/A</v>
      </c>
      <c r="OPO30" t="e">
        <v>#N/A</v>
      </c>
      <c r="OPP30" t="e">
        <v>#N/A</v>
      </c>
      <c r="OPQ30" t="e">
        <v>#N/A</v>
      </c>
      <c r="OPR30" t="e">
        <v>#N/A</v>
      </c>
      <c r="OPS30" t="e">
        <v>#N/A</v>
      </c>
      <c r="OPT30" t="e">
        <v>#N/A</v>
      </c>
      <c r="OPU30" t="e">
        <v>#N/A</v>
      </c>
      <c r="OPV30" t="e">
        <v>#N/A</v>
      </c>
      <c r="OPW30" t="e">
        <v>#N/A</v>
      </c>
      <c r="OPX30" t="e">
        <v>#N/A</v>
      </c>
      <c r="OPY30" t="e">
        <v>#N/A</v>
      </c>
      <c r="OPZ30" t="e">
        <v>#N/A</v>
      </c>
      <c r="OQA30" t="e">
        <v>#N/A</v>
      </c>
      <c r="OQB30" t="e">
        <v>#N/A</v>
      </c>
      <c r="OQC30" t="e">
        <v>#N/A</v>
      </c>
      <c r="OQD30" t="e">
        <v>#N/A</v>
      </c>
      <c r="OQE30" t="e">
        <v>#N/A</v>
      </c>
      <c r="OQF30" t="e">
        <v>#N/A</v>
      </c>
      <c r="OQG30" t="e">
        <v>#N/A</v>
      </c>
      <c r="OQH30" t="e">
        <v>#N/A</v>
      </c>
      <c r="OQI30" t="e">
        <v>#N/A</v>
      </c>
      <c r="OQJ30" t="e">
        <v>#N/A</v>
      </c>
      <c r="OQK30" t="e">
        <v>#N/A</v>
      </c>
      <c r="OQL30" t="e">
        <v>#N/A</v>
      </c>
      <c r="OQM30" t="e">
        <v>#N/A</v>
      </c>
      <c r="OQN30" t="e">
        <v>#N/A</v>
      </c>
      <c r="OQO30" t="e">
        <v>#N/A</v>
      </c>
      <c r="OQP30" t="e">
        <v>#N/A</v>
      </c>
      <c r="OQQ30" t="e">
        <v>#N/A</v>
      </c>
      <c r="OQR30" t="e">
        <v>#N/A</v>
      </c>
      <c r="OQS30" t="e">
        <v>#N/A</v>
      </c>
      <c r="OQT30" t="e">
        <v>#N/A</v>
      </c>
      <c r="OQU30" t="e">
        <v>#N/A</v>
      </c>
      <c r="OQV30" t="e">
        <v>#N/A</v>
      </c>
      <c r="OQW30" t="e">
        <v>#N/A</v>
      </c>
      <c r="OQX30" t="e">
        <v>#N/A</v>
      </c>
      <c r="OQY30" t="e">
        <v>#N/A</v>
      </c>
      <c r="OQZ30" t="e">
        <v>#N/A</v>
      </c>
      <c r="ORA30" t="e">
        <v>#N/A</v>
      </c>
      <c r="ORB30" t="e">
        <v>#N/A</v>
      </c>
      <c r="ORC30" t="e">
        <v>#N/A</v>
      </c>
      <c r="ORD30" t="e">
        <v>#N/A</v>
      </c>
      <c r="ORE30" t="e">
        <v>#N/A</v>
      </c>
      <c r="ORF30" t="e">
        <v>#N/A</v>
      </c>
      <c r="ORG30" t="e">
        <v>#N/A</v>
      </c>
      <c r="ORH30" t="e">
        <v>#N/A</v>
      </c>
      <c r="ORI30" t="e">
        <v>#N/A</v>
      </c>
      <c r="ORJ30" t="e">
        <v>#N/A</v>
      </c>
      <c r="ORK30" t="e">
        <v>#N/A</v>
      </c>
      <c r="ORL30" t="e">
        <v>#N/A</v>
      </c>
      <c r="ORM30" t="e">
        <v>#N/A</v>
      </c>
      <c r="ORN30" t="e">
        <v>#N/A</v>
      </c>
      <c r="ORO30" t="e">
        <v>#N/A</v>
      </c>
      <c r="ORP30" t="e">
        <v>#N/A</v>
      </c>
      <c r="ORQ30" t="e">
        <v>#N/A</v>
      </c>
      <c r="ORR30" t="e">
        <v>#N/A</v>
      </c>
      <c r="ORS30" t="e">
        <v>#N/A</v>
      </c>
      <c r="ORT30" t="e">
        <v>#N/A</v>
      </c>
      <c r="ORU30" t="e">
        <v>#N/A</v>
      </c>
      <c r="ORV30" t="e">
        <v>#N/A</v>
      </c>
      <c r="ORW30" t="e">
        <v>#N/A</v>
      </c>
      <c r="ORX30" t="e">
        <v>#N/A</v>
      </c>
      <c r="ORY30" t="e">
        <v>#N/A</v>
      </c>
      <c r="ORZ30" t="e">
        <v>#N/A</v>
      </c>
      <c r="OSA30" t="e">
        <v>#N/A</v>
      </c>
      <c r="OSB30" t="e">
        <v>#N/A</v>
      </c>
      <c r="OSC30" t="e">
        <v>#N/A</v>
      </c>
      <c r="OSD30" t="e">
        <v>#N/A</v>
      </c>
      <c r="OSE30" t="e">
        <v>#N/A</v>
      </c>
      <c r="OSF30" t="e">
        <v>#N/A</v>
      </c>
      <c r="OSG30" t="e">
        <v>#N/A</v>
      </c>
      <c r="OSH30" t="e">
        <v>#N/A</v>
      </c>
      <c r="OSI30" t="e">
        <v>#N/A</v>
      </c>
      <c r="OSJ30" t="e">
        <v>#N/A</v>
      </c>
      <c r="OSK30" t="e">
        <v>#N/A</v>
      </c>
      <c r="OSL30" t="e">
        <v>#N/A</v>
      </c>
      <c r="OSM30" t="e">
        <v>#N/A</v>
      </c>
      <c r="OSN30" t="e">
        <v>#N/A</v>
      </c>
      <c r="OSO30" t="e">
        <v>#N/A</v>
      </c>
      <c r="OSP30" t="e">
        <v>#N/A</v>
      </c>
      <c r="OSQ30" t="e">
        <v>#N/A</v>
      </c>
      <c r="OSR30" t="e">
        <v>#N/A</v>
      </c>
      <c r="OSS30" t="e">
        <v>#N/A</v>
      </c>
      <c r="OST30" t="e">
        <v>#N/A</v>
      </c>
      <c r="OSU30" t="e">
        <v>#N/A</v>
      </c>
      <c r="OSV30" t="e">
        <v>#N/A</v>
      </c>
      <c r="OSW30" t="e">
        <v>#N/A</v>
      </c>
      <c r="OSX30" t="e">
        <v>#N/A</v>
      </c>
      <c r="OSY30" t="e">
        <v>#N/A</v>
      </c>
      <c r="OSZ30" t="e">
        <v>#N/A</v>
      </c>
      <c r="OTA30" t="e">
        <v>#N/A</v>
      </c>
      <c r="OTB30" t="e">
        <v>#N/A</v>
      </c>
      <c r="OTC30" t="e">
        <v>#N/A</v>
      </c>
      <c r="OTD30" t="e">
        <v>#N/A</v>
      </c>
      <c r="OTE30" t="e">
        <v>#N/A</v>
      </c>
      <c r="OTF30" t="e">
        <v>#N/A</v>
      </c>
      <c r="OTG30" t="e">
        <v>#N/A</v>
      </c>
      <c r="OTH30" t="e">
        <v>#N/A</v>
      </c>
      <c r="OTI30" t="e">
        <v>#N/A</v>
      </c>
      <c r="OTJ30" t="e">
        <v>#N/A</v>
      </c>
      <c r="OTK30" t="e">
        <v>#N/A</v>
      </c>
      <c r="OTL30" t="e">
        <v>#N/A</v>
      </c>
      <c r="OTM30" t="e">
        <v>#N/A</v>
      </c>
      <c r="OTN30" t="e">
        <v>#N/A</v>
      </c>
      <c r="OTO30" t="e">
        <v>#N/A</v>
      </c>
      <c r="OTP30" t="e">
        <v>#N/A</v>
      </c>
      <c r="OTQ30" t="e">
        <v>#N/A</v>
      </c>
      <c r="OTR30" t="e">
        <v>#N/A</v>
      </c>
      <c r="OTS30" t="e">
        <v>#N/A</v>
      </c>
      <c r="OTT30" t="e">
        <v>#N/A</v>
      </c>
      <c r="OTU30" t="e">
        <v>#N/A</v>
      </c>
      <c r="OTV30" t="e">
        <v>#N/A</v>
      </c>
      <c r="OTW30" t="e">
        <v>#N/A</v>
      </c>
      <c r="OTX30" t="e">
        <v>#N/A</v>
      </c>
      <c r="OTY30" t="e">
        <v>#N/A</v>
      </c>
      <c r="OTZ30" t="e">
        <v>#N/A</v>
      </c>
      <c r="OUA30" t="e">
        <v>#N/A</v>
      </c>
      <c r="OUB30" t="e">
        <v>#N/A</v>
      </c>
      <c r="OUC30" t="e">
        <v>#N/A</v>
      </c>
      <c r="OUD30" t="e">
        <v>#N/A</v>
      </c>
      <c r="OUE30" t="e">
        <v>#N/A</v>
      </c>
      <c r="OUF30" t="e">
        <v>#N/A</v>
      </c>
      <c r="OUG30" t="e">
        <v>#N/A</v>
      </c>
      <c r="OUH30" t="e">
        <v>#N/A</v>
      </c>
      <c r="OUI30" t="e">
        <v>#N/A</v>
      </c>
      <c r="OUJ30" t="e">
        <v>#N/A</v>
      </c>
      <c r="OUK30" t="e">
        <v>#N/A</v>
      </c>
      <c r="OUL30" t="e">
        <v>#N/A</v>
      </c>
      <c r="OUM30" t="e">
        <v>#N/A</v>
      </c>
      <c r="OUN30" t="e">
        <v>#N/A</v>
      </c>
      <c r="OUO30" t="e">
        <v>#N/A</v>
      </c>
      <c r="OUP30" t="e">
        <v>#N/A</v>
      </c>
      <c r="OUQ30" t="e">
        <v>#N/A</v>
      </c>
      <c r="OUR30" t="e">
        <v>#N/A</v>
      </c>
      <c r="OUS30" t="e">
        <v>#N/A</v>
      </c>
      <c r="OUT30" t="e">
        <v>#N/A</v>
      </c>
      <c r="OUU30" t="e">
        <v>#N/A</v>
      </c>
      <c r="OUV30" t="e">
        <v>#N/A</v>
      </c>
      <c r="OUW30" t="e">
        <v>#N/A</v>
      </c>
      <c r="OUX30" t="e">
        <v>#N/A</v>
      </c>
      <c r="OUY30" t="e">
        <v>#N/A</v>
      </c>
      <c r="OUZ30" t="e">
        <v>#N/A</v>
      </c>
      <c r="OVA30" t="e">
        <v>#N/A</v>
      </c>
      <c r="OVB30" t="e">
        <v>#N/A</v>
      </c>
      <c r="OVC30" t="e">
        <v>#N/A</v>
      </c>
      <c r="OVD30" t="e">
        <v>#N/A</v>
      </c>
      <c r="OVE30" t="e">
        <v>#N/A</v>
      </c>
      <c r="OVF30" t="e">
        <v>#N/A</v>
      </c>
      <c r="OVG30" t="e">
        <v>#N/A</v>
      </c>
      <c r="OVH30" t="e">
        <v>#N/A</v>
      </c>
      <c r="OVI30" t="e">
        <v>#N/A</v>
      </c>
      <c r="OVJ30" t="e">
        <v>#N/A</v>
      </c>
      <c r="OVK30" t="e">
        <v>#N/A</v>
      </c>
      <c r="OVL30" t="e">
        <v>#N/A</v>
      </c>
      <c r="OVM30" t="e">
        <v>#N/A</v>
      </c>
      <c r="OVN30" t="e">
        <v>#N/A</v>
      </c>
      <c r="OVO30" t="e">
        <v>#N/A</v>
      </c>
      <c r="OVP30" t="e">
        <v>#N/A</v>
      </c>
      <c r="OVQ30" t="e">
        <v>#N/A</v>
      </c>
      <c r="OVR30" t="e">
        <v>#N/A</v>
      </c>
      <c r="OVS30" t="e">
        <v>#N/A</v>
      </c>
      <c r="OVT30" t="e">
        <v>#N/A</v>
      </c>
      <c r="OVU30" t="e">
        <v>#N/A</v>
      </c>
      <c r="OVV30" t="e">
        <v>#N/A</v>
      </c>
      <c r="OVW30" t="e">
        <v>#N/A</v>
      </c>
      <c r="OVX30" t="e">
        <v>#N/A</v>
      </c>
      <c r="OVY30" t="e">
        <v>#N/A</v>
      </c>
      <c r="OVZ30" t="e">
        <v>#N/A</v>
      </c>
      <c r="OWA30" t="e">
        <v>#N/A</v>
      </c>
      <c r="OWB30" t="e">
        <v>#N/A</v>
      </c>
      <c r="OWC30" t="e">
        <v>#N/A</v>
      </c>
      <c r="OWD30" t="e">
        <v>#N/A</v>
      </c>
      <c r="OWE30" t="e">
        <v>#N/A</v>
      </c>
      <c r="OWF30" t="e">
        <v>#N/A</v>
      </c>
      <c r="OWG30" t="e">
        <v>#N/A</v>
      </c>
      <c r="OWH30" t="e">
        <v>#N/A</v>
      </c>
      <c r="OWI30" t="e">
        <v>#N/A</v>
      </c>
      <c r="OWJ30" t="e">
        <v>#N/A</v>
      </c>
      <c r="OWK30" t="e">
        <v>#N/A</v>
      </c>
      <c r="OWL30" t="e">
        <v>#N/A</v>
      </c>
      <c r="OWM30" t="e">
        <v>#N/A</v>
      </c>
      <c r="OWN30" t="e">
        <v>#N/A</v>
      </c>
      <c r="OWO30" t="e">
        <v>#N/A</v>
      </c>
      <c r="OWP30" t="e">
        <v>#N/A</v>
      </c>
      <c r="OWQ30" t="e">
        <v>#N/A</v>
      </c>
      <c r="OWR30" t="e">
        <v>#N/A</v>
      </c>
      <c r="OWS30" t="e">
        <v>#N/A</v>
      </c>
      <c r="OWT30" t="e">
        <v>#N/A</v>
      </c>
      <c r="OWU30" t="e">
        <v>#N/A</v>
      </c>
      <c r="OWV30" t="e">
        <v>#N/A</v>
      </c>
      <c r="OWW30" t="e">
        <v>#N/A</v>
      </c>
      <c r="OWX30" t="e">
        <v>#N/A</v>
      </c>
      <c r="OWY30" t="e">
        <v>#N/A</v>
      </c>
      <c r="OWZ30" t="e">
        <v>#N/A</v>
      </c>
      <c r="OXA30" t="e">
        <v>#N/A</v>
      </c>
      <c r="OXB30" t="e">
        <v>#N/A</v>
      </c>
      <c r="OXC30" t="e">
        <v>#N/A</v>
      </c>
      <c r="OXD30" t="e">
        <v>#N/A</v>
      </c>
      <c r="OXE30" t="e">
        <v>#N/A</v>
      </c>
      <c r="OXF30" t="e">
        <v>#N/A</v>
      </c>
      <c r="OXG30" t="e">
        <v>#N/A</v>
      </c>
      <c r="OXH30" t="e">
        <v>#N/A</v>
      </c>
      <c r="OXI30" t="e">
        <v>#N/A</v>
      </c>
      <c r="OXJ30" t="e">
        <v>#N/A</v>
      </c>
      <c r="OXK30" t="e">
        <v>#N/A</v>
      </c>
      <c r="OXL30" t="e">
        <v>#N/A</v>
      </c>
      <c r="OXM30" t="e">
        <v>#N/A</v>
      </c>
      <c r="OXN30" t="e">
        <v>#N/A</v>
      </c>
      <c r="OXO30" t="e">
        <v>#N/A</v>
      </c>
      <c r="OXP30" t="e">
        <v>#N/A</v>
      </c>
      <c r="OXQ30" t="e">
        <v>#N/A</v>
      </c>
      <c r="OXR30" t="e">
        <v>#N/A</v>
      </c>
      <c r="OXS30" t="e">
        <v>#N/A</v>
      </c>
      <c r="OXT30" t="e">
        <v>#N/A</v>
      </c>
      <c r="OXU30" t="e">
        <v>#N/A</v>
      </c>
      <c r="OXV30" t="e">
        <v>#N/A</v>
      </c>
      <c r="OXW30" t="e">
        <v>#N/A</v>
      </c>
      <c r="OXX30" t="e">
        <v>#N/A</v>
      </c>
      <c r="OXY30" t="e">
        <v>#N/A</v>
      </c>
      <c r="OXZ30" t="e">
        <v>#N/A</v>
      </c>
      <c r="OYA30" t="e">
        <v>#N/A</v>
      </c>
      <c r="OYB30" t="e">
        <v>#N/A</v>
      </c>
      <c r="OYC30" t="e">
        <v>#N/A</v>
      </c>
      <c r="OYD30" t="e">
        <v>#N/A</v>
      </c>
      <c r="OYE30" t="e">
        <v>#N/A</v>
      </c>
      <c r="OYF30" t="e">
        <v>#N/A</v>
      </c>
      <c r="OYG30" t="e">
        <v>#N/A</v>
      </c>
      <c r="OYH30" t="e">
        <v>#N/A</v>
      </c>
      <c r="OYI30" t="e">
        <v>#N/A</v>
      </c>
      <c r="OYJ30" t="e">
        <v>#N/A</v>
      </c>
      <c r="OYK30" t="e">
        <v>#N/A</v>
      </c>
      <c r="OYL30" t="e">
        <v>#N/A</v>
      </c>
      <c r="OYM30" t="e">
        <v>#N/A</v>
      </c>
      <c r="OYN30" t="e">
        <v>#N/A</v>
      </c>
      <c r="OYO30" t="e">
        <v>#N/A</v>
      </c>
      <c r="OYP30" t="e">
        <v>#N/A</v>
      </c>
      <c r="OYQ30" t="e">
        <v>#N/A</v>
      </c>
      <c r="OYR30" t="e">
        <v>#N/A</v>
      </c>
      <c r="OYS30" t="e">
        <v>#N/A</v>
      </c>
      <c r="OYT30" t="e">
        <v>#N/A</v>
      </c>
      <c r="OYU30" t="e">
        <v>#N/A</v>
      </c>
      <c r="OYV30" t="e">
        <v>#N/A</v>
      </c>
      <c r="OYW30" t="e">
        <v>#N/A</v>
      </c>
      <c r="OYX30" t="e">
        <v>#N/A</v>
      </c>
      <c r="OYY30" t="e">
        <v>#N/A</v>
      </c>
      <c r="OYZ30" t="e">
        <v>#N/A</v>
      </c>
      <c r="OZA30" t="e">
        <v>#N/A</v>
      </c>
      <c r="OZB30" t="e">
        <v>#N/A</v>
      </c>
      <c r="OZC30" t="e">
        <v>#N/A</v>
      </c>
      <c r="OZD30" t="e">
        <v>#N/A</v>
      </c>
      <c r="OZE30" t="e">
        <v>#N/A</v>
      </c>
      <c r="OZF30" t="e">
        <v>#N/A</v>
      </c>
      <c r="OZG30" t="e">
        <v>#N/A</v>
      </c>
      <c r="OZH30" t="e">
        <v>#N/A</v>
      </c>
      <c r="OZI30" t="e">
        <v>#N/A</v>
      </c>
      <c r="OZJ30" t="e">
        <v>#N/A</v>
      </c>
      <c r="OZK30" t="e">
        <v>#N/A</v>
      </c>
      <c r="OZL30" t="e">
        <v>#N/A</v>
      </c>
      <c r="OZM30" t="e">
        <v>#N/A</v>
      </c>
      <c r="OZN30" t="e">
        <v>#N/A</v>
      </c>
      <c r="OZO30" t="e">
        <v>#N/A</v>
      </c>
      <c r="OZP30" t="e">
        <v>#N/A</v>
      </c>
      <c r="OZQ30" t="e">
        <v>#N/A</v>
      </c>
      <c r="OZR30" t="e">
        <v>#N/A</v>
      </c>
      <c r="OZS30" t="e">
        <v>#N/A</v>
      </c>
      <c r="OZT30" t="e">
        <v>#N/A</v>
      </c>
      <c r="OZU30" t="e">
        <v>#N/A</v>
      </c>
      <c r="OZV30" t="e">
        <v>#N/A</v>
      </c>
      <c r="OZW30" t="e">
        <v>#N/A</v>
      </c>
      <c r="OZX30" t="e">
        <v>#N/A</v>
      </c>
      <c r="OZY30" t="e">
        <v>#N/A</v>
      </c>
      <c r="OZZ30" t="e">
        <v>#N/A</v>
      </c>
      <c r="PAA30" t="e">
        <v>#N/A</v>
      </c>
      <c r="PAB30" t="e">
        <v>#N/A</v>
      </c>
      <c r="PAC30" t="e">
        <v>#N/A</v>
      </c>
      <c r="PAD30" t="e">
        <v>#N/A</v>
      </c>
      <c r="PAE30" t="e">
        <v>#N/A</v>
      </c>
      <c r="PAF30" t="e">
        <v>#N/A</v>
      </c>
      <c r="PAG30" t="e">
        <v>#N/A</v>
      </c>
      <c r="PAH30" t="e">
        <v>#N/A</v>
      </c>
      <c r="PAI30" t="e">
        <v>#N/A</v>
      </c>
      <c r="PAJ30" t="e">
        <v>#N/A</v>
      </c>
      <c r="PAK30" t="e">
        <v>#N/A</v>
      </c>
      <c r="PAL30" t="e">
        <v>#N/A</v>
      </c>
      <c r="PAM30" t="e">
        <v>#N/A</v>
      </c>
      <c r="PAN30" t="e">
        <v>#N/A</v>
      </c>
      <c r="PAO30" t="e">
        <v>#N/A</v>
      </c>
      <c r="PAP30" t="e">
        <v>#N/A</v>
      </c>
      <c r="PAQ30" t="e">
        <v>#N/A</v>
      </c>
      <c r="PAR30" t="e">
        <v>#N/A</v>
      </c>
      <c r="PAS30" t="e">
        <v>#N/A</v>
      </c>
      <c r="PAT30" t="e">
        <v>#N/A</v>
      </c>
      <c r="PAU30" t="e">
        <v>#N/A</v>
      </c>
      <c r="PAV30" t="e">
        <v>#N/A</v>
      </c>
      <c r="PAW30" t="e">
        <v>#N/A</v>
      </c>
      <c r="PAX30" t="e">
        <v>#N/A</v>
      </c>
      <c r="PAY30" t="e">
        <v>#N/A</v>
      </c>
      <c r="PAZ30" t="e">
        <v>#N/A</v>
      </c>
      <c r="PBA30" t="e">
        <v>#N/A</v>
      </c>
      <c r="PBB30" t="e">
        <v>#N/A</v>
      </c>
      <c r="PBC30" t="e">
        <v>#N/A</v>
      </c>
      <c r="PBD30" t="e">
        <v>#N/A</v>
      </c>
      <c r="PBE30" t="e">
        <v>#N/A</v>
      </c>
      <c r="PBF30" t="e">
        <v>#N/A</v>
      </c>
      <c r="PBG30" t="e">
        <v>#N/A</v>
      </c>
      <c r="PBH30" t="e">
        <v>#N/A</v>
      </c>
      <c r="PBI30" t="e">
        <v>#N/A</v>
      </c>
      <c r="PBJ30" t="e">
        <v>#N/A</v>
      </c>
      <c r="PBK30" t="e">
        <v>#N/A</v>
      </c>
      <c r="PBL30" t="e">
        <v>#N/A</v>
      </c>
      <c r="PBM30" t="e">
        <v>#N/A</v>
      </c>
      <c r="PBN30" t="e">
        <v>#N/A</v>
      </c>
      <c r="PBO30" t="e">
        <v>#N/A</v>
      </c>
      <c r="PBP30" t="e">
        <v>#N/A</v>
      </c>
      <c r="PBQ30" t="e">
        <v>#N/A</v>
      </c>
      <c r="PBR30" t="e">
        <v>#N/A</v>
      </c>
      <c r="PBS30" t="e">
        <v>#N/A</v>
      </c>
      <c r="PBT30" t="e">
        <v>#N/A</v>
      </c>
      <c r="PBU30" t="e">
        <v>#N/A</v>
      </c>
      <c r="PBV30" t="e">
        <v>#N/A</v>
      </c>
      <c r="PBW30" t="e">
        <v>#N/A</v>
      </c>
      <c r="PBX30" t="e">
        <v>#N/A</v>
      </c>
      <c r="PBY30" t="e">
        <v>#N/A</v>
      </c>
      <c r="PBZ30" t="e">
        <v>#N/A</v>
      </c>
      <c r="PCA30" t="e">
        <v>#N/A</v>
      </c>
      <c r="PCB30" t="e">
        <v>#N/A</v>
      </c>
      <c r="PCC30" t="e">
        <v>#N/A</v>
      </c>
      <c r="PCD30" t="e">
        <v>#N/A</v>
      </c>
      <c r="PCE30" t="e">
        <v>#N/A</v>
      </c>
      <c r="PCF30" t="e">
        <v>#N/A</v>
      </c>
      <c r="PCG30" t="e">
        <v>#N/A</v>
      </c>
      <c r="PCH30" t="e">
        <v>#N/A</v>
      </c>
      <c r="PCI30" t="e">
        <v>#N/A</v>
      </c>
      <c r="PCJ30" t="e">
        <v>#N/A</v>
      </c>
      <c r="PCK30" t="e">
        <v>#N/A</v>
      </c>
      <c r="PCL30" t="e">
        <v>#N/A</v>
      </c>
      <c r="PCM30" t="e">
        <v>#N/A</v>
      </c>
      <c r="PCN30" t="e">
        <v>#N/A</v>
      </c>
      <c r="PCO30" t="e">
        <v>#N/A</v>
      </c>
      <c r="PCP30" t="e">
        <v>#N/A</v>
      </c>
      <c r="PCQ30" t="e">
        <v>#N/A</v>
      </c>
      <c r="PCR30" t="e">
        <v>#N/A</v>
      </c>
      <c r="PCS30" t="e">
        <v>#N/A</v>
      </c>
      <c r="PCT30" t="e">
        <v>#N/A</v>
      </c>
      <c r="PCU30" t="e">
        <v>#N/A</v>
      </c>
      <c r="PCV30" t="e">
        <v>#N/A</v>
      </c>
      <c r="PCW30" t="e">
        <v>#N/A</v>
      </c>
      <c r="PCX30" t="e">
        <v>#N/A</v>
      </c>
      <c r="PCY30" t="e">
        <v>#N/A</v>
      </c>
      <c r="PCZ30" t="e">
        <v>#N/A</v>
      </c>
      <c r="PDA30" t="e">
        <v>#N/A</v>
      </c>
      <c r="PDB30" t="e">
        <v>#N/A</v>
      </c>
      <c r="PDC30" t="e">
        <v>#N/A</v>
      </c>
      <c r="PDD30" t="e">
        <v>#N/A</v>
      </c>
      <c r="PDE30" t="e">
        <v>#N/A</v>
      </c>
      <c r="PDF30" t="e">
        <v>#N/A</v>
      </c>
      <c r="PDG30" t="e">
        <v>#N/A</v>
      </c>
      <c r="PDH30" t="e">
        <v>#N/A</v>
      </c>
      <c r="PDI30" t="e">
        <v>#N/A</v>
      </c>
      <c r="PDJ30" t="e">
        <v>#N/A</v>
      </c>
      <c r="PDK30" t="e">
        <v>#N/A</v>
      </c>
      <c r="PDL30" t="e">
        <v>#N/A</v>
      </c>
      <c r="PDM30" t="e">
        <v>#N/A</v>
      </c>
      <c r="PDN30" t="e">
        <v>#N/A</v>
      </c>
      <c r="PDO30" t="e">
        <v>#N/A</v>
      </c>
      <c r="PDP30" t="e">
        <v>#N/A</v>
      </c>
      <c r="PDQ30" t="e">
        <v>#N/A</v>
      </c>
      <c r="PDR30" t="e">
        <v>#N/A</v>
      </c>
      <c r="PDS30" t="e">
        <v>#N/A</v>
      </c>
      <c r="PDT30" t="e">
        <v>#N/A</v>
      </c>
      <c r="PDU30" t="e">
        <v>#N/A</v>
      </c>
      <c r="PDV30" t="e">
        <v>#N/A</v>
      </c>
      <c r="PDW30" t="e">
        <v>#N/A</v>
      </c>
      <c r="PDX30" t="e">
        <v>#N/A</v>
      </c>
      <c r="PDY30" t="e">
        <v>#N/A</v>
      </c>
      <c r="PDZ30" t="e">
        <v>#N/A</v>
      </c>
      <c r="PEA30" t="e">
        <v>#N/A</v>
      </c>
      <c r="PEB30" t="e">
        <v>#N/A</v>
      </c>
      <c r="PEC30" t="e">
        <v>#N/A</v>
      </c>
      <c r="PED30" t="e">
        <v>#N/A</v>
      </c>
      <c r="PEE30" t="e">
        <v>#N/A</v>
      </c>
      <c r="PEF30" t="e">
        <v>#N/A</v>
      </c>
      <c r="PEG30" t="e">
        <v>#N/A</v>
      </c>
      <c r="PEH30" t="e">
        <v>#N/A</v>
      </c>
      <c r="PEI30" t="e">
        <v>#N/A</v>
      </c>
      <c r="PEJ30" t="e">
        <v>#N/A</v>
      </c>
      <c r="PEK30" t="e">
        <v>#N/A</v>
      </c>
      <c r="PEL30" t="e">
        <v>#N/A</v>
      </c>
      <c r="PEM30" t="e">
        <v>#N/A</v>
      </c>
      <c r="PEN30" t="e">
        <v>#N/A</v>
      </c>
      <c r="PEO30" t="e">
        <v>#N/A</v>
      </c>
      <c r="PEP30" t="e">
        <v>#N/A</v>
      </c>
      <c r="PEQ30" t="e">
        <v>#N/A</v>
      </c>
      <c r="PER30" t="e">
        <v>#N/A</v>
      </c>
      <c r="PES30" t="e">
        <v>#N/A</v>
      </c>
      <c r="PET30" t="e">
        <v>#N/A</v>
      </c>
      <c r="PEU30" t="e">
        <v>#N/A</v>
      </c>
      <c r="PEV30" t="e">
        <v>#N/A</v>
      </c>
      <c r="PEW30" t="e">
        <v>#N/A</v>
      </c>
      <c r="PEX30" t="e">
        <v>#N/A</v>
      </c>
      <c r="PEY30" t="e">
        <v>#N/A</v>
      </c>
      <c r="PEZ30" t="e">
        <v>#N/A</v>
      </c>
      <c r="PFA30" t="e">
        <v>#N/A</v>
      </c>
      <c r="PFB30" t="e">
        <v>#N/A</v>
      </c>
      <c r="PFC30" t="e">
        <v>#N/A</v>
      </c>
      <c r="PFD30" t="e">
        <v>#N/A</v>
      </c>
      <c r="PFE30" t="e">
        <v>#N/A</v>
      </c>
      <c r="PFF30" t="e">
        <v>#N/A</v>
      </c>
      <c r="PFG30" t="e">
        <v>#N/A</v>
      </c>
      <c r="PFH30" t="e">
        <v>#N/A</v>
      </c>
      <c r="PFI30" t="e">
        <v>#N/A</v>
      </c>
      <c r="PFJ30" t="e">
        <v>#N/A</v>
      </c>
      <c r="PFK30" t="e">
        <v>#N/A</v>
      </c>
      <c r="PFL30" t="e">
        <v>#N/A</v>
      </c>
      <c r="PFM30" t="e">
        <v>#N/A</v>
      </c>
      <c r="PFN30" t="e">
        <v>#N/A</v>
      </c>
      <c r="PFO30" t="e">
        <v>#N/A</v>
      </c>
      <c r="PFP30" t="e">
        <v>#N/A</v>
      </c>
      <c r="PFQ30" t="e">
        <v>#N/A</v>
      </c>
      <c r="PFR30" t="e">
        <v>#N/A</v>
      </c>
      <c r="PFS30" t="e">
        <v>#N/A</v>
      </c>
      <c r="PFT30" t="e">
        <v>#N/A</v>
      </c>
      <c r="PFU30" t="e">
        <v>#N/A</v>
      </c>
      <c r="PFV30" t="e">
        <v>#N/A</v>
      </c>
      <c r="PFW30" t="e">
        <v>#N/A</v>
      </c>
      <c r="PFX30" t="e">
        <v>#N/A</v>
      </c>
      <c r="PFY30" t="e">
        <v>#N/A</v>
      </c>
      <c r="PFZ30" t="e">
        <v>#N/A</v>
      </c>
      <c r="PGA30" t="e">
        <v>#N/A</v>
      </c>
      <c r="PGB30" t="e">
        <v>#N/A</v>
      </c>
      <c r="PGC30" t="e">
        <v>#N/A</v>
      </c>
      <c r="PGD30" t="e">
        <v>#N/A</v>
      </c>
      <c r="PGE30" t="e">
        <v>#N/A</v>
      </c>
      <c r="PGF30" t="e">
        <v>#N/A</v>
      </c>
      <c r="PGG30" t="e">
        <v>#N/A</v>
      </c>
      <c r="PGH30" t="e">
        <v>#N/A</v>
      </c>
      <c r="PGI30" t="e">
        <v>#N/A</v>
      </c>
      <c r="PGJ30" t="e">
        <v>#N/A</v>
      </c>
      <c r="PGK30" t="e">
        <v>#N/A</v>
      </c>
      <c r="PGL30" t="e">
        <v>#N/A</v>
      </c>
      <c r="PGM30" t="e">
        <v>#N/A</v>
      </c>
      <c r="PGN30" t="e">
        <v>#N/A</v>
      </c>
      <c r="PGO30" t="e">
        <v>#N/A</v>
      </c>
      <c r="PGP30" t="e">
        <v>#N/A</v>
      </c>
      <c r="PGQ30" t="e">
        <v>#N/A</v>
      </c>
      <c r="PGR30" t="e">
        <v>#N/A</v>
      </c>
      <c r="PGS30" t="e">
        <v>#N/A</v>
      </c>
      <c r="PGT30" t="e">
        <v>#N/A</v>
      </c>
      <c r="PGU30" t="e">
        <v>#N/A</v>
      </c>
      <c r="PGV30" t="e">
        <v>#N/A</v>
      </c>
      <c r="PGW30" t="e">
        <v>#N/A</v>
      </c>
      <c r="PGX30" t="e">
        <v>#N/A</v>
      </c>
      <c r="PGY30" t="e">
        <v>#N/A</v>
      </c>
      <c r="PGZ30" t="e">
        <v>#N/A</v>
      </c>
      <c r="PHA30" t="e">
        <v>#N/A</v>
      </c>
      <c r="PHB30" t="e">
        <v>#N/A</v>
      </c>
      <c r="PHC30" t="e">
        <v>#N/A</v>
      </c>
      <c r="PHD30" t="e">
        <v>#N/A</v>
      </c>
      <c r="PHE30" t="e">
        <v>#N/A</v>
      </c>
      <c r="PHF30" t="e">
        <v>#N/A</v>
      </c>
      <c r="PHG30" t="e">
        <v>#N/A</v>
      </c>
      <c r="PHH30" t="e">
        <v>#N/A</v>
      </c>
      <c r="PHI30" t="e">
        <v>#N/A</v>
      </c>
      <c r="PHJ30" t="e">
        <v>#N/A</v>
      </c>
      <c r="PHK30" t="e">
        <v>#N/A</v>
      </c>
      <c r="PHL30" t="e">
        <v>#N/A</v>
      </c>
      <c r="PHM30" t="e">
        <v>#N/A</v>
      </c>
      <c r="PHN30" t="e">
        <v>#N/A</v>
      </c>
      <c r="PHO30" t="e">
        <v>#N/A</v>
      </c>
      <c r="PHP30" t="e">
        <v>#N/A</v>
      </c>
      <c r="PHQ30" t="e">
        <v>#N/A</v>
      </c>
      <c r="PHR30" t="e">
        <v>#N/A</v>
      </c>
      <c r="PHS30" t="e">
        <v>#N/A</v>
      </c>
      <c r="PHT30" t="e">
        <v>#N/A</v>
      </c>
      <c r="PHU30" t="e">
        <v>#N/A</v>
      </c>
      <c r="PHV30" t="e">
        <v>#N/A</v>
      </c>
      <c r="PHW30" t="e">
        <v>#N/A</v>
      </c>
      <c r="PHX30" t="e">
        <v>#N/A</v>
      </c>
      <c r="PHY30" t="e">
        <v>#N/A</v>
      </c>
      <c r="PHZ30" t="e">
        <v>#N/A</v>
      </c>
      <c r="PIA30" t="e">
        <v>#N/A</v>
      </c>
      <c r="PIB30" t="e">
        <v>#N/A</v>
      </c>
      <c r="PIC30" t="e">
        <v>#N/A</v>
      </c>
      <c r="PID30" t="e">
        <v>#N/A</v>
      </c>
      <c r="PIE30" t="e">
        <v>#N/A</v>
      </c>
      <c r="PIF30" t="e">
        <v>#N/A</v>
      </c>
      <c r="PIG30" t="e">
        <v>#N/A</v>
      </c>
      <c r="PIH30" t="e">
        <v>#N/A</v>
      </c>
      <c r="PII30" t="e">
        <v>#N/A</v>
      </c>
      <c r="PIJ30" t="e">
        <v>#N/A</v>
      </c>
      <c r="PIK30" t="e">
        <v>#N/A</v>
      </c>
      <c r="PIL30" t="e">
        <v>#N/A</v>
      </c>
      <c r="PIM30" t="e">
        <v>#N/A</v>
      </c>
      <c r="PIN30" t="e">
        <v>#N/A</v>
      </c>
      <c r="PIO30" t="e">
        <v>#N/A</v>
      </c>
      <c r="PIP30" t="e">
        <v>#N/A</v>
      </c>
      <c r="PIQ30" t="e">
        <v>#N/A</v>
      </c>
      <c r="PIR30" t="e">
        <v>#N/A</v>
      </c>
      <c r="PIS30" t="e">
        <v>#N/A</v>
      </c>
      <c r="PIT30" t="e">
        <v>#N/A</v>
      </c>
      <c r="PIU30" t="e">
        <v>#N/A</v>
      </c>
      <c r="PIV30" t="e">
        <v>#N/A</v>
      </c>
      <c r="PIW30" t="e">
        <v>#N/A</v>
      </c>
      <c r="PIX30" t="e">
        <v>#N/A</v>
      </c>
      <c r="PIY30" t="e">
        <v>#N/A</v>
      </c>
      <c r="PIZ30" t="e">
        <v>#N/A</v>
      </c>
      <c r="PJA30" t="e">
        <v>#N/A</v>
      </c>
      <c r="PJB30" t="e">
        <v>#N/A</v>
      </c>
      <c r="PJC30" t="e">
        <v>#N/A</v>
      </c>
      <c r="PJD30" t="e">
        <v>#N/A</v>
      </c>
      <c r="PJE30" t="e">
        <v>#N/A</v>
      </c>
      <c r="PJF30" t="e">
        <v>#N/A</v>
      </c>
      <c r="PJG30" t="e">
        <v>#N/A</v>
      </c>
      <c r="PJH30" t="e">
        <v>#N/A</v>
      </c>
      <c r="PJI30" t="e">
        <v>#N/A</v>
      </c>
      <c r="PJJ30" t="e">
        <v>#N/A</v>
      </c>
      <c r="PJK30" t="e">
        <v>#N/A</v>
      </c>
      <c r="PJL30" t="e">
        <v>#N/A</v>
      </c>
      <c r="PJM30" t="e">
        <v>#N/A</v>
      </c>
      <c r="PJN30" t="e">
        <v>#N/A</v>
      </c>
      <c r="PJO30" t="e">
        <v>#N/A</v>
      </c>
      <c r="PJP30" t="e">
        <v>#N/A</v>
      </c>
      <c r="PJQ30" t="e">
        <v>#N/A</v>
      </c>
      <c r="PJR30" t="e">
        <v>#N/A</v>
      </c>
      <c r="PJS30" t="e">
        <v>#N/A</v>
      </c>
      <c r="PJT30" t="e">
        <v>#N/A</v>
      </c>
      <c r="PJU30" t="e">
        <v>#N/A</v>
      </c>
      <c r="PJV30" t="e">
        <v>#N/A</v>
      </c>
      <c r="PJW30" t="e">
        <v>#N/A</v>
      </c>
      <c r="PJX30" t="e">
        <v>#N/A</v>
      </c>
      <c r="PJY30" t="e">
        <v>#N/A</v>
      </c>
      <c r="PJZ30" t="e">
        <v>#N/A</v>
      </c>
      <c r="PKA30" t="e">
        <v>#N/A</v>
      </c>
      <c r="PKB30" t="e">
        <v>#N/A</v>
      </c>
      <c r="PKC30" t="e">
        <v>#N/A</v>
      </c>
      <c r="PKD30" t="e">
        <v>#N/A</v>
      </c>
      <c r="PKE30" t="e">
        <v>#N/A</v>
      </c>
      <c r="PKF30" t="e">
        <v>#N/A</v>
      </c>
      <c r="PKG30" t="e">
        <v>#N/A</v>
      </c>
      <c r="PKH30" t="e">
        <v>#N/A</v>
      </c>
      <c r="PKI30" t="e">
        <v>#N/A</v>
      </c>
      <c r="PKJ30" t="e">
        <v>#N/A</v>
      </c>
      <c r="PKK30" t="e">
        <v>#N/A</v>
      </c>
      <c r="PKL30" t="e">
        <v>#N/A</v>
      </c>
      <c r="PKM30" t="e">
        <v>#N/A</v>
      </c>
      <c r="PKN30" t="e">
        <v>#N/A</v>
      </c>
      <c r="PKO30" t="e">
        <v>#N/A</v>
      </c>
      <c r="PKP30" t="e">
        <v>#N/A</v>
      </c>
      <c r="PKQ30" t="e">
        <v>#N/A</v>
      </c>
      <c r="PKR30" t="e">
        <v>#N/A</v>
      </c>
      <c r="PKS30" t="e">
        <v>#N/A</v>
      </c>
      <c r="PKT30" t="e">
        <v>#N/A</v>
      </c>
      <c r="PKU30" t="e">
        <v>#N/A</v>
      </c>
      <c r="PKV30" t="e">
        <v>#N/A</v>
      </c>
      <c r="PKW30" t="e">
        <v>#N/A</v>
      </c>
      <c r="PKX30" t="e">
        <v>#N/A</v>
      </c>
      <c r="PKY30" t="e">
        <v>#N/A</v>
      </c>
      <c r="PKZ30" t="e">
        <v>#N/A</v>
      </c>
      <c r="PLA30" t="e">
        <v>#N/A</v>
      </c>
      <c r="PLB30" t="e">
        <v>#N/A</v>
      </c>
      <c r="PLC30" t="e">
        <v>#N/A</v>
      </c>
      <c r="PLD30" t="e">
        <v>#N/A</v>
      </c>
      <c r="PLE30" t="e">
        <v>#N/A</v>
      </c>
      <c r="PLF30" t="e">
        <v>#N/A</v>
      </c>
      <c r="PLG30" t="e">
        <v>#N/A</v>
      </c>
      <c r="PLH30" t="e">
        <v>#N/A</v>
      </c>
      <c r="PLI30" t="e">
        <v>#N/A</v>
      </c>
      <c r="PLJ30" t="e">
        <v>#N/A</v>
      </c>
      <c r="PLK30" t="e">
        <v>#N/A</v>
      </c>
      <c r="PLL30" t="e">
        <v>#N/A</v>
      </c>
      <c r="PLM30" t="e">
        <v>#N/A</v>
      </c>
      <c r="PLN30" t="e">
        <v>#N/A</v>
      </c>
      <c r="PLO30" t="e">
        <v>#N/A</v>
      </c>
      <c r="PLP30" t="e">
        <v>#N/A</v>
      </c>
      <c r="PLQ30" t="e">
        <v>#N/A</v>
      </c>
      <c r="PLR30" t="e">
        <v>#N/A</v>
      </c>
      <c r="PLS30" t="e">
        <v>#N/A</v>
      </c>
      <c r="PLT30" t="e">
        <v>#N/A</v>
      </c>
      <c r="PLU30" t="e">
        <v>#N/A</v>
      </c>
      <c r="PLV30" t="e">
        <v>#N/A</v>
      </c>
      <c r="PLW30" t="e">
        <v>#N/A</v>
      </c>
      <c r="PLX30" t="e">
        <v>#N/A</v>
      </c>
      <c r="PLY30" t="e">
        <v>#N/A</v>
      </c>
      <c r="PLZ30" t="e">
        <v>#N/A</v>
      </c>
      <c r="PMA30" t="e">
        <v>#N/A</v>
      </c>
      <c r="PMB30" t="e">
        <v>#N/A</v>
      </c>
      <c r="PMC30" t="e">
        <v>#N/A</v>
      </c>
      <c r="PMD30" t="e">
        <v>#N/A</v>
      </c>
      <c r="PME30" t="e">
        <v>#N/A</v>
      </c>
      <c r="PMF30" t="e">
        <v>#N/A</v>
      </c>
      <c r="PMG30" t="e">
        <v>#N/A</v>
      </c>
      <c r="PMH30" t="e">
        <v>#N/A</v>
      </c>
      <c r="PMI30" t="e">
        <v>#N/A</v>
      </c>
      <c r="PMJ30" t="e">
        <v>#N/A</v>
      </c>
      <c r="PMK30" t="e">
        <v>#N/A</v>
      </c>
      <c r="PML30" t="e">
        <v>#N/A</v>
      </c>
      <c r="PMM30" t="e">
        <v>#N/A</v>
      </c>
      <c r="PMN30" t="e">
        <v>#N/A</v>
      </c>
      <c r="PMO30" t="e">
        <v>#N/A</v>
      </c>
      <c r="PMP30" t="e">
        <v>#N/A</v>
      </c>
      <c r="PMQ30" t="e">
        <v>#N/A</v>
      </c>
      <c r="PMR30" t="e">
        <v>#N/A</v>
      </c>
      <c r="PMS30" t="e">
        <v>#N/A</v>
      </c>
      <c r="PMT30" t="e">
        <v>#N/A</v>
      </c>
      <c r="PMU30" t="e">
        <v>#N/A</v>
      </c>
      <c r="PMV30" t="e">
        <v>#N/A</v>
      </c>
      <c r="PMW30" t="e">
        <v>#N/A</v>
      </c>
      <c r="PMX30" t="e">
        <v>#N/A</v>
      </c>
      <c r="PMY30" t="e">
        <v>#N/A</v>
      </c>
      <c r="PMZ30" t="e">
        <v>#N/A</v>
      </c>
      <c r="PNA30" t="e">
        <v>#N/A</v>
      </c>
      <c r="PNB30" t="e">
        <v>#N/A</v>
      </c>
      <c r="PNC30" t="e">
        <v>#N/A</v>
      </c>
      <c r="PND30" t="e">
        <v>#N/A</v>
      </c>
      <c r="PNE30" t="e">
        <v>#N/A</v>
      </c>
      <c r="PNF30" t="e">
        <v>#N/A</v>
      </c>
      <c r="PNG30" t="e">
        <v>#N/A</v>
      </c>
      <c r="PNH30" t="e">
        <v>#N/A</v>
      </c>
      <c r="PNI30" t="e">
        <v>#N/A</v>
      </c>
      <c r="PNJ30" t="e">
        <v>#N/A</v>
      </c>
      <c r="PNK30" t="e">
        <v>#N/A</v>
      </c>
      <c r="PNL30" t="e">
        <v>#N/A</v>
      </c>
      <c r="PNM30" t="e">
        <v>#N/A</v>
      </c>
      <c r="PNN30" t="e">
        <v>#N/A</v>
      </c>
      <c r="PNO30" t="e">
        <v>#N/A</v>
      </c>
      <c r="PNP30" t="e">
        <v>#N/A</v>
      </c>
      <c r="PNQ30" t="e">
        <v>#N/A</v>
      </c>
      <c r="PNR30" t="e">
        <v>#N/A</v>
      </c>
      <c r="PNS30" t="e">
        <v>#N/A</v>
      </c>
      <c r="PNT30" t="e">
        <v>#N/A</v>
      </c>
      <c r="PNU30" t="e">
        <v>#N/A</v>
      </c>
      <c r="PNV30" t="e">
        <v>#N/A</v>
      </c>
      <c r="PNW30" t="e">
        <v>#N/A</v>
      </c>
      <c r="PNX30" t="e">
        <v>#N/A</v>
      </c>
      <c r="PNY30" t="e">
        <v>#N/A</v>
      </c>
      <c r="PNZ30" t="e">
        <v>#N/A</v>
      </c>
      <c r="POA30" t="e">
        <v>#N/A</v>
      </c>
      <c r="POB30" t="e">
        <v>#N/A</v>
      </c>
      <c r="POC30" t="e">
        <v>#N/A</v>
      </c>
      <c r="POD30" t="e">
        <v>#N/A</v>
      </c>
      <c r="POE30" t="e">
        <v>#N/A</v>
      </c>
      <c r="POF30" t="e">
        <v>#N/A</v>
      </c>
      <c r="POG30" t="e">
        <v>#N/A</v>
      </c>
      <c r="POH30" t="e">
        <v>#N/A</v>
      </c>
      <c r="POI30" t="e">
        <v>#N/A</v>
      </c>
      <c r="POJ30" t="e">
        <v>#N/A</v>
      </c>
      <c r="POK30" t="e">
        <v>#N/A</v>
      </c>
      <c r="POL30" t="e">
        <v>#N/A</v>
      </c>
      <c r="POM30" t="e">
        <v>#N/A</v>
      </c>
      <c r="PON30" t="e">
        <v>#N/A</v>
      </c>
      <c r="POO30" t="e">
        <v>#N/A</v>
      </c>
      <c r="POP30" t="e">
        <v>#N/A</v>
      </c>
      <c r="POQ30" t="e">
        <v>#N/A</v>
      </c>
      <c r="POR30" t="e">
        <v>#N/A</v>
      </c>
      <c r="POS30" t="e">
        <v>#N/A</v>
      </c>
      <c r="POT30" t="e">
        <v>#N/A</v>
      </c>
      <c r="POU30" t="e">
        <v>#N/A</v>
      </c>
      <c r="POV30" t="e">
        <v>#N/A</v>
      </c>
      <c r="POW30" t="e">
        <v>#N/A</v>
      </c>
      <c r="POX30" t="e">
        <v>#N/A</v>
      </c>
      <c r="POY30" t="e">
        <v>#N/A</v>
      </c>
      <c r="POZ30" t="e">
        <v>#N/A</v>
      </c>
      <c r="PPA30" t="e">
        <v>#N/A</v>
      </c>
      <c r="PPB30" t="e">
        <v>#N/A</v>
      </c>
      <c r="PPC30" t="e">
        <v>#N/A</v>
      </c>
      <c r="PPD30" t="e">
        <v>#N/A</v>
      </c>
      <c r="PPE30" t="e">
        <v>#N/A</v>
      </c>
      <c r="PPF30" t="e">
        <v>#N/A</v>
      </c>
      <c r="PPG30" t="e">
        <v>#N/A</v>
      </c>
      <c r="PPH30" t="e">
        <v>#N/A</v>
      </c>
      <c r="PPI30" t="e">
        <v>#N/A</v>
      </c>
      <c r="PPJ30" t="e">
        <v>#N/A</v>
      </c>
      <c r="PPK30" t="e">
        <v>#N/A</v>
      </c>
      <c r="PPL30" t="e">
        <v>#N/A</v>
      </c>
      <c r="PPM30" t="e">
        <v>#N/A</v>
      </c>
      <c r="PPN30" t="e">
        <v>#N/A</v>
      </c>
      <c r="PPO30" t="e">
        <v>#N/A</v>
      </c>
      <c r="PPP30" t="e">
        <v>#N/A</v>
      </c>
      <c r="PPQ30" t="e">
        <v>#N/A</v>
      </c>
      <c r="PPR30" t="e">
        <v>#N/A</v>
      </c>
      <c r="PPS30" t="e">
        <v>#N/A</v>
      </c>
      <c r="PPT30" t="e">
        <v>#N/A</v>
      </c>
      <c r="PPU30" t="e">
        <v>#N/A</v>
      </c>
      <c r="PPV30" t="e">
        <v>#N/A</v>
      </c>
      <c r="PPW30" t="e">
        <v>#N/A</v>
      </c>
      <c r="PPX30" t="e">
        <v>#N/A</v>
      </c>
      <c r="PPY30" t="e">
        <v>#N/A</v>
      </c>
      <c r="PPZ30" t="e">
        <v>#N/A</v>
      </c>
      <c r="PQA30" t="e">
        <v>#N/A</v>
      </c>
      <c r="PQB30" t="e">
        <v>#N/A</v>
      </c>
      <c r="PQC30" t="e">
        <v>#N/A</v>
      </c>
      <c r="PQD30" t="e">
        <v>#N/A</v>
      </c>
      <c r="PQE30" t="e">
        <v>#N/A</v>
      </c>
      <c r="PQF30" t="e">
        <v>#N/A</v>
      </c>
      <c r="PQG30" t="e">
        <v>#N/A</v>
      </c>
      <c r="PQH30" t="e">
        <v>#N/A</v>
      </c>
      <c r="PQI30" t="e">
        <v>#N/A</v>
      </c>
      <c r="PQJ30" t="e">
        <v>#N/A</v>
      </c>
      <c r="PQK30" t="e">
        <v>#N/A</v>
      </c>
      <c r="PQL30" t="e">
        <v>#N/A</v>
      </c>
      <c r="PQM30" t="e">
        <v>#N/A</v>
      </c>
      <c r="PQN30" t="e">
        <v>#N/A</v>
      </c>
      <c r="PQO30" t="e">
        <v>#N/A</v>
      </c>
      <c r="PQP30" t="e">
        <v>#N/A</v>
      </c>
      <c r="PQQ30" t="e">
        <v>#N/A</v>
      </c>
      <c r="PQR30" t="e">
        <v>#N/A</v>
      </c>
      <c r="PQS30" t="e">
        <v>#N/A</v>
      </c>
      <c r="PQT30" t="e">
        <v>#N/A</v>
      </c>
      <c r="PQU30" t="e">
        <v>#N/A</v>
      </c>
      <c r="PQV30" t="e">
        <v>#N/A</v>
      </c>
      <c r="PQW30" t="e">
        <v>#N/A</v>
      </c>
      <c r="PQX30" t="e">
        <v>#N/A</v>
      </c>
      <c r="PQY30" t="e">
        <v>#N/A</v>
      </c>
      <c r="PQZ30" t="e">
        <v>#N/A</v>
      </c>
      <c r="PRA30" t="e">
        <v>#N/A</v>
      </c>
      <c r="PRB30" t="e">
        <v>#N/A</v>
      </c>
      <c r="PRC30" t="e">
        <v>#N/A</v>
      </c>
      <c r="PRD30" t="e">
        <v>#N/A</v>
      </c>
      <c r="PRE30" t="e">
        <v>#N/A</v>
      </c>
      <c r="PRF30" t="e">
        <v>#N/A</v>
      </c>
      <c r="PRG30" t="e">
        <v>#N/A</v>
      </c>
      <c r="PRH30" t="e">
        <v>#N/A</v>
      </c>
      <c r="PRI30" t="e">
        <v>#N/A</v>
      </c>
      <c r="PRJ30" t="e">
        <v>#N/A</v>
      </c>
      <c r="PRK30" t="e">
        <v>#N/A</v>
      </c>
      <c r="PRL30" t="e">
        <v>#N/A</v>
      </c>
      <c r="PRM30" t="e">
        <v>#N/A</v>
      </c>
      <c r="PRN30" t="e">
        <v>#N/A</v>
      </c>
      <c r="PRO30" t="e">
        <v>#N/A</v>
      </c>
      <c r="PRP30" t="e">
        <v>#N/A</v>
      </c>
      <c r="PRQ30" t="e">
        <v>#N/A</v>
      </c>
      <c r="PRR30" t="e">
        <v>#N/A</v>
      </c>
      <c r="PRS30" t="e">
        <v>#N/A</v>
      </c>
      <c r="PRT30" t="e">
        <v>#N/A</v>
      </c>
      <c r="PRU30" t="e">
        <v>#N/A</v>
      </c>
      <c r="PRV30" t="e">
        <v>#N/A</v>
      </c>
      <c r="PRW30" t="e">
        <v>#N/A</v>
      </c>
      <c r="PRX30" t="e">
        <v>#N/A</v>
      </c>
      <c r="PRY30" t="e">
        <v>#N/A</v>
      </c>
      <c r="PRZ30" t="e">
        <v>#N/A</v>
      </c>
      <c r="PSA30" t="e">
        <v>#N/A</v>
      </c>
      <c r="PSB30" t="e">
        <v>#N/A</v>
      </c>
      <c r="PSC30" t="e">
        <v>#N/A</v>
      </c>
      <c r="PSD30" t="e">
        <v>#N/A</v>
      </c>
      <c r="PSE30" t="e">
        <v>#N/A</v>
      </c>
      <c r="PSF30" t="e">
        <v>#N/A</v>
      </c>
      <c r="PSG30" t="e">
        <v>#N/A</v>
      </c>
      <c r="PSH30" t="e">
        <v>#N/A</v>
      </c>
      <c r="PSI30" t="e">
        <v>#N/A</v>
      </c>
      <c r="PSJ30" t="e">
        <v>#N/A</v>
      </c>
      <c r="PSK30" t="e">
        <v>#N/A</v>
      </c>
      <c r="PSL30" t="e">
        <v>#N/A</v>
      </c>
      <c r="PSM30" t="e">
        <v>#N/A</v>
      </c>
      <c r="PSN30" t="e">
        <v>#N/A</v>
      </c>
      <c r="PSO30" t="e">
        <v>#N/A</v>
      </c>
      <c r="PSP30" t="e">
        <v>#N/A</v>
      </c>
      <c r="PSQ30" t="e">
        <v>#N/A</v>
      </c>
      <c r="PSR30" t="e">
        <v>#N/A</v>
      </c>
      <c r="PSS30" t="e">
        <v>#N/A</v>
      </c>
      <c r="PST30" t="e">
        <v>#N/A</v>
      </c>
      <c r="PSU30" t="e">
        <v>#N/A</v>
      </c>
      <c r="PSV30" t="e">
        <v>#N/A</v>
      </c>
      <c r="PSW30" t="e">
        <v>#N/A</v>
      </c>
      <c r="PSX30" t="e">
        <v>#N/A</v>
      </c>
      <c r="PSY30" t="e">
        <v>#N/A</v>
      </c>
      <c r="PSZ30" t="e">
        <v>#N/A</v>
      </c>
      <c r="PTA30" t="e">
        <v>#N/A</v>
      </c>
      <c r="PTB30" t="e">
        <v>#N/A</v>
      </c>
      <c r="PTC30" t="e">
        <v>#N/A</v>
      </c>
      <c r="PTD30" t="e">
        <v>#N/A</v>
      </c>
      <c r="PTE30" t="e">
        <v>#N/A</v>
      </c>
      <c r="PTF30" t="e">
        <v>#N/A</v>
      </c>
      <c r="PTG30" t="e">
        <v>#N/A</v>
      </c>
      <c r="PTH30" t="e">
        <v>#N/A</v>
      </c>
      <c r="PTI30" t="e">
        <v>#N/A</v>
      </c>
      <c r="PTJ30" t="e">
        <v>#N/A</v>
      </c>
      <c r="PTK30" t="e">
        <v>#N/A</v>
      </c>
      <c r="PTL30" t="e">
        <v>#N/A</v>
      </c>
      <c r="PTM30" t="e">
        <v>#N/A</v>
      </c>
      <c r="PTN30" t="e">
        <v>#N/A</v>
      </c>
      <c r="PTO30" t="e">
        <v>#N/A</v>
      </c>
      <c r="PTP30" t="e">
        <v>#N/A</v>
      </c>
      <c r="PTQ30" t="e">
        <v>#N/A</v>
      </c>
      <c r="PTR30" t="e">
        <v>#N/A</v>
      </c>
      <c r="PTS30" t="e">
        <v>#N/A</v>
      </c>
      <c r="PTT30" t="e">
        <v>#N/A</v>
      </c>
      <c r="PTU30" t="e">
        <v>#N/A</v>
      </c>
      <c r="PTV30" t="e">
        <v>#N/A</v>
      </c>
      <c r="PTW30" t="e">
        <v>#N/A</v>
      </c>
      <c r="PTX30" t="e">
        <v>#N/A</v>
      </c>
      <c r="PTY30" t="e">
        <v>#N/A</v>
      </c>
      <c r="PTZ30" t="e">
        <v>#N/A</v>
      </c>
      <c r="PUA30" t="e">
        <v>#N/A</v>
      </c>
      <c r="PUB30" t="e">
        <v>#N/A</v>
      </c>
      <c r="PUC30" t="e">
        <v>#N/A</v>
      </c>
      <c r="PUD30" t="e">
        <v>#N/A</v>
      </c>
      <c r="PUE30" t="e">
        <v>#N/A</v>
      </c>
      <c r="PUF30" t="e">
        <v>#N/A</v>
      </c>
      <c r="PUG30" t="e">
        <v>#N/A</v>
      </c>
      <c r="PUH30" t="e">
        <v>#N/A</v>
      </c>
      <c r="PUI30" t="e">
        <v>#N/A</v>
      </c>
      <c r="PUJ30" t="e">
        <v>#N/A</v>
      </c>
      <c r="PUK30" t="e">
        <v>#N/A</v>
      </c>
      <c r="PUL30" t="e">
        <v>#N/A</v>
      </c>
      <c r="PUM30" t="e">
        <v>#N/A</v>
      </c>
      <c r="PUN30" t="e">
        <v>#N/A</v>
      </c>
      <c r="PUO30" t="e">
        <v>#N/A</v>
      </c>
      <c r="PUP30" t="e">
        <v>#N/A</v>
      </c>
      <c r="PUQ30" t="e">
        <v>#N/A</v>
      </c>
      <c r="PUR30" t="e">
        <v>#N/A</v>
      </c>
      <c r="PUS30" t="e">
        <v>#N/A</v>
      </c>
      <c r="PUT30" t="e">
        <v>#N/A</v>
      </c>
      <c r="PUU30" t="e">
        <v>#N/A</v>
      </c>
      <c r="PUV30" t="e">
        <v>#N/A</v>
      </c>
      <c r="PUW30" t="e">
        <v>#N/A</v>
      </c>
      <c r="PUX30" t="e">
        <v>#N/A</v>
      </c>
      <c r="PUY30" t="e">
        <v>#N/A</v>
      </c>
      <c r="PUZ30" t="e">
        <v>#N/A</v>
      </c>
      <c r="PVA30" t="e">
        <v>#N/A</v>
      </c>
      <c r="PVB30" t="e">
        <v>#N/A</v>
      </c>
      <c r="PVC30" t="e">
        <v>#N/A</v>
      </c>
      <c r="PVD30" t="e">
        <v>#N/A</v>
      </c>
      <c r="PVE30" t="e">
        <v>#N/A</v>
      </c>
      <c r="PVF30" t="e">
        <v>#N/A</v>
      </c>
      <c r="PVG30" t="e">
        <v>#N/A</v>
      </c>
      <c r="PVH30" t="e">
        <v>#N/A</v>
      </c>
      <c r="PVI30" t="e">
        <v>#N/A</v>
      </c>
      <c r="PVJ30" t="e">
        <v>#N/A</v>
      </c>
      <c r="PVK30" t="e">
        <v>#N/A</v>
      </c>
      <c r="PVL30" t="e">
        <v>#N/A</v>
      </c>
      <c r="PVM30" t="e">
        <v>#N/A</v>
      </c>
      <c r="PVN30" t="e">
        <v>#N/A</v>
      </c>
      <c r="PVO30" t="e">
        <v>#N/A</v>
      </c>
      <c r="PVP30" t="e">
        <v>#N/A</v>
      </c>
      <c r="PVQ30" t="e">
        <v>#N/A</v>
      </c>
      <c r="PVR30" t="e">
        <v>#N/A</v>
      </c>
      <c r="PVS30" t="e">
        <v>#N/A</v>
      </c>
      <c r="PVT30" t="e">
        <v>#N/A</v>
      </c>
      <c r="PVU30" t="e">
        <v>#N/A</v>
      </c>
      <c r="PVV30" t="e">
        <v>#N/A</v>
      </c>
      <c r="PVW30" t="e">
        <v>#N/A</v>
      </c>
      <c r="PVX30" t="e">
        <v>#N/A</v>
      </c>
      <c r="PVY30" t="e">
        <v>#N/A</v>
      </c>
      <c r="PVZ30" t="e">
        <v>#N/A</v>
      </c>
      <c r="PWA30" t="e">
        <v>#N/A</v>
      </c>
      <c r="PWB30" t="e">
        <v>#N/A</v>
      </c>
      <c r="PWC30" t="e">
        <v>#N/A</v>
      </c>
      <c r="PWD30" t="e">
        <v>#N/A</v>
      </c>
      <c r="PWE30" t="e">
        <v>#N/A</v>
      </c>
      <c r="PWF30" t="e">
        <v>#N/A</v>
      </c>
      <c r="PWG30" t="e">
        <v>#N/A</v>
      </c>
      <c r="PWH30" t="e">
        <v>#N/A</v>
      </c>
      <c r="PWI30" t="e">
        <v>#N/A</v>
      </c>
      <c r="PWJ30" t="e">
        <v>#N/A</v>
      </c>
      <c r="PWK30" t="e">
        <v>#N/A</v>
      </c>
      <c r="PWL30" t="e">
        <v>#N/A</v>
      </c>
      <c r="PWM30" t="e">
        <v>#N/A</v>
      </c>
      <c r="PWN30" t="e">
        <v>#N/A</v>
      </c>
      <c r="PWO30" t="e">
        <v>#N/A</v>
      </c>
      <c r="PWP30" t="e">
        <v>#N/A</v>
      </c>
      <c r="PWQ30" t="e">
        <v>#N/A</v>
      </c>
      <c r="PWR30" t="e">
        <v>#N/A</v>
      </c>
      <c r="PWS30" t="e">
        <v>#N/A</v>
      </c>
      <c r="PWT30" t="e">
        <v>#N/A</v>
      </c>
      <c r="PWU30" t="e">
        <v>#N/A</v>
      </c>
      <c r="PWV30" t="e">
        <v>#N/A</v>
      </c>
      <c r="PWW30" t="e">
        <v>#N/A</v>
      </c>
      <c r="PWX30" t="e">
        <v>#N/A</v>
      </c>
      <c r="PWY30" t="e">
        <v>#N/A</v>
      </c>
      <c r="PWZ30" t="e">
        <v>#N/A</v>
      </c>
      <c r="PXA30" t="e">
        <v>#N/A</v>
      </c>
      <c r="PXB30" t="e">
        <v>#N/A</v>
      </c>
      <c r="PXC30" t="e">
        <v>#N/A</v>
      </c>
      <c r="PXD30" t="e">
        <v>#N/A</v>
      </c>
      <c r="PXE30" t="e">
        <v>#N/A</v>
      </c>
      <c r="PXF30" t="e">
        <v>#N/A</v>
      </c>
      <c r="PXG30" t="e">
        <v>#N/A</v>
      </c>
      <c r="PXH30" t="e">
        <v>#N/A</v>
      </c>
      <c r="PXI30" t="e">
        <v>#N/A</v>
      </c>
      <c r="PXJ30" t="e">
        <v>#N/A</v>
      </c>
      <c r="PXK30" t="e">
        <v>#N/A</v>
      </c>
      <c r="PXL30" t="e">
        <v>#N/A</v>
      </c>
      <c r="PXM30" t="e">
        <v>#N/A</v>
      </c>
      <c r="PXN30" t="e">
        <v>#N/A</v>
      </c>
      <c r="PXO30" t="e">
        <v>#N/A</v>
      </c>
      <c r="PXP30" t="e">
        <v>#N/A</v>
      </c>
      <c r="PXQ30" t="e">
        <v>#N/A</v>
      </c>
      <c r="PXR30" t="e">
        <v>#N/A</v>
      </c>
      <c r="PXS30" t="e">
        <v>#N/A</v>
      </c>
      <c r="PXT30" t="e">
        <v>#N/A</v>
      </c>
      <c r="PXU30" t="e">
        <v>#N/A</v>
      </c>
      <c r="PXV30" t="e">
        <v>#N/A</v>
      </c>
      <c r="PXW30" t="e">
        <v>#N/A</v>
      </c>
      <c r="PXX30" t="e">
        <v>#N/A</v>
      </c>
      <c r="PXY30" t="e">
        <v>#N/A</v>
      </c>
      <c r="PXZ30" t="e">
        <v>#N/A</v>
      </c>
      <c r="PYA30" t="e">
        <v>#N/A</v>
      </c>
      <c r="PYB30" t="e">
        <v>#N/A</v>
      </c>
      <c r="PYC30" t="e">
        <v>#N/A</v>
      </c>
      <c r="PYD30" t="e">
        <v>#N/A</v>
      </c>
      <c r="PYE30" t="e">
        <v>#N/A</v>
      </c>
      <c r="PYF30" t="e">
        <v>#N/A</v>
      </c>
      <c r="PYG30" t="e">
        <v>#N/A</v>
      </c>
      <c r="PYH30" t="e">
        <v>#N/A</v>
      </c>
      <c r="PYI30" t="e">
        <v>#N/A</v>
      </c>
      <c r="PYJ30" t="e">
        <v>#N/A</v>
      </c>
      <c r="PYK30" t="e">
        <v>#N/A</v>
      </c>
      <c r="PYL30" t="e">
        <v>#N/A</v>
      </c>
      <c r="PYM30" t="e">
        <v>#N/A</v>
      </c>
      <c r="PYN30" t="e">
        <v>#N/A</v>
      </c>
      <c r="PYO30" t="e">
        <v>#N/A</v>
      </c>
      <c r="PYP30" t="e">
        <v>#N/A</v>
      </c>
      <c r="PYQ30" t="e">
        <v>#N/A</v>
      </c>
      <c r="PYR30" t="e">
        <v>#N/A</v>
      </c>
      <c r="PYS30" t="e">
        <v>#N/A</v>
      </c>
      <c r="PYT30" t="e">
        <v>#N/A</v>
      </c>
      <c r="PYU30" t="e">
        <v>#N/A</v>
      </c>
      <c r="PYV30" t="e">
        <v>#N/A</v>
      </c>
      <c r="PYW30" t="e">
        <v>#N/A</v>
      </c>
      <c r="PYX30" t="e">
        <v>#N/A</v>
      </c>
      <c r="PYY30" t="e">
        <v>#N/A</v>
      </c>
      <c r="PYZ30" t="e">
        <v>#N/A</v>
      </c>
      <c r="PZA30" t="e">
        <v>#N/A</v>
      </c>
      <c r="PZB30" t="e">
        <v>#N/A</v>
      </c>
      <c r="PZC30" t="e">
        <v>#N/A</v>
      </c>
      <c r="PZD30" t="e">
        <v>#N/A</v>
      </c>
      <c r="PZE30" t="e">
        <v>#N/A</v>
      </c>
      <c r="PZF30" t="e">
        <v>#N/A</v>
      </c>
      <c r="PZG30" t="e">
        <v>#N/A</v>
      </c>
      <c r="PZH30" t="e">
        <v>#N/A</v>
      </c>
      <c r="PZI30" t="e">
        <v>#N/A</v>
      </c>
      <c r="PZJ30" t="e">
        <v>#N/A</v>
      </c>
      <c r="PZK30" t="e">
        <v>#N/A</v>
      </c>
      <c r="PZL30" t="e">
        <v>#N/A</v>
      </c>
      <c r="PZM30" t="e">
        <v>#N/A</v>
      </c>
      <c r="PZN30" t="e">
        <v>#N/A</v>
      </c>
      <c r="PZO30" t="e">
        <v>#N/A</v>
      </c>
      <c r="PZP30" t="e">
        <v>#N/A</v>
      </c>
      <c r="PZQ30" t="e">
        <v>#N/A</v>
      </c>
      <c r="PZR30" t="e">
        <v>#N/A</v>
      </c>
      <c r="PZS30" t="e">
        <v>#N/A</v>
      </c>
      <c r="PZT30" t="e">
        <v>#N/A</v>
      </c>
      <c r="PZU30" t="e">
        <v>#N/A</v>
      </c>
      <c r="PZV30" t="e">
        <v>#N/A</v>
      </c>
      <c r="PZW30" t="e">
        <v>#N/A</v>
      </c>
      <c r="PZX30" t="e">
        <v>#N/A</v>
      </c>
      <c r="PZY30" t="e">
        <v>#N/A</v>
      </c>
      <c r="PZZ30" t="e">
        <v>#N/A</v>
      </c>
      <c r="QAA30" t="e">
        <v>#N/A</v>
      </c>
      <c r="QAB30" t="e">
        <v>#N/A</v>
      </c>
      <c r="QAC30" t="e">
        <v>#N/A</v>
      </c>
      <c r="QAD30" t="e">
        <v>#N/A</v>
      </c>
      <c r="QAE30" t="e">
        <v>#N/A</v>
      </c>
      <c r="QAF30" t="e">
        <v>#N/A</v>
      </c>
      <c r="QAG30" t="e">
        <v>#N/A</v>
      </c>
      <c r="QAH30" t="e">
        <v>#N/A</v>
      </c>
      <c r="QAI30" t="e">
        <v>#N/A</v>
      </c>
      <c r="QAJ30" t="e">
        <v>#N/A</v>
      </c>
      <c r="QAK30" t="e">
        <v>#N/A</v>
      </c>
      <c r="QAL30" t="e">
        <v>#N/A</v>
      </c>
      <c r="QAM30" t="e">
        <v>#N/A</v>
      </c>
      <c r="QAN30" t="e">
        <v>#N/A</v>
      </c>
      <c r="QAO30" t="e">
        <v>#N/A</v>
      </c>
      <c r="QAP30" t="e">
        <v>#N/A</v>
      </c>
      <c r="QAQ30" t="e">
        <v>#N/A</v>
      </c>
      <c r="QAR30" t="e">
        <v>#N/A</v>
      </c>
      <c r="QAS30" t="e">
        <v>#N/A</v>
      </c>
      <c r="QAT30" t="e">
        <v>#N/A</v>
      </c>
      <c r="QAU30" t="e">
        <v>#N/A</v>
      </c>
      <c r="QAV30" t="e">
        <v>#N/A</v>
      </c>
      <c r="QAW30" t="e">
        <v>#N/A</v>
      </c>
      <c r="QAX30" t="e">
        <v>#N/A</v>
      </c>
      <c r="QAY30" t="e">
        <v>#N/A</v>
      </c>
      <c r="QAZ30" t="e">
        <v>#N/A</v>
      </c>
      <c r="QBA30" t="e">
        <v>#N/A</v>
      </c>
      <c r="QBB30" t="e">
        <v>#N/A</v>
      </c>
      <c r="QBC30" t="e">
        <v>#N/A</v>
      </c>
      <c r="QBD30" t="e">
        <v>#N/A</v>
      </c>
      <c r="QBE30" t="e">
        <v>#N/A</v>
      </c>
      <c r="QBF30" t="e">
        <v>#N/A</v>
      </c>
      <c r="QBG30" t="e">
        <v>#N/A</v>
      </c>
      <c r="QBH30" t="e">
        <v>#N/A</v>
      </c>
      <c r="QBI30" t="e">
        <v>#N/A</v>
      </c>
      <c r="QBJ30" t="e">
        <v>#N/A</v>
      </c>
      <c r="QBK30" t="e">
        <v>#N/A</v>
      </c>
      <c r="QBL30" t="e">
        <v>#N/A</v>
      </c>
      <c r="QBM30" t="e">
        <v>#N/A</v>
      </c>
      <c r="QBN30" t="e">
        <v>#N/A</v>
      </c>
      <c r="QBO30" t="e">
        <v>#N/A</v>
      </c>
      <c r="QBP30" t="e">
        <v>#N/A</v>
      </c>
      <c r="QBQ30" t="e">
        <v>#N/A</v>
      </c>
      <c r="QBR30" t="e">
        <v>#N/A</v>
      </c>
      <c r="QBS30" t="e">
        <v>#N/A</v>
      </c>
      <c r="QBT30" t="e">
        <v>#N/A</v>
      </c>
      <c r="QBU30" t="e">
        <v>#N/A</v>
      </c>
      <c r="QBV30" t="e">
        <v>#N/A</v>
      </c>
      <c r="QBW30" t="e">
        <v>#N/A</v>
      </c>
      <c r="QBX30" t="e">
        <v>#N/A</v>
      </c>
      <c r="QBY30" t="e">
        <v>#N/A</v>
      </c>
      <c r="QBZ30" t="e">
        <v>#N/A</v>
      </c>
      <c r="QCA30" t="e">
        <v>#N/A</v>
      </c>
      <c r="QCB30" t="e">
        <v>#N/A</v>
      </c>
      <c r="QCC30" t="e">
        <v>#N/A</v>
      </c>
      <c r="QCD30" t="e">
        <v>#N/A</v>
      </c>
      <c r="QCE30" t="e">
        <v>#N/A</v>
      </c>
      <c r="QCF30" t="e">
        <v>#N/A</v>
      </c>
      <c r="QCG30" t="e">
        <v>#N/A</v>
      </c>
      <c r="QCH30" t="e">
        <v>#N/A</v>
      </c>
      <c r="QCI30" t="e">
        <v>#N/A</v>
      </c>
      <c r="QCJ30" t="e">
        <v>#N/A</v>
      </c>
      <c r="QCK30" t="e">
        <v>#N/A</v>
      </c>
      <c r="QCL30" t="e">
        <v>#N/A</v>
      </c>
      <c r="QCM30" t="e">
        <v>#N/A</v>
      </c>
      <c r="QCN30" t="e">
        <v>#N/A</v>
      </c>
      <c r="QCO30" t="e">
        <v>#N/A</v>
      </c>
      <c r="QCP30" t="e">
        <v>#N/A</v>
      </c>
      <c r="QCQ30" t="e">
        <v>#N/A</v>
      </c>
      <c r="QCR30" t="e">
        <v>#N/A</v>
      </c>
      <c r="QCS30" t="e">
        <v>#N/A</v>
      </c>
      <c r="QCT30" t="e">
        <v>#N/A</v>
      </c>
      <c r="QCU30" t="e">
        <v>#N/A</v>
      </c>
      <c r="QCV30" t="e">
        <v>#N/A</v>
      </c>
      <c r="QCW30" t="e">
        <v>#N/A</v>
      </c>
      <c r="QCX30" t="e">
        <v>#N/A</v>
      </c>
      <c r="QCY30" t="e">
        <v>#N/A</v>
      </c>
      <c r="QCZ30" t="e">
        <v>#N/A</v>
      </c>
      <c r="QDA30" t="e">
        <v>#N/A</v>
      </c>
      <c r="QDB30" t="e">
        <v>#N/A</v>
      </c>
      <c r="QDC30" t="e">
        <v>#N/A</v>
      </c>
      <c r="QDD30" t="e">
        <v>#N/A</v>
      </c>
      <c r="QDE30" t="e">
        <v>#N/A</v>
      </c>
      <c r="QDF30" t="e">
        <v>#N/A</v>
      </c>
      <c r="QDG30" t="e">
        <v>#N/A</v>
      </c>
      <c r="QDH30" t="e">
        <v>#N/A</v>
      </c>
      <c r="QDI30" t="e">
        <v>#N/A</v>
      </c>
      <c r="QDJ30" t="e">
        <v>#N/A</v>
      </c>
      <c r="QDK30" t="e">
        <v>#N/A</v>
      </c>
      <c r="QDL30" t="e">
        <v>#N/A</v>
      </c>
      <c r="QDM30" t="e">
        <v>#N/A</v>
      </c>
      <c r="QDN30" t="e">
        <v>#N/A</v>
      </c>
      <c r="QDO30" t="e">
        <v>#N/A</v>
      </c>
      <c r="QDP30" t="e">
        <v>#N/A</v>
      </c>
      <c r="QDQ30" t="e">
        <v>#N/A</v>
      </c>
      <c r="QDR30" t="e">
        <v>#N/A</v>
      </c>
      <c r="QDS30" t="e">
        <v>#N/A</v>
      </c>
      <c r="QDT30" t="e">
        <v>#N/A</v>
      </c>
      <c r="QDU30" t="e">
        <v>#N/A</v>
      </c>
      <c r="QDV30" t="e">
        <v>#N/A</v>
      </c>
      <c r="QDW30" t="e">
        <v>#N/A</v>
      </c>
      <c r="QDX30" t="e">
        <v>#N/A</v>
      </c>
      <c r="QDY30" t="e">
        <v>#N/A</v>
      </c>
      <c r="QDZ30" t="e">
        <v>#N/A</v>
      </c>
      <c r="QEA30" t="e">
        <v>#N/A</v>
      </c>
      <c r="QEB30" t="e">
        <v>#N/A</v>
      </c>
      <c r="QEC30" t="e">
        <v>#N/A</v>
      </c>
      <c r="QED30" t="e">
        <v>#N/A</v>
      </c>
      <c r="QEE30" t="e">
        <v>#N/A</v>
      </c>
      <c r="QEF30" t="e">
        <v>#N/A</v>
      </c>
      <c r="QEG30" t="e">
        <v>#N/A</v>
      </c>
      <c r="QEH30" t="e">
        <v>#N/A</v>
      </c>
      <c r="QEI30" t="e">
        <v>#N/A</v>
      </c>
      <c r="QEJ30" t="e">
        <v>#N/A</v>
      </c>
      <c r="QEK30" t="e">
        <v>#N/A</v>
      </c>
      <c r="QEL30" t="e">
        <v>#N/A</v>
      </c>
      <c r="QEM30" t="e">
        <v>#N/A</v>
      </c>
      <c r="QEN30" t="e">
        <v>#N/A</v>
      </c>
      <c r="QEO30" t="e">
        <v>#N/A</v>
      </c>
      <c r="QEP30" t="e">
        <v>#N/A</v>
      </c>
      <c r="QEQ30" t="e">
        <v>#N/A</v>
      </c>
      <c r="QER30" t="e">
        <v>#N/A</v>
      </c>
      <c r="QES30" t="e">
        <v>#N/A</v>
      </c>
      <c r="QET30" t="e">
        <v>#N/A</v>
      </c>
      <c r="QEU30" t="e">
        <v>#N/A</v>
      </c>
      <c r="QEV30" t="e">
        <v>#N/A</v>
      </c>
      <c r="QEW30" t="e">
        <v>#N/A</v>
      </c>
      <c r="QEX30" t="e">
        <v>#N/A</v>
      </c>
      <c r="QEY30" t="e">
        <v>#N/A</v>
      </c>
      <c r="QEZ30" t="e">
        <v>#N/A</v>
      </c>
      <c r="QFA30" t="e">
        <v>#N/A</v>
      </c>
      <c r="QFB30" t="e">
        <v>#N/A</v>
      </c>
      <c r="QFC30" t="e">
        <v>#N/A</v>
      </c>
      <c r="QFD30" t="e">
        <v>#N/A</v>
      </c>
      <c r="QFE30" t="e">
        <v>#N/A</v>
      </c>
      <c r="QFF30" t="e">
        <v>#N/A</v>
      </c>
      <c r="QFG30" t="e">
        <v>#N/A</v>
      </c>
      <c r="QFH30" t="e">
        <v>#N/A</v>
      </c>
      <c r="QFI30" t="e">
        <v>#N/A</v>
      </c>
      <c r="QFJ30" t="e">
        <v>#N/A</v>
      </c>
      <c r="QFK30" t="e">
        <v>#N/A</v>
      </c>
      <c r="QFL30" t="e">
        <v>#N/A</v>
      </c>
      <c r="QFM30" t="e">
        <v>#N/A</v>
      </c>
      <c r="QFN30" t="e">
        <v>#N/A</v>
      </c>
      <c r="QFO30" t="e">
        <v>#N/A</v>
      </c>
      <c r="QFP30" t="e">
        <v>#N/A</v>
      </c>
      <c r="QFQ30" t="e">
        <v>#N/A</v>
      </c>
      <c r="QFR30" t="e">
        <v>#N/A</v>
      </c>
      <c r="QFS30" t="e">
        <v>#N/A</v>
      </c>
      <c r="QFT30" t="e">
        <v>#N/A</v>
      </c>
      <c r="QFU30" t="e">
        <v>#N/A</v>
      </c>
      <c r="QFV30" t="e">
        <v>#N/A</v>
      </c>
      <c r="QFW30" t="e">
        <v>#N/A</v>
      </c>
      <c r="QFX30" t="e">
        <v>#N/A</v>
      </c>
      <c r="QFY30" t="e">
        <v>#N/A</v>
      </c>
      <c r="QFZ30" t="e">
        <v>#N/A</v>
      </c>
      <c r="QGA30" t="e">
        <v>#N/A</v>
      </c>
      <c r="QGB30" t="e">
        <v>#N/A</v>
      </c>
      <c r="QGC30" t="e">
        <v>#N/A</v>
      </c>
      <c r="QGD30" t="e">
        <v>#N/A</v>
      </c>
      <c r="QGE30" t="e">
        <v>#N/A</v>
      </c>
      <c r="QGF30" t="e">
        <v>#N/A</v>
      </c>
      <c r="QGG30" t="e">
        <v>#N/A</v>
      </c>
      <c r="QGH30" t="e">
        <v>#N/A</v>
      </c>
      <c r="QGI30" t="e">
        <v>#N/A</v>
      </c>
      <c r="QGJ30" t="e">
        <v>#N/A</v>
      </c>
      <c r="QGK30" t="e">
        <v>#N/A</v>
      </c>
      <c r="QGL30" t="e">
        <v>#N/A</v>
      </c>
      <c r="QGM30" t="e">
        <v>#N/A</v>
      </c>
      <c r="QGN30" t="e">
        <v>#N/A</v>
      </c>
      <c r="QGO30" t="e">
        <v>#N/A</v>
      </c>
      <c r="QGP30" t="e">
        <v>#N/A</v>
      </c>
      <c r="QGQ30" t="e">
        <v>#N/A</v>
      </c>
      <c r="QGR30" t="e">
        <v>#N/A</v>
      </c>
      <c r="QGS30" t="e">
        <v>#N/A</v>
      </c>
      <c r="QGT30" t="e">
        <v>#N/A</v>
      </c>
      <c r="QGU30" t="e">
        <v>#N/A</v>
      </c>
      <c r="QGV30" t="e">
        <v>#N/A</v>
      </c>
      <c r="QGW30" t="e">
        <v>#N/A</v>
      </c>
      <c r="QGX30" t="e">
        <v>#N/A</v>
      </c>
      <c r="QGY30" t="e">
        <v>#N/A</v>
      </c>
      <c r="QGZ30" t="e">
        <v>#N/A</v>
      </c>
      <c r="QHA30" t="e">
        <v>#N/A</v>
      </c>
      <c r="QHB30" t="e">
        <v>#N/A</v>
      </c>
      <c r="QHC30" t="e">
        <v>#N/A</v>
      </c>
      <c r="QHD30" t="e">
        <v>#N/A</v>
      </c>
      <c r="QHE30" t="e">
        <v>#N/A</v>
      </c>
      <c r="QHF30" t="e">
        <v>#N/A</v>
      </c>
      <c r="QHG30" t="e">
        <v>#N/A</v>
      </c>
      <c r="QHH30" t="e">
        <v>#N/A</v>
      </c>
      <c r="QHI30" t="e">
        <v>#N/A</v>
      </c>
      <c r="QHJ30" t="e">
        <v>#N/A</v>
      </c>
      <c r="QHK30" t="e">
        <v>#N/A</v>
      </c>
      <c r="QHL30" t="e">
        <v>#N/A</v>
      </c>
      <c r="QHM30" t="e">
        <v>#N/A</v>
      </c>
      <c r="QHN30" t="e">
        <v>#N/A</v>
      </c>
      <c r="QHO30" t="e">
        <v>#N/A</v>
      </c>
      <c r="QHP30" t="e">
        <v>#N/A</v>
      </c>
      <c r="QHQ30" t="e">
        <v>#N/A</v>
      </c>
      <c r="QHR30" t="e">
        <v>#N/A</v>
      </c>
      <c r="QHS30" t="e">
        <v>#N/A</v>
      </c>
      <c r="QHT30" t="e">
        <v>#N/A</v>
      </c>
      <c r="QHU30" t="e">
        <v>#N/A</v>
      </c>
      <c r="QHV30" t="e">
        <v>#N/A</v>
      </c>
      <c r="QHW30" t="e">
        <v>#N/A</v>
      </c>
      <c r="QHX30" t="e">
        <v>#N/A</v>
      </c>
      <c r="QHY30" t="e">
        <v>#N/A</v>
      </c>
      <c r="QHZ30" t="e">
        <v>#N/A</v>
      </c>
      <c r="QIA30" t="e">
        <v>#N/A</v>
      </c>
      <c r="QIB30" t="e">
        <v>#N/A</v>
      </c>
      <c r="QIC30" t="e">
        <v>#N/A</v>
      </c>
      <c r="QID30" t="e">
        <v>#N/A</v>
      </c>
      <c r="QIE30" t="e">
        <v>#N/A</v>
      </c>
      <c r="QIF30" t="e">
        <v>#N/A</v>
      </c>
      <c r="QIG30" t="e">
        <v>#N/A</v>
      </c>
      <c r="QIH30" t="e">
        <v>#N/A</v>
      </c>
      <c r="QII30" t="e">
        <v>#N/A</v>
      </c>
      <c r="QIJ30" t="e">
        <v>#N/A</v>
      </c>
      <c r="QIK30" t="e">
        <v>#N/A</v>
      </c>
      <c r="QIL30" t="e">
        <v>#N/A</v>
      </c>
      <c r="QIM30" t="e">
        <v>#N/A</v>
      </c>
      <c r="QIN30" t="e">
        <v>#N/A</v>
      </c>
      <c r="QIO30" t="e">
        <v>#N/A</v>
      </c>
      <c r="QIP30" t="e">
        <v>#N/A</v>
      </c>
      <c r="QIQ30" t="e">
        <v>#N/A</v>
      </c>
      <c r="QIR30" t="e">
        <v>#N/A</v>
      </c>
      <c r="QIS30" t="e">
        <v>#N/A</v>
      </c>
      <c r="QIT30" t="e">
        <v>#N/A</v>
      </c>
      <c r="QIU30" t="e">
        <v>#N/A</v>
      </c>
      <c r="QIV30" t="e">
        <v>#N/A</v>
      </c>
      <c r="QIW30" t="e">
        <v>#N/A</v>
      </c>
      <c r="QIX30" t="e">
        <v>#N/A</v>
      </c>
      <c r="QIY30" t="e">
        <v>#N/A</v>
      </c>
      <c r="QIZ30" t="e">
        <v>#N/A</v>
      </c>
      <c r="QJA30" t="e">
        <v>#N/A</v>
      </c>
      <c r="QJB30" t="e">
        <v>#N/A</v>
      </c>
      <c r="QJC30" t="e">
        <v>#N/A</v>
      </c>
      <c r="QJD30" t="e">
        <v>#N/A</v>
      </c>
      <c r="QJE30" t="e">
        <v>#N/A</v>
      </c>
      <c r="QJF30" t="e">
        <v>#N/A</v>
      </c>
      <c r="QJG30" t="e">
        <v>#N/A</v>
      </c>
      <c r="QJH30" t="e">
        <v>#N/A</v>
      </c>
      <c r="QJI30" t="e">
        <v>#N/A</v>
      </c>
      <c r="QJJ30" t="e">
        <v>#N/A</v>
      </c>
      <c r="QJK30" t="e">
        <v>#N/A</v>
      </c>
      <c r="QJL30" t="e">
        <v>#N/A</v>
      </c>
      <c r="QJM30" t="e">
        <v>#N/A</v>
      </c>
      <c r="QJN30" t="e">
        <v>#N/A</v>
      </c>
      <c r="QJO30" t="e">
        <v>#N/A</v>
      </c>
      <c r="QJP30" t="e">
        <v>#N/A</v>
      </c>
      <c r="QJQ30" t="e">
        <v>#N/A</v>
      </c>
      <c r="QJR30" t="e">
        <v>#N/A</v>
      </c>
      <c r="QJS30" t="e">
        <v>#N/A</v>
      </c>
      <c r="QJT30" t="e">
        <v>#N/A</v>
      </c>
      <c r="QJU30" t="e">
        <v>#N/A</v>
      </c>
      <c r="QJV30" t="e">
        <v>#N/A</v>
      </c>
      <c r="QJW30" t="e">
        <v>#N/A</v>
      </c>
      <c r="QJX30" t="e">
        <v>#N/A</v>
      </c>
      <c r="QJY30" t="e">
        <v>#N/A</v>
      </c>
      <c r="QJZ30" t="e">
        <v>#N/A</v>
      </c>
      <c r="QKA30" t="e">
        <v>#N/A</v>
      </c>
      <c r="QKB30" t="e">
        <v>#N/A</v>
      </c>
      <c r="QKC30" t="e">
        <v>#N/A</v>
      </c>
      <c r="QKD30" t="e">
        <v>#N/A</v>
      </c>
      <c r="QKE30" t="e">
        <v>#N/A</v>
      </c>
      <c r="QKF30" t="e">
        <v>#N/A</v>
      </c>
      <c r="QKG30" t="e">
        <v>#N/A</v>
      </c>
      <c r="QKH30" t="e">
        <v>#N/A</v>
      </c>
      <c r="QKI30" t="e">
        <v>#N/A</v>
      </c>
      <c r="QKJ30" t="e">
        <v>#N/A</v>
      </c>
      <c r="QKK30" t="e">
        <v>#N/A</v>
      </c>
      <c r="QKL30" t="e">
        <v>#N/A</v>
      </c>
      <c r="QKM30" t="e">
        <v>#N/A</v>
      </c>
      <c r="QKN30" t="e">
        <v>#N/A</v>
      </c>
      <c r="QKO30" t="e">
        <v>#N/A</v>
      </c>
      <c r="QKP30" t="e">
        <v>#N/A</v>
      </c>
      <c r="QKQ30" t="e">
        <v>#N/A</v>
      </c>
      <c r="QKR30" t="e">
        <v>#N/A</v>
      </c>
      <c r="QKS30" t="e">
        <v>#N/A</v>
      </c>
      <c r="QKT30" t="e">
        <v>#N/A</v>
      </c>
      <c r="QKU30" t="e">
        <v>#N/A</v>
      </c>
      <c r="QKV30" t="e">
        <v>#N/A</v>
      </c>
      <c r="QKW30" t="e">
        <v>#N/A</v>
      </c>
      <c r="QKX30" t="e">
        <v>#N/A</v>
      </c>
      <c r="QKY30" t="e">
        <v>#N/A</v>
      </c>
      <c r="QKZ30" t="e">
        <v>#N/A</v>
      </c>
      <c r="QLA30" t="e">
        <v>#N/A</v>
      </c>
      <c r="QLB30" t="e">
        <v>#N/A</v>
      </c>
      <c r="QLC30" t="e">
        <v>#N/A</v>
      </c>
      <c r="QLD30" t="e">
        <v>#N/A</v>
      </c>
      <c r="QLE30" t="e">
        <v>#N/A</v>
      </c>
      <c r="QLF30" t="e">
        <v>#N/A</v>
      </c>
      <c r="QLG30" t="e">
        <v>#N/A</v>
      </c>
      <c r="QLH30" t="e">
        <v>#N/A</v>
      </c>
      <c r="QLI30" t="e">
        <v>#N/A</v>
      </c>
      <c r="QLJ30" t="e">
        <v>#N/A</v>
      </c>
      <c r="QLK30" t="e">
        <v>#N/A</v>
      </c>
      <c r="QLL30" t="e">
        <v>#N/A</v>
      </c>
      <c r="QLM30" t="e">
        <v>#N/A</v>
      </c>
      <c r="QLN30" t="e">
        <v>#N/A</v>
      </c>
      <c r="QLO30" t="e">
        <v>#N/A</v>
      </c>
      <c r="QLP30" t="e">
        <v>#N/A</v>
      </c>
      <c r="QLQ30" t="e">
        <v>#N/A</v>
      </c>
      <c r="QLR30" t="e">
        <v>#N/A</v>
      </c>
      <c r="QLS30" t="e">
        <v>#N/A</v>
      </c>
      <c r="QLT30" t="e">
        <v>#N/A</v>
      </c>
      <c r="QLU30" t="e">
        <v>#N/A</v>
      </c>
      <c r="QLV30" t="e">
        <v>#N/A</v>
      </c>
      <c r="QLW30" t="e">
        <v>#N/A</v>
      </c>
      <c r="QLX30" t="e">
        <v>#N/A</v>
      </c>
      <c r="QLY30" t="e">
        <v>#N/A</v>
      </c>
      <c r="QLZ30" t="e">
        <v>#N/A</v>
      </c>
      <c r="QMA30" t="e">
        <v>#N/A</v>
      </c>
      <c r="QMB30" t="e">
        <v>#N/A</v>
      </c>
      <c r="QMC30" t="e">
        <v>#N/A</v>
      </c>
      <c r="QMD30" t="e">
        <v>#N/A</v>
      </c>
      <c r="QME30" t="e">
        <v>#N/A</v>
      </c>
      <c r="QMF30" t="e">
        <v>#N/A</v>
      </c>
      <c r="QMG30" t="e">
        <v>#N/A</v>
      </c>
      <c r="QMH30" t="e">
        <v>#N/A</v>
      </c>
      <c r="QMI30" t="e">
        <v>#N/A</v>
      </c>
      <c r="QMJ30" t="e">
        <v>#N/A</v>
      </c>
      <c r="QMK30" t="e">
        <v>#N/A</v>
      </c>
      <c r="QML30" t="e">
        <v>#N/A</v>
      </c>
      <c r="QMM30" t="e">
        <v>#N/A</v>
      </c>
      <c r="QMN30" t="e">
        <v>#N/A</v>
      </c>
      <c r="QMO30" t="e">
        <v>#N/A</v>
      </c>
      <c r="QMP30" t="e">
        <v>#N/A</v>
      </c>
      <c r="QMQ30" t="e">
        <v>#N/A</v>
      </c>
      <c r="QMR30" t="e">
        <v>#N/A</v>
      </c>
      <c r="QMS30" t="e">
        <v>#N/A</v>
      </c>
      <c r="QMT30" t="e">
        <v>#N/A</v>
      </c>
      <c r="QMU30" t="e">
        <v>#N/A</v>
      </c>
      <c r="QMV30" t="e">
        <v>#N/A</v>
      </c>
      <c r="QMW30" t="e">
        <v>#N/A</v>
      </c>
      <c r="QMX30" t="e">
        <v>#N/A</v>
      </c>
      <c r="QMY30" t="e">
        <v>#N/A</v>
      </c>
      <c r="QMZ30" t="e">
        <v>#N/A</v>
      </c>
      <c r="QNA30" t="e">
        <v>#N/A</v>
      </c>
      <c r="QNB30" t="e">
        <v>#N/A</v>
      </c>
      <c r="QNC30" t="e">
        <v>#N/A</v>
      </c>
      <c r="QND30" t="e">
        <v>#N/A</v>
      </c>
      <c r="QNE30" t="e">
        <v>#N/A</v>
      </c>
      <c r="QNF30" t="e">
        <v>#N/A</v>
      </c>
      <c r="QNG30" t="e">
        <v>#N/A</v>
      </c>
      <c r="QNH30" t="e">
        <v>#N/A</v>
      </c>
      <c r="QNI30" t="e">
        <v>#N/A</v>
      </c>
      <c r="QNJ30" t="e">
        <v>#N/A</v>
      </c>
      <c r="QNK30" t="e">
        <v>#N/A</v>
      </c>
      <c r="QNL30" t="e">
        <v>#N/A</v>
      </c>
      <c r="QNM30" t="e">
        <v>#N/A</v>
      </c>
      <c r="QNN30" t="e">
        <v>#N/A</v>
      </c>
      <c r="QNO30" t="e">
        <v>#N/A</v>
      </c>
      <c r="QNP30" t="e">
        <v>#N/A</v>
      </c>
      <c r="QNQ30" t="e">
        <v>#N/A</v>
      </c>
      <c r="QNR30" t="e">
        <v>#N/A</v>
      </c>
      <c r="QNS30" t="e">
        <v>#N/A</v>
      </c>
      <c r="QNT30" t="e">
        <v>#N/A</v>
      </c>
      <c r="QNU30" t="e">
        <v>#N/A</v>
      </c>
      <c r="QNV30" t="e">
        <v>#N/A</v>
      </c>
      <c r="QNW30" t="e">
        <v>#N/A</v>
      </c>
      <c r="QNX30" t="e">
        <v>#N/A</v>
      </c>
      <c r="QNY30" t="e">
        <v>#N/A</v>
      </c>
      <c r="QNZ30" t="e">
        <v>#N/A</v>
      </c>
      <c r="QOA30" t="e">
        <v>#N/A</v>
      </c>
      <c r="QOB30" t="e">
        <v>#N/A</v>
      </c>
      <c r="QOC30" t="e">
        <v>#N/A</v>
      </c>
      <c r="QOD30" t="e">
        <v>#N/A</v>
      </c>
      <c r="QOE30" t="e">
        <v>#N/A</v>
      </c>
      <c r="QOF30" t="e">
        <v>#N/A</v>
      </c>
      <c r="QOG30" t="e">
        <v>#N/A</v>
      </c>
      <c r="QOH30" t="e">
        <v>#N/A</v>
      </c>
      <c r="QOI30" t="e">
        <v>#N/A</v>
      </c>
      <c r="QOJ30" t="e">
        <v>#N/A</v>
      </c>
      <c r="QOK30" t="e">
        <v>#N/A</v>
      </c>
      <c r="QOL30" t="e">
        <v>#N/A</v>
      </c>
      <c r="QOM30" t="e">
        <v>#N/A</v>
      </c>
      <c r="QON30" t="e">
        <v>#N/A</v>
      </c>
      <c r="QOO30" t="e">
        <v>#N/A</v>
      </c>
      <c r="QOP30" t="e">
        <v>#N/A</v>
      </c>
      <c r="QOQ30" t="e">
        <v>#N/A</v>
      </c>
      <c r="QOR30" t="e">
        <v>#N/A</v>
      </c>
      <c r="QOS30" t="e">
        <v>#N/A</v>
      </c>
      <c r="QOT30" t="e">
        <v>#N/A</v>
      </c>
      <c r="QOU30" t="e">
        <v>#N/A</v>
      </c>
      <c r="QOV30" t="e">
        <v>#N/A</v>
      </c>
      <c r="QOW30" t="e">
        <v>#N/A</v>
      </c>
      <c r="QOX30" t="e">
        <v>#N/A</v>
      </c>
      <c r="QOY30" t="e">
        <v>#N/A</v>
      </c>
      <c r="QOZ30" t="e">
        <v>#N/A</v>
      </c>
      <c r="QPA30" t="e">
        <v>#N/A</v>
      </c>
      <c r="QPB30" t="e">
        <v>#N/A</v>
      </c>
      <c r="QPC30" t="e">
        <v>#N/A</v>
      </c>
      <c r="QPD30" t="e">
        <v>#N/A</v>
      </c>
      <c r="QPE30" t="e">
        <v>#N/A</v>
      </c>
      <c r="QPF30" t="e">
        <v>#N/A</v>
      </c>
      <c r="QPG30" t="e">
        <v>#N/A</v>
      </c>
      <c r="QPH30" t="e">
        <v>#N/A</v>
      </c>
      <c r="QPI30" t="e">
        <v>#N/A</v>
      </c>
      <c r="QPJ30" t="e">
        <v>#N/A</v>
      </c>
      <c r="QPK30" t="e">
        <v>#N/A</v>
      </c>
      <c r="QPL30" t="e">
        <v>#N/A</v>
      </c>
      <c r="QPM30" t="e">
        <v>#N/A</v>
      </c>
      <c r="QPN30" t="e">
        <v>#N/A</v>
      </c>
      <c r="QPO30" t="e">
        <v>#N/A</v>
      </c>
      <c r="QPP30" t="e">
        <v>#N/A</v>
      </c>
      <c r="QPQ30" t="e">
        <v>#N/A</v>
      </c>
      <c r="QPR30" t="e">
        <v>#N/A</v>
      </c>
      <c r="QPS30" t="e">
        <v>#N/A</v>
      </c>
      <c r="QPT30" t="e">
        <v>#N/A</v>
      </c>
      <c r="QPU30" t="e">
        <v>#N/A</v>
      </c>
      <c r="QPV30" t="e">
        <v>#N/A</v>
      </c>
      <c r="QPW30" t="e">
        <v>#N/A</v>
      </c>
      <c r="QPX30" t="e">
        <v>#N/A</v>
      </c>
      <c r="QPY30" t="e">
        <v>#N/A</v>
      </c>
      <c r="QPZ30" t="e">
        <v>#N/A</v>
      </c>
      <c r="QQA30" t="e">
        <v>#N/A</v>
      </c>
      <c r="QQB30" t="e">
        <v>#N/A</v>
      </c>
      <c r="QQC30" t="e">
        <v>#N/A</v>
      </c>
      <c r="QQD30" t="e">
        <v>#N/A</v>
      </c>
      <c r="QQE30" t="e">
        <v>#N/A</v>
      </c>
      <c r="QQF30" t="e">
        <v>#N/A</v>
      </c>
      <c r="QQG30" t="e">
        <v>#N/A</v>
      </c>
      <c r="QQH30" t="e">
        <v>#N/A</v>
      </c>
      <c r="QQI30" t="e">
        <v>#N/A</v>
      </c>
      <c r="QQJ30" t="e">
        <v>#N/A</v>
      </c>
      <c r="QQK30" t="e">
        <v>#N/A</v>
      </c>
      <c r="QQL30" t="e">
        <v>#N/A</v>
      </c>
      <c r="QQM30" t="e">
        <v>#N/A</v>
      </c>
      <c r="QQN30" t="e">
        <v>#N/A</v>
      </c>
      <c r="QQO30" t="e">
        <v>#N/A</v>
      </c>
      <c r="QQP30" t="e">
        <v>#N/A</v>
      </c>
      <c r="QQQ30" t="e">
        <v>#N/A</v>
      </c>
      <c r="QQR30" t="e">
        <v>#N/A</v>
      </c>
      <c r="QQS30" t="e">
        <v>#N/A</v>
      </c>
      <c r="QQT30" t="e">
        <v>#N/A</v>
      </c>
      <c r="QQU30" t="e">
        <v>#N/A</v>
      </c>
      <c r="QQV30" t="e">
        <v>#N/A</v>
      </c>
      <c r="QQW30" t="e">
        <v>#N/A</v>
      </c>
      <c r="QQX30" t="e">
        <v>#N/A</v>
      </c>
      <c r="QQY30" t="e">
        <v>#N/A</v>
      </c>
      <c r="QQZ30" t="e">
        <v>#N/A</v>
      </c>
      <c r="QRA30" t="e">
        <v>#N/A</v>
      </c>
      <c r="QRB30" t="e">
        <v>#N/A</v>
      </c>
      <c r="QRC30" t="e">
        <v>#N/A</v>
      </c>
      <c r="QRD30" t="e">
        <v>#N/A</v>
      </c>
      <c r="QRE30" t="e">
        <v>#N/A</v>
      </c>
      <c r="QRF30" t="e">
        <v>#N/A</v>
      </c>
      <c r="QRG30" t="e">
        <v>#N/A</v>
      </c>
      <c r="QRH30" t="e">
        <v>#N/A</v>
      </c>
      <c r="QRI30" t="e">
        <v>#N/A</v>
      </c>
      <c r="QRJ30" t="e">
        <v>#N/A</v>
      </c>
      <c r="QRK30" t="e">
        <v>#N/A</v>
      </c>
      <c r="QRL30" t="e">
        <v>#N/A</v>
      </c>
      <c r="QRM30" t="e">
        <v>#N/A</v>
      </c>
      <c r="QRN30" t="e">
        <v>#N/A</v>
      </c>
      <c r="QRO30" t="e">
        <v>#N/A</v>
      </c>
      <c r="QRP30" t="e">
        <v>#N/A</v>
      </c>
      <c r="QRQ30" t="e">
        <v>#N/A</v>
      </c>
      <c r="QRR30" t="e">
        <v>#N/A</v>
      </c>
      <c r="QRS30" t="e">
        <v>#N/A</v>
      </c>
      <c r="QRT30" t="e">
        <v>#N/A</v>
      </c>
      <c r="QRU30" t="e">
        <v>#N/A</v>
      </c>
      <c r="QRV30" t="e">
        <v>#N/A</v>
      </c>
      <c r="QRW30" t="e">
        <v>#N/A</v>
      </c>
      <c r="QRX30" t="e">
        <v>#N/A</v>
      </c>
      <c r="QRY30" t="e">
        <v>#N/A</v>
      </c>
      <c r="QRZ30" t="e">
        <v>#N/A</v>
      </c>
      <c r="QSA30" t="e">
        <v>#N/A</v>
      </c>
      <c r="QSB30" t="e">
        <v>#N/A</v>
      </c>
      <c r="QSC30" t="e">
        <v>#N/A</v>
      </c>
      <c r="QSD30" t="e">
        <v>#N/A</v>
      </c>
      <c r="QSE30" t="e">
        <v>#N/A</v>
      </c>
      <c r="QSF30" t="e">
        <v>#N/A</v>
      </c>
      <c r="QSG30" t="e">
        <v>#N/A</v>
      </c>
      <c r="QSH30" t="e">
        <v>#N/A</v>
      </c>
      <c r="QSI30" t="e">
        <v>#N/A</v>
      </c>
      <c r="QSJ30" t="e">
        <v>#N/A</v>
      </c>
      <c r="QSK30" t="e">
        <v>#N/A</v>
      </c>
      <c r="QSL30" t="e">
        <v>#N/A</v>
      </c>
      <c r="QSM30" t="e">
        <v>#N/A</v>
      </c>
      <c r="QSN30" t="e">
        <v>#N/A</v>
      </c>
      <c r="QSO30" t="e">
        <v>#N/A</v>
      </c>
      <c r="QSP30" t="e">
        <v>#N/A</v>
      </c>
      <c r="QSQ30" t="e">
        <v>#N/A</v>
      </c>
      <c r="QSR30" t="e">
        <v>#N/A</v>
      </c>
      <c r="QSS30" t="e">
        <v>#N/A</v>
      </c>
      <c r="QST30" t="e">
        <v>#N/A</v>
      </c>
      <c r="QSU30" t="e">
        <v>#N/A</v>
      </c>
      <c r="QSV30" t="e">
        <v>#N/A</v>
      </c>
      <c r="QSW30" t="e">
        <v>#N/A</v>
      </c>
      <c r="QSX30" t="e">
        <v>#N/A</v>
      </c>
      <c r="QSY30" t="e">
        <v>#N/A</v>
      </c>
      <c r="QSZ30" t="e">
        <v>#N/A</v>
      </c>
      <c r="QTA30" t="e">
        <v>#N/A</v>
      </c>
      <c r="QTB30" t="e">
        <v>#N/A</v>
      </c>
      <c r="QTC30" t="e">
        <v>#N/A</v>
      </c>
      <c r="QTD30" t="e">
        <v>#N/A</v>
      </c>
      <c r="QTE30" t="e">
        <v>#N/A</v>
      </c>
      <c r="QTF30" t="e">
        <v>#N/A</v>
      </c>
      <c r="QTG30" t="e">
        <v>#N/A</v>
      </c>
      <c r="QTH30" t="e">
        <v>#N/A</v>
      </c>
      <c r="QTI30" t="e">
        <v>#N/A</v>
      </c>
      <c r="QTJ30" t="e">
        <v>#N/A</v>
      </c>
      <c r="QTK30" t="e">
        <v>#N/A</v>
      </c>
      <c r="QTL30" t="e">
        <v>#N/A</v>
      </c>
      <c r="QTM30" t="e">
        <v>#N/A</v>
      </c>
      <c r="QTN30" t="e">
        <v>#N/A</v>
      </c>
      <c r="QTO30" t="e">
        <v>#N/A</v>
      </c>
      <c r="QTP30" t="e">
        <v>#N/A</v>
      </c>
      <c r="QTQ30" t="e">
        <v>#N/A</v>
      </c>
      <c r="QTR30" t="e">
        <v>#N/A</v>
      </c>
      <c r="QTS30" t="e">
        <v>#N/A</v>
      </c>
      <c r="QTT30" t="e">
        <v>#N/A</v>
      </c>
      <c r="QTU30" t="e">
        <v>#N/A</v>
      </c>
      <c r="QTV30" t="e">
        <v>#N/A</v>
      </c>
      <c r="QTW30" t="e">
        <v>#N/A</v>
      </c>
      <c r="QTX30" t="e">
        <v>#N/A</v>
      </c>
      <c r="QTY30" t="e">
        <v>#N/A</v>
      </c>
      <c r="QTZ30" t="e">
        <v>#N/A</v>
      </c>
      <c r="QUA30" t="e">
        <v>#N/A</v>
      </c>
      <c r="QUB30" t="e">
        <v>#N/A</v>
      </c>
      <c r="QUC30" t="e">
        <v>#N/A</v>
      </c>
      <c r="QUD30" t="e">
        <v>#N/A</v>
      </c>
      <c r="QUE30" t="e">
        <v>#N/A</v>
      </c>
      <c r="QUF30" t="e">
        <v>#N/A</v>
      </c>
      <c r="QUG30" t="e">
        <v>#N/A</v>
      </c>
      <c r="QUH30" t="e">
        <v>#N/A</v>
      </c>
      <c r="QUI30" t="e">
        <v>#N/A</v>
      </c>
      <c r="QUJ30" t="e">
        <v>#N/A</v>
      </c>
      <c r="QUK30" t="e">
        <v>#N/A</v>
      </c>
      <c r="QUL30" t="e">
        <v>#N/A</v>
      </c>
      <c r="QUM30" t="e">
        <v>#N/A</v>
      </c>
      <c r="QUN30" t="e">
        <v>#N/A</v>
      </c>
      <c r="QUO30" t="e">
        <v>#N/A</v>
      </c>
      <c r="QUP30" t="e">
        <v>#N/A</v>
      </c>
      <c r="QUQ30" t="e">
        <v>#N/A</v>
      </c>
      <c r="QUR30" t="e">
        <v>#N/A</v>
      </c>
      <c r="QUS30" t="e">
        <v>#N/A</v>
      </c>
      <c r="QUT30" t="e">
        <v>#N/A</v>
      </c>
      <c r="QUU30" t="e">
        <v>#N/A</v>
      </c>
      <c r="QUV30" t="e">
        <v>#N/A</v>
      </c>
      <c r="QUW30" t="e">
        <v>#N/A</v>
      </c>
      <c r="QUX30" t="e">
        <v>#N/A</v>
      </c>
      <c r="QUY30" t="e">
        <v>#N/A</v>
      </c>
      <c r="QUZ30" t="e">
        <v>#N/A</v>
      </c>
      <c r="QVA30" t="e">
        <v>#N/A</v>
      </c>
      <c r="QVB30" t="e">
        <v>#N/A</v>
      </c>
      <c r="QVC30" t="e">
        <v>#N/A</v>
      </c>
      <c r="QVD30" t="e">
        <v>#N/A</v>
      </c>
      <c r="QVE30" t="e">
        <v>#N/A</v>
      </c>
      <c r="QVF30" t="e">
        <v>#N/A</v>
      </c>
      <c r="QVG30" t="e">
        <v>#N/A</v>
      </c>
      <c r="QVH30" t="e">
        <v>#N/A</v>
      </c>
      <c r="QVI30" t="e">
        <v>#N/A</v>
      </c>
      <c r="QVJ30" t="e">
        <v>#N/A</v>
      </c>
      <c r="QVK30" t="e">
        <v>#N/A</v>
      </c>
      <c r="QVL30" t="e">
        <v>#N/A</v>
      </c>
      <c r="QVM30" t="e">
        <v>#N/A</v>
      </c>
      <c r="QVN30" t="e">
        <v>#N/A</v>
      </c>
      <c r="QVO30" t="e">
        <v>#N/A</v>
      </c>
      <c r="QVP30" t="e">
        <v>#N/A</v>
      </c>
      <c r="QVQ30" t="e">
        <v>#N/A</v>
      </c>
      <c r="QVR30" t="e">
        <v>#N/A</v>
      </c>
      <c r="QVS30" t="e">
        <v>#N/A</v>
      </c>
      <c r="QVT30" t="e">
        <v>#N/A</v>
      </c>
      <c r="QVU30" t="e">
        <v>#N/A</v>
      </c>
      <c r="QVV30" t="e">
        <v>#N/A</v>
      </c>
      <c r="QVW30" t="e">
        <v>#N/A</v>
      </c>
      <c r="QVX30" t="e">
        <v>#N/A</v>
      </c>
      <c r="QVY30" t="e">
        <v>#N/A</v>
      </c>
      <c r="QVZ30" t="e">
        <v>#N/A</v>
      </c>
      <c r="QWA30" t="e">
        <v>#N/A</v>
      </c>
      <c r="QWB30" t="e">
        <v>#N/A</v>
      </c>
      <c r="QWC30" t="e">
        <v>#N/A</v>
      </c>
      <c r="QWD30" t="e">
        <v>#N/A</v>
      </c>
      <c r="QWE30" t="e">
        <v>#N/A</v>
      </c>
      <c r="QWF30" t="e">
        <v>#N/A</v>
      </c>
      <c r="QWG30" t="e">
        <v>#N/A</v>
      </c>
      <c r="QWH30" t="e">
        <v>#N/A</v>
      </c>
      <c r="QWI30" t="e">
        <v>#N/A</v>
      </c>
      <c r="QWJ30" t="e">
        <v>#N/A</v>
      </c>
      <c r="QWK30" t="e">
        <v>#N/A</v>
      </c>
      <c r="QWL30" t="e">
        <v>#N/A</v>
      </c>
      <c r="QWM30" t="e">
        <v>#N/A</v>
      </c>
      <c r="QWN30" t="e">
        <v>#N/A</v>
      </c>
      <c r="QWO30" t="e">
        <v>#N/A</v>
      </c>
      <c r="QWP30" t="e">
        <v>#N/A</v>
      </c>
      <c r="QWQ30" t="e">
        <v>#N/A</v>
      </c>
      <c r="QWR30" t="e">
        <v>#N/A</v>
      </c>
      <c r="QWS30" t="e">
        <v>#N/A</v>
      </c>
      <c r="QWT30" t="e">
        <v>#N/A</v>
      </c>
      <c r="QWU30" t="e">
        <v>#N/A</v>
      </c>
      <c r="QWV30" t="e">
        <v>#N/A</v>
      </c>
      <c r="QWW30" t="e">
        <v>#N/A</v>
      </c>
      <c r="QWX30" t="e">
        <v>#N/A</v>
      </c>
      <c r="QWY30" t="e">
        <v>#N/A</v>
      </c>
      <c r="QWZ30" t="e">
        <v>#N/A</v>
      </c>
      <c r="QXA30" t="e">
        <v>#N/A</v>
      </c>
      <c r="QXB30" t="e">
        <v>#N/A</v>
      </c>
      <c r="QXC30" t="e">
        <v>#N/A</v>
      </c>
      <c r="QXD30" t="e">
        <v>#N/A</v>
      </c>
      <c r="QXE30" t="e">
        <v>#N/A</v>
      </c>
      <c r="QXF30" t="e">
        <v>#N/A</v>
      </c>
      <c r="QXG30" t="e">
        <v>#N/A</v>
      </c>
      <c r="QXH30" t="e">
        <v>#N/A</v>
      </c>
      <c r="QXI30" t="e">
        <v>#N/A</v>
      </c>
      <c r="QXJ30" t="e">
        <v>#N/A</v>
      </c>
      <c r="QXK30" t="e">
        <v>#N/A</v>
      </c>
      <c r="QXL30" t="e">
        <v>#N/A</v>
      </c>
      <c r="QXM30" t="e">
        <v>#N/A</v>
      </c>
      <c r="QXN30" t="e">
        <v>#N/A</v>
      </c>
      <c r="QXO30" t="e">
        <v>#N/A</v>
      </c>
      <c r="QXP30" t="e">
        <v>#N/A</v>
      </c>
      <c r="QXQ30" t="e">
        <v>#N/A</v>
      </c>
      <c r="QXR30" t="e">
        <v>#N/A</v>
      </c>
      <c r="QXS30" t="e">
        <v>#N/A</v>
      </c>
      <c r="QXT30" t="e">
        <v>#N/A</v>
      </c>
      <c r="QXU30" t="e">
        <v>#N/A</v>
      </c>
      <c r="QXV30" t="e">
        <v>#N/A</v>
      </c>
      <c r="QXW30" t="e">
        <v>#N/A</v>
      </c>
      <c r="QXX30" t="e">
        <v>#N/A</v>
      </c>
      <c r="QXY30" t="e">
        <v>#N/A</v>
      </c>
      <c r="QXZ30" t="e">
        <v>#N/A</v>
      </c>
      <c r="QYA30" t="e">
        <v>#N/A</v>
      </c>
      <c r="QYB30" t="e">
        <v>#N/A</v>
      </c>
      <c r="QYC30" t="e">
        <v>#N/A</v>
      </c>
      <c r="QYD30" t="e">
        <v>#N/A</v>
      </c>
      <c r="QYE30" t="e">
        <v>#N/A</v>
      </c>
      <c r="QYF30" t="e">
        <v>#N/A</v>
      </c>
      <c r="QYG30" t="e">
        <v>#N/A</v>
      </c>
      <c r="QYH30" t="e">
        <v>#N/A</v>
      </c>
      <c r="QYI30" t="e">
        <v>#N/A</v>
      </c>
      <c r="QYJ30" t="e">
        <v>#N/A</v>
      </c>
      <c r="QYK30" t="e">
        <v>#N/A</v>
      </c>
      <c r="QYL30" t="e">
        <v>#N/A</v>
      </c>
      <c r="QYM30" t="e">
        <v>#N/A</v>
      </c>
      <c r="QYN30" t="e">
        <v>#N/A</v>
      </c>
      <c r="QYO30" t="e">
        <v>#N/A</v>
      </c>
      <c r="QYP30" t="e">
        <v>#N/A</v>
      </c>
      <c r="QYQ30" t="e">
        <v>#N/A</v>
      </c>
      <c r="QYR30" t="e">
        <v>#N/A</v>
      </c>
      <c r="QYS30" t="e">
        <v>#N/A</v>
      </c>
      <c r="QYT30" t="e">
        <v>#N/A</v>
      </c>
      <c r="QYU30" t="e">
        <v>#N/A</v>
      </c>
      <c r="QYV30" t="e">
        <v>#N/A</v>
      </c>
      <c r="QYW30" t="e">
        <v>#N/A</v>
      </c>
      <c r="QYX30" t="e">
        <v>#N/A</v>
      </c>
      <c r="QYY30" t="e">
        <v>#N/A</v>
      </c>
      <c r="QYZ30" t="e">
        <v>#N/A</v>
      </c>
      <c r="QZA30" t="e">
        <v>#N/A</v>
      </c>
      <c r="QZB30" t="e">
        <v>#N/A</v>
      </c>
      <c r="QZC30" t="e">
        <v>#N/A</v>
      </c>
      <c r="QZD30" t="e">
        <v>#N/A</v>
      </c>
      <c r="QZE30" t="e">
        <v>#N/A</v>
      </c>
      <c r="QZF30" t="e">
        <v>#N/A</v>
      </c>
      <c r="QZG30" t="e">
        <v>#N/A</v>
      </c>
      <c r="QZH30" t="e">
        <v>#N/A</v>
      </c>
      <c r="QZI30" t="e">
        <v>#N/A</v>
      </c>
      <c r="QZJ30" t="e">
        <v>#N/A</v>
      </c>
      <c r="QZK30" t="e">
        <v>#N/A</v>
      </c>
      <c r="QZL30" t="e">
        <v>#N/A</v>
      </c>
      <c r="QZM30" t="e">
        <v>#N/A</v>
      </c>
      <c r="QZN30" t="e">
        <v>#N/A</v>
      </c>
      <c r="QZO30" t="e">
        <v>#N/A</v>
      </c>
      <c r="QZP30" t="e">
        <v>#N/A</v>
      </c>
      <c r="QZQ30" t="e">
        <v>#N/A</v>
      </c>
      <c r="QZR30" t="e">
        <v>#N/A</v>
      </c>
      <c r="QZS30" t="e">
        <v>#N/A</v>
      </c>
      <c r="QZT30" t="e">
        <v>#N/A</v>
      </c>
      <c r="QZU30" t="e">
        <v>#N/A</v>
      </c>
      <c r="QZV30" t="e">
        <v>#N/A</v>
      </c>
      <c r="QZW30" t="e">
        <v>#N/A</v>
      </c>
      <c r="QZX30" t="e">
        <v>#N/A</v>
      </c>
      <c r="QZY30" t="e">
        <v>#N/A</v>
      </c>
      <c r="QZZ30" t="e">
        <v>#N/A</v>
      </c>
      <c r="RAA30" t="e">
        <v>#N/A</v>
      </c>
      <c r="RAB30" t="e">
        <v>#N/A</v>
      </c>
      <c r="RAC30" t="e">
        <v>#N/A</v>
      </c>
      <c r="RAD30" t="e">
        <v>#N/A</v>
      </c>
      <c r="RAE30" t="e">
        <v>#N/A</v>
      </c>
      <c r="RAF30" t="e">
        <v>#N/A</v>
      </c>
      <c r="RAG30" t="e">
        <v>#N/A</v>
      </c>
      <c r="RAH30" t="e">
        <v>#N/A</v>
      </c>
      <c r="RAI30" t="e">
        <v>#N/A</v>
      </c>
      <c r="RAJ30" t="e">
        <v>#N/A</v>
      </c>
      <c r="RAK30" t="e">
        <v>#N/A</v>
      </c>
      <c r="RAL30" t="e">
        <v>#N/A</v>
      </c>
      <c r="RAM30" t="e">
        <v>#N/A</v>
      </c>
      <c r="RAN30" t="e">
        <v>#N/A</v>
      </c>
      <c r="RAO30" t="e">
        <v>#N/A</v>
      </c>
      <c r="RAP30" t="e">
        <v>#N/A</v>
      </c>
      <c r="RAQ30" t="e">
        <v>#N/A</v>
      </c>
      <c r="RAR30" t="e">
        <v>#N/A</v>
      </c>
      <c r="RAS30" t="e">
        <v>#N/A</v>
      </c>
      <c r="RAT30" t="e">
        <v>#N/A</v>
      </c>
      <c r="RAU30" t="e">
        <v>#N/A</v>
      </c>
      <c r="RAV30" t="e">
        <v>#N/A</v>
      </c>
      <c r="RAW30" t="e">
        <v>#N/A</v>
      </c>
      <c r="RAX30" t="e">
        <v>#N/A</v>
      </c>
      <c r="RAY30" t="e">
        <v>#N/A</v>
      </c>
      <c r="RAZ30" t="e">
        <v>#N/A</v>
      </c>
      <c r="RBA30" t="e">
        <v>#N/A</v>
      </c>
      <c r="RBB30" t="e">
        <v>#N/A</v>
      </c>
      <c r="RBC30" t="e">
        <v>#N/A</v>
      </c>
      <c r="RBD30" t="e">
        <v>#N/A</v>
      </c>
      <c r="RBE30" t="e">
        <v>#N/A</v>
      </c>
      <c r="RBF30" t="e">
        <v>#N/A</v>
      </c>
      <c r="RBG30" t="e">
        <v>#N/A</v>
      </c>
      <c r="RBH30" t="e">
        <v>#N/A</v>
      </c>
      <c r="RBI30" t="e">
        <v>#N/A</v>
      </c>
      <c r="RBJ30" t="e">
        <v>#N/A</v>
      </c>
      <c r="RBK30" t="e">
        <v>#N/A</v>
      </c>
      <c r="RBL30" t="e">
        <v>#N/A</v>
      </c>
      <c r="RBM30" t="e">
        <v>#N/A</v>
      </c>
      <c r="RBN30" t="e">
        <v>#N/A</v>
      </c>
      <c r="RBO30" t="e">
        <v>#N/A</v>
      </c>
      <c r="RBP30" t="e">
        <v>#N/A</v>
      </c>
      <c r="RBQ30" t="e">
        <v>#N/A</v>
      </c>
      <c r="RBR30" t="e">
        <v>#N/A</v>
      </c>
      <c r="RBS30" t="e">
        <v>#N/A</v>
      </c>
      <c r="RBT30" t="e">
        <v>#N/A</v>
      </c>
      <c r="RBU30" t="e">
        <v>#N/A</v>
      </c>
      <c r="RBV30" t="e">
        <v>#N/A</v>
      </c>
      <c r="RBW30" t="e">
        <v>#N/A</v>
      </c>
      <c r="RBX30" t="e">
        <v>#N/A</v>
      </c>
      <c r="RBY30" t="e">
        <v>#N/A</v>
      </c>
      <c r="RBZ30" t="e">
        <v>#N/A</v>
      </c>
      <c r="RCA30" t="e">
        <v>#N/A</v>
      </c>
      <c r="RCB30" t="e">
        <v>#N/A</v>
      </c>
      <c r="RCC30" t="e">
        <v>#N/A</v>
      </c>
      <c r="RCD30" t="e">
        <v>#N/A</v>
      </c>
      <c r="RCE30" t="e">
        <v>#N/A</v>
      </c>
      <c r="RCF30" t="e">
        <v>#N/A</v>
      </c>
      <c r="RCG30" t="e">
        <v>#N/A</v>
      </c>
      <c r="RCH30" t="e">
        <v>#N/A</v>
      </c>
      <c r="RCI30" t="e">
        <v>#N/A</v>
      </c>
      <c r="RCJ30" t="e">
        <v>#N/A</v>
      </c>
      <c r="RCK30" t="e">
        <v>#N/A</v>
      </c>
      <c r="RCL30" t="e">
        <v>#N/A</v>
      </c>
      <c r="RCM30" t="e">
        <v>#N/A</v>
      </c>
      <c r="RCN30" t="e">
        <v>#N/A</v>
      </c>
      <c r="RCO30" t="e">
        <v>#N/A</v>
      </c>
      <c r="RCP30" t="e">
        <v>#N/A</v>
      </c>
      <c r="RCQ30" t="e">
        <v>#N/A</v>
      </c>
      <c r="RCR30" t="e">
        <v>#N/A</v>
      </c>
      <c r="RCS30" t="e">
        <v>#N/A</v>
      </c>
      <c r="RCT30" t="e">
        <v>#N/A</v>
      </c>
      <c r="RCU30" t="e">
        <v>#N/A</v>
      </c>
      <c r="RCV30" t="e">
        <v>#N/A</v>
      </c>
      <c r="RCW30" t="e">
        <v>#N/A</v>
      </c>
      <c r="RCX30" t="e">
        <v>#N/A</v>
      </c>
      <c r="RCY30" t="e">
        <v>#N/A</v>
      </c>
      <c r="RCZ30" t="e">
        <v>#N/A</v>
      </c>
      <c r="RDA30" t="e">
        <v>#N/A</v>
      </c>
      <c r="RDB30" t="e">
        <v>#N/A</v>
      </c>
      <c r="RDC30" t="e">
        <v>#N/A</v>
      </c>
      <c r="RDD30" t="e">
        <v>#N/A</v>
      </c>
      <c r="RDE30" t="e">
        <v>#N/A</v>
      </c>
      <c r="RDF30" t="e">
        <v>#N/A</v>
      </c>
      <c r="RDG30" t="e">
        <v>#N/A</v>
      </c>
      <c r="RDH30" t="e">
        <v>#N/A</v>
      </c>
      <c r="RDI30" t="e">
        <v>#N/A</v>
      </c>
      <c r="RDJ30" t="e">
        <v>#N/A</v>
      </c>
      <c r="RDK30" t="e">
        <v>#N/A</v>
      </c>
      <c r="RDL30" t="e">
        <v>#N/A</v>
      </c>
      <c r="RDM30" t="e">
        <v>#N/A</v>
      </c>
      <c r="RDN30" t="e">
        <v>#N/A</v>
      </c>
      <c r="RDO30" t="e">
        <v>#N/A</v>
      </c>
      <c r="RDP30" t="e">
        <v>#N/A</v>
      </c>
      <c r="RDQ30" t="e">
        <v>#N/A</v>
      </c>
      <c r="RDR30" t="e">
        <v>#N/A</v>
      </c>
      <c r="RDS30" t="e">
        <v>#N/A</v>
      </c>
      <c r="RDT30" t="e">
        <v>#N/A</v>
      </c>
      <c r="RDU30" t="e">
        <v>#N/A</v>
      </c>
      <c r="RDV30" t="e">
        <v>#N/A</v>
      </c>
      <c r="RDW30" t="e">
        <v>#N/A</v>
      </c>
      <c r="RDX30" t="e">
        <v>#N/A</v>
      </c>
      <c r="RDY30" t="e">
        <v>#N/A</v>
      </c>
      <c r="RDZ30" t="e">
        <v>#N/A</v>
      </c>
      <c r="REA30" t="e">
        <v>#N/A</v>
      </c>
      <c r="REB30" t="e">
        <v>#N/A</v>
      </c>
      <c r="REC30" t="e">
        <v>#N/A</v>
      </c>
      <c r="RED30" t="e">
        <v>#N/A</v>
      </c>
      <c r="REE30" t="e">
        <v>#N/A</v>
      </c>
      <c r="REF30" t="e">
        <v>#N/A</v>
      </c>
      <c r="REG30" t="e">
        <v>#N/A</v>
      </c>
      <c r="REH30" t="e">
        <v>#N/A</v>
      </c>
      <c r="REI30" t="e">
        <v>#N/A</v>
      </c>
      <c r="REJ30" t="e">
        <v>#N/A</v>
      </c>
      <c r="REK30" t="e">
        <v>#N/A</v>
      </c>
      <c r="REL30" t="e">
        <v>#N/A</v>
      </c>
      <c r="REM30" t="e">
        <v>#N/A</v>
      </c>
      <c r="REN30" t="e">
        <v>#N/A</v>
      </c>
      <c r="REO30" t="e">
        <v>#N/A</v>
      </c>
      <c r="REP30" t="e">
        <v>#N/A</v>
      </c>
      <c r="REQ30" t="e">
        <v>#N/A</v>
      </c>
      <c r="RER30" t="e">
        <v>#N/A</v>
      </c>
      <c r="RES30" t="e">
        <v>#N/A</v>
      </c>
      <c r="RET30" t="e">
        <v>#N/A</v>
      </c>
      <c r="REU30" t="e">
        <v>#N/A</v>
      </c>
      <c r="REV30" t="e">
        <v>#N/A</v>
      </c>
      <c r="REW30" t="e">
        <v>#N/A</v>
      </c>
      <c r="REX30" t="e">
        <v>#N/A</v>
      </c>
      <c r="REY30" t="e">
        <v>#N/A</v>
      </c>
      <c r="REZ30" t="e">
        <v>#N/A</v>
      </c>
      <c r="RFA30" t="e">
        <v>#N/A</v>
      </c>
      <c r="RFB30" t="e">
        <v>#N/A</v>
      </c>
      <c r="RFC30" t="e">
        <v>#N/A</v>
      </c>
      <c r="RFD30" t="e">
        <v>#N/A</v>
      </c>
      <c r="RFE30" t="e">
        <v>#N/A</v>
      </c>
      <c r="RFF30" t="e">
        <v>#N/A</v>
      </c>
      <c r="RFG30" t="e">
        <v>#N/A</v>
      </c>
      <c r="RFH30" t="e">
        <v>#N/A</v>
      </c>
      <c r="RFI30" t="e">
        <v>#N/A</v>
      </c>
      <c r="RFJ30" t="e">
        <v>#N/A</v>
      </c>
      <c r="RFK30" t="e">
        <v>#N/A</v>
      </c>
      <c r="RFL30" t="e">
        <v>#N/A</v>
      </c>
      <c r="RFM30" t="e">
        <v>#N/A</v>
      </c>
      <c r="RFN30" t="e">
        <v>#N/A</v>
      </c>
      <c r="RFO30" t="e">
        <v>#N/A</v>
      </c>
      <c r="RFP30" t="e">
        <v>#N/A</v>
      </c>
      <c r="RFQ30" t="e">
        <v>#N/A</v>
      </c>
      <c r="RFR30" t="e">
        <v>#N/A</v>
      </c>
      <c r="RFS30" t="e">
        <v>#N/A</v>
      </c>
      <c r="RFT30" t="e">
        <v>#N/A</v>
      </c>
      <c r="RFU30" t="e">
        <v>#N/A</v>
      </c>
      <c r="RFV30" t="e">
        <v>#N/A</v>
      </c>
      <c r="RFW30" t="e">
        <v>#N/A</v>
      </c>
      <c r="RFX30" t="e">
        <v>#N/A</v>
      </c>
      <c r="RFY30" t="e">
        <v>#N/A</v>
      </c>
      <c r="RFZ30" t="e">
        <v>#N/A</v>
      </c>
      <c r="RGA30" t="e">
        <v>#N/A</v>
      </c>
      <c r="RGB30" t="e">
        <v>#N/A</v>
      </c>
      <c r="RGC30" t="e">
        <v>#N/A</v>
      </c>
      <c r="RGD30" t="e">
        <v>#N/A</v>
      </c>
      <c r="RGE30" t="e">
        <v>#N/A</v>
      </c>
      <c r="RGF30" t="e">
        <v>#N/A</v>
      </c>
      <c r="RGG30" t="e">
        <v>#N/A</v>
      </c>
      <c r="RGH30" t="e">
        <v>#N/A</v>
      </c>
      <c r="RGI30" t="e">
        <v>#N/A</v>
      </c>
      <c r="RGJ30" t="e">
        <v>#N/A</v>
      </c>
      <c r="RGK30" t="e">
        <v>#N/A</v>
      </c>
      <c r="RGL30" t="e">
        <v>#N/A</v>
      </c>
      <c r="RGM30" t="e">
        <v>#N/A</v>
      </c>
      <c r="RGN30" t="e">
        <v>#N/A</v>
      </c>
      <c r="RGO30" t="e">
        <v>#N/A</v>
      </c>
      <c r="RGP30" t="e">
        <v>#N/A</v>
      </c>
      <c r="RGQ30" t="e">
        <v>#N/A</v>
      </c>
      <c r="RGR30" t="e">
        <v>#N/A</v>
      </c>
      <c r="RGS30" t="e">
        <v>#N/A</v>
      </c>
      <c r="RGT30" t="e">
        <v>#N/A</v>
      </c>
      <c r="RGU30" t="e">
        <v>#N/A</v>
      </c>
      <c r="RGV30" t="e">
        <v>#N/A</v>
      </c>
      <c r="RGW30" t="e">
        <v>#N/A</v>
      </c>
      <c r="RGX30" t="e">
        <v>#N/A</v>
      </c>
      <c r="RGY30" t="e">
        <v>#N/A</v>
      </c>
      <c r="RGZ30" t="e">
        <v>#N/A</v>
      </c>
      <c r="RHA30" t="e">
        <v>#N/A</v>
      </c>
      <c r="RHB30" t="e">
        <v>#N/A</v>
      </c>
      <c r="RHC30" t="e">
        <v>#N/A</v>
      </c>
      <c r="RHD30" t="e">
        <v>#N/A</v>
      </c>
      <c r="RHE30" t="e">
        <v>#N/A</v>
      </c>
      <c r="RHF30" t="e">
        <v>#N/A</v>
      </c>
      <c r="RHG30" t="e">
        <v>#N/A</v>
      </c>
      <c r="RHH30" t="e">
        <v>#N/A</v>
      </c>
      <c r="RHI30" t="e">
        <v>#N/A</v>
      </c>
      <c r="RHJ30" t="e">
        <v>#N/A</v>
      </c>
      <c r="RHK30" t="e">
        <v>#N/A</v>
      </c>
      <c r="RHL30" t="e">
        <v>#N/A</v>
      </c>
      <c r="RHM30" t="e">
        <v>#N/A</v>
      </c>
      <c r="RHN30" t="e">
        <v>#N/A</v>
      </c>
      <c r="RHO30" t="e">
        <v>#N/A</v>
      </c>
      <c r="RHP30" t="e">
        <v>#N/A</v>
      </c>
      <c r="RHQ30" t="e">
        <v>#N/A</v>
      </c>
      <c r="RHR30" t="e">
        <v>#N/A</v>
      </c>
      <c r="RHS30" t="e">
        <v>#N/A</v>
      </c>
      <c r="RHT30" t="e">
        <v>#N/A</v>
      </c>
      <c r="RHU30" t="e">
        <v>#N/A</v>
      </c>
      <c r="RHV30" t="e">
        <v>#N/A</v>
      </c>
      <c r="RHW30" t="e">
        <v>#N/A</v>
      </c>
      <c r="RHX30" t="e">
        <v>#N/A</v>
      </c>
      <c r="RHY30" t="e">
        <v>#N/A</v>
      </c>
      <c r="RHZ30" t="e">
        <v>#N/A</v>
      </c>
      <c r="RIA30" t="e">
        <v>#N/A</v>
      </c>
      <c r="RIB30" t="e">
        <v>#N/A</v>
      </c>
      <c r="RIC30" t="e">
        <v>#N/A</v>
      </c>
      <c r="RID30" t="e">
        <v>#N/A</v>
      </c>
      <c r="RIE30" t="e">
        <v>#N/A</v>
      </c>
      <c r="RIF30" t="e">
        <v>#N/A</v>
      </c>
      <c r="RIG30" t="e">
        <v>#N/A</v>
      </c>
      <c r="RIH30" t="e">
        <v>#N/A</v>
      </c>
      <c r="RII30" t="e">
        <v>#N/A</v>
      </c>
      <c r="RIJ30" t="e">
        <v>#N/A</v>
      </c>
      <c r="RIK30" t="e">
        <v>#N/A</v>
      </c>
      <c r="RIL30" t="e">
        <v>#N/A</v>
      </c>
      <c r="RIM30" t="e">
        <v>#N/A</v>
      </c>
      <c r="RIN30" t="e">
        <v>#N/A</v>
      </c>
      <c r="RIO30" t="e">
        <v>#N/A</v>
      </c>
      <c r="RIP30" t="e">
        <v>#N/A</v>
      </c>
      <c r="RIQ30" t="e">
        <v>#N/A</v>
      </c>
      <c r="RIR30" t="e">
        <v>#N/A</v>
      </c>
      <c r="RIS30" t="e">
        <v>#N/A</v>
      </c>
      <c r="RIT30" t="e">
        <v>#N/A</v>
      </c>
      <c r="RIU30" t="e">
        <v>#N/A</v>
      </c>
      <c r="RIV30" t="e">
        <v>#N/A</v>
      </c>
      <c r="RIW30" t="e">
        <v>#N/A</v>
      </c>
      <c r="RIX30" t="e">
        <v>#N/A</v>
      </c>
      <c r="RIY30" t="e">
        <v>#N/A</v>
      </c>
      <c r="RIZ30" t="e">
        <v>#N/A</v>
      </c>
      <c r="RJA30" t="e">
        <v>#N/A</v>
      </c>
      <c r="RJB30" t="e">
        <v>#N/A</v>
      </c>
      <c r="RJC30" t="e">
        <v>#N/A</v>
      </c>
      <c r="RJD30" t="e">
        <v>#N/A</v>
      </c>
      <c r="RJE30" t="e">
        <v>#N/A</v>
      </c>
      <c r="RJF30" t="e">
        <v>#N/A</v>
      </c>
      <c r="RJG30" t="e">
        <v>#N/A</v>
      </c>
      <c r="RJH30" t="e">
        <v>#N/A</v>
      </c>
      <c r="RJI30" t="e">
        <v>#N/A</v>
      </c>
      <c r="RJJ30" t="e">
        <v>#N/A</v>
      </c>
      <c r="RJK30" t="e">
        <v>#N/A</v>
      </c>
      <c r="RJL30" t="e">
        <v>#N/A</v>
      </c>
      <c r="RJM30" t="e">
        <v>#N/A</v>
      </c>
      <c r="RJN30" t="e">
        <v>#N/A</v>
      </c>
      <c r="RJO30" t="e">
        <v>#N/A</v>
      </c>
      <c r="RJP30" t="e">
        <v>#N/A</v>
      </c>
      <c r="RJQ30" t="e">
        <v>#N/A</v>
      </c>
      <c r="RJR30" t="e">
        <v>#N/A</v>
      </c>
      <c r="RJS30" t="e">
        <v>#N/A</v>
      </c>
      <c r="RJT30" t="e">
        <v>#N/A</v>
      </c>
      <c r="RJU30" t="e">
        <v>#N/A</v>
      </c>
      <c r="RJV30" t="e">
        <v>#N/A</v>
      </c>
      <c r="RJW30" t="e">
        <v>#N/A</v>
      </c>
      <c r="RJX30" t="e">
        <v>#N/A</v>
      </c>
      <c r="RJY30" t="e">
        <v>#N/A</v>
      </c>
      <c r="RJZ30" t="e">
        <v>#N/A</v>
      </c>
      <c r="RKA30" t="e">
        <v>#N/A</v>
      </c>
      <c r="RKB30" t="e">
        <v>#N/A</v>
      </c>
      <c r="RKC30" t="e">
        <v>#N/A</v>
      </c>
      <c r="RKD30" t="e">
        <v>#N/A</v>
      </c>
      <c r="RKE30" t="e">
        <v>#N/A</v>
      </c>
      <c r="RKF30" t="e">
        <v>#N/A</v>
      </c>
      <c r="RKG30" t="e">
        <v>#N/A</v>
      </c>
      <c r="RKH30" t="e">
        <v>#N/A</v>
      </c>
      <c r="RKI30" t="e">
        <v>#N/A</v>
      </c>
      <c r="RKJ30" t="e">
        <v>#N/A</v>
      </c>
      <c r="RKK30" t="e">
        <v>#N/A</v>
      </c>
      <c r="RKL30" t="e">
        <v>#N/A</v>
      </c>
      <c r="RKM30" t="e">
        <v>#N/A</v>
      </c>
      <c r="RKN30" t="e">
        <v>#N/A</v>
      </c>
      <c r="RKO30" t="e">
        <v>#N/A</v>
      </c>
      <c r="RKP30" t="e">
        <v>#N/A</v>
      </c>
      <c r="RKQ30" t="e">
        <v>#N/A</v>
      </c>
      <c r="RKR30" t="e">
        <v>#N/A</v>
      </c>
      <c r="RKS30" t="e">
        <v>#N/A</v>
      </c>
      <c r="RKT30" t="e">
        <v>#N/A</v>
      </c>
      <c r="RKU30" t="e">
        <v>#N/A</v>
      </c>
      <c r="RKV30" t="e">
        <v>#N/A</v>
      </c>
      <c r="RKW30" t="e">
        <v>#N/A</v>
      </c>
      <c r="RKX30" t="e">
        <v>#N/A</v>
      </c>
      <c r="RKY30" t="e">
        <v>#N/A</v>
      </c>
      <c r="RKZ30" t="e">
        <v>#N/A</v>
      </c>
      <c r="RLA30" t="e">
        <v>#N/A</v>
      </c>
      <c r="RLB30" t="e">
        <v>#N/A</v>
      </c>
      <c r="RLC30" t="e">
        <v>#N/A</v>
      </c>
      <c r="RLD30" t="e">
        <v>#N/A</v>
      </c>
      <c r="RLE30" t="e">
        <v>#N/A</v>
      </c>
      <c r="RLF30" t="e">
        <v>#N/A</v>
      </c>
      <c r="RLG30" t="e">
        <v>#N/A</v>
      </c>
      <c r="RLH30" t="e">
        <v>#N/A</v>
      </c>
      <c r="RLI30" t="e">
        <v>#N/A</v>
      </c>
      <c r="RLJ30" t="e">
        <v>#N/A</v>
      </c>
      <c r="RLK30" t="e">
        <v>#N/A</v>
      </c>
      <c r="RLL30" t="e">
        <v>#N/A</v>
      </c>
      <c r="RLM30" t="e">
        <v>#N/A</v>
      </c>
      <c r="RLN30" t="e">
        <v>#N/A</v>
      </c>
      <c r="RLO30" t="e">
        <v>#N/A</v>
      </c>
      <c r="RLP30" t="e">
        <v>#N/A</v>
      </c>
      <c r="RLQ30" t="e">
        <v>#N/A</v>
      </c>
      <c r="RLR30" t="e">
        <v>#N/A</v>
      </c>
      <c r="RLS30" t="e">
        <v>#N/A</v>
      </c>
      <c r="RLT30" t="e">
        <v>#N/A</v>
      </c>
      <c r="RLU30" t="e">
        <v>#N/A</v>
      </c>
      <c r="RLV30" t="e">
        <v>#N/A</v>
      </c>
      <c r="RLW30" t="e">
        <v>#N/A</v>
      </c>
      <c r="RLX30" t="e">
        <v>#N/A</v>
      </c>
      <c r="RLY30" t="e">
        <v>#N/A</v>
      </c>
      <c r="RLZ30" t="e">
        <v>#N/A</v>
      </c>
      <c r="RMA30" t="e">
        <v>#N/A</v>
      </c>
      <c r="RMB30" t="e">
        <v>#N/A</v>
      </c>
      <c r="RMC30" t="e">
        <v>#N/A</v>
      </c>
      <c r="RMD30" t="e">
        <v>#N/A</v>
      </c>
      <c r="RME30" t="e">
        <v>#N/A</v>
      </c>
      <c r="RMF30" t="e">
        <v>#N/A</v>
      </c>
      <c r="RMG30" t="e">
        <v>#N/A</v>
      </c>
      <c r="RMH30" t="e">
        <v>#N/A</v>
      </c>
      <c r="RMI30" t="e">
        <v>#N/A</v>
      </c>
      <c r="RMJ30" t="e">
        <v>#N/A</v>
      </c>
      <c r="RMK30" t="e">
        <v>#N/A</v>
      </c>
      <c r="RML30" t="e">
        <v>#N/A</v>
      </c>
      <c r="RMM30" t="e">
        <v>#N/A</v>
      </c>
      <c r="RMN30" t="e">
        <v>#N/A</v>
      </c>
      <c r="RMO30" t="e">
        <v>#N/A</v>
      </c>
      <c r="RMP30" t="e">
        <v>#N/A</v>
      </c>
      <c r="RMQ30" t="e">
        <v>#N/A</v>
      </c>
      <c r="RMR30" t="e">
        <v>#N/A</v>
      </c>
      <c r="RMS30" t="e">
        <v>#N/A</v>
      </c>
      <c r="RMT30" t="e">
        <v>#N/A</v>
      </c>
      <c r="RMU30" t="e">
        <v>#N/A</v>
      </c>
      <c r="RMV30" t="e">
        <v>#N/A</v>
      </c>
      <c r="RMW30" t="e">
        <v>#N/A</v>
      </c>
      <c r="RMX30" t="e">
        <v>#N/A</v>
      </c>
      <c r="RMY30" t="e">
        <v>#N/A</v>
      </c>
      <c r="RMZ30" t="e">
        <v>#N/A</v>
      </c>
      <c r="RNA30" t="e">
        <v>#N/A</v>
      </c>
      <c r="RNB30" t="e">
        <v>#N/A</v>
      </c>
      <c r="RNC30" t="e">
        <v>#N/A</v>
      </c>
      <c r="RND30" t="e">
        <v>#N/A</v>
      </c>
      <c r="RNE30" t="e">
        <v>#N/A</v>
      </c>
      <c r="RNF30" t="e">
        <v>#N/A</v>
      </c>
      <c r="RNG30" t="e">
        <v>#N/A</v>
      </c>
      <c r="RNH30" t="e">
        <v>#N/A</v>
      </c>
      <c r="RNI30" t="e">
        <v>#N/A</v>
      </c>
      <c r="RNJ30" t="e">
        <v>#N/A</v>
      </c>
      <c r="RNK30" t="e">
        <v>#N/A</v>
      </c>
      <c r="RNL30" t="e">
        <v>#N/A</v>
      </c>
      <c r="RNM30" t="e">
        <v>#N/A</v>
      </c>
      <c r="RNN30" t="e">
        <v>#N/A</v>
      </c>
      <c r="RNO30" t="e">
        <v>#N/A</v>
      </c>
      <c r="RNP30" t="e">
        <v>#N/A</v>
      </c>
      <c r="RNQ30" t="e">
        <v>#N/A</v>
      </c>
      <c r="RNR30" t="e">
        <v>#N/A</v>
      </c>
      <c r="RNS30" t="e">
        <v>#N/A</v>
      </c>
      <c r="RNT30" t="e">
        <v>#N/A</v>
      </c>
      <c r="RNU30" t="e">
        <v>#N/A</v>
      </c>
      <c r="RNV30" t="e">
        <v>#N/A</v>
      </c>
      <c r="RNW30" t="e">
        <v>#N/A</v>
      </c>
      <c r="RNX30" t="e">
        <v>#N/A</v>
      </c>
      <c r="RNY30" t="e">
        <v>#N/A</v>
      </c>
      <c r="RNZ30" t="e">
        <v>#N/A</v>
      </c>
      <c r="ROA30" t="e">
        <v>#N/A</v>
      </c>
      <c r="ROB30" t="e">
        <v>#N/A</v>
      </c>
      <c r="ROC30" t="e">
        <v>#N/A</v>
      </c>
      <c r="ROD30" t="e">
        <v>#N/A</v>
      </c>
      <c r="ROE30" t="e">
        <v>#N/A</v>
      </c>
      <c r="ROF30" t="e">
        <v>#N/A</v>
      </c>
      <c r="ROG30" t="e">
        <v>#N/A</v>
      </c>
      <c r="ROH30" t="e">
        <v>#N/A</v>
      </c>
      <c r="ROI30" t="e">
        <v>#N/A</v>
      </c>
      <c r="ROJ30" t="e">
        <v>#N/A</v>
      </c>
      <c r="ROK30" t="e">
        <v>#N/A</v>
      </c>
      <c r="ROL30" t="e">
        <v>#N/A</v>
      </c>
      <c r="ROM30" t="e">
        <v>#N/A</v>
      </c>
      <c r="RON30" t="e">
        <v>#N/A</v>
      </c>
      <c r="ROO30" t="e">
        <v>#N/A</v>
      </c>
      <c r="ROP30" t="e">
        <v>#N/A</v>
      </c>
      <c r="ROQ30" t="e">
        <v>#N/A</v>
      </c>
      <c r="ROR30" t="e">
        <v>#N/A</v>
      </c>
      <c r="ROS30" t="e">
        <v>#N/A</v>
      </c>
      <c r="ROT30" t="e">
        <v>#N/A</v>
      </c>
      <c r="ROU30" t="e">
        <v>#N/A</v>
      </c>
      <c r="ROV30" t="e">
        <v>#N/A</v>
      </c>
      <c r="ROW30" t="e">
        <v>#N/A</v>
      </c>
      <c r="ROX30" t="e">
        <v>#N/A</v>
      </c>
      <c r="ROY30" t="e">
        <v>#N/A</v>
      </c>
      <c r="ROZ30" t="e">
        <v>#N/A</v>
      </c>
      <c r="RPA30" t="e">
        <v>#N/A</v>
      </c>
      <c r="RPB30" t="e">
        <v>#N/A</v>
      </c>
      <c r="RPC30" t="e">
        <v>#N/A</v>
      </c>
      <c r="RPD30" t="e">
        <v>#N/A</v>
      </c>
      <c r="RPE30" t="e">
        <v>#N/A</v>
      </c>
      <c r="RPF30" t="e">
        <v>#N/A</v>
      </c>
      <c r="RPG30" t="e">
        <v>#N/A</v>
      </c>
      <c r="RPH30" t="e">
        <v>#N/A</v>
      </c>
      <c r="RPI30" t="e">
        <v>#N/A</v>
      </c>
      <c r="RPJ30" t="e">
        <v>#N/A</v>
      </c>
      <c r="RPK30" t="e">
        <v>#N/A</v>
      </c>
      <c r="RPL30" t="e">
        <v>#N/A</v>
      </c>
      <c r="RPM30" t="e">
        <v>#N/A</v>
      </c>
      <c r="RPN30" t="e">
        <v>#N/A</v>
      </c>
      <c r="RPO30" t="e">
        <v>#N/A</v>
      </c>
      <c r="RPP30" t="e">
        <v>#N/A</v>
      </c>
      <c r="RPQ30" t="e">
        <v>#N/A</v>
      </c>
      <c r="RPR30" t="e">
        <v>#N/A</v>
      </c>
      <c r="RPS30" t="e">
        <v>#N/A</v>
      </c>
      <c r="RPT30" t="e">
        <v>#N/A</v>
      </c>
      <c r="RPU30" t="e">
        <v>#N/A</v>
      </c>
      <c r="RPV30" t="e">
        <v>#N/A</v>
      </c>
      <c r="RPW30" t="e">
        <v>#N/A</v>
      </c>
      <c r="RPX30" t="e">
        <v>#N/A</v>
      </c>
      <c r="RPY30" t="e">
        <v>#N/A</v>
      </c>
      <c r="RPZ30" t="e">
        <v>#N/A</v>
      </c>
      <c r="RQA30" t="e">
        <v>#N/A</v>
      </c>
      <c r="RQB30" t="e">
        <v>#N/A</v>
      </c>
      <c r="RQC30" t="e">
        <v>#N/A</v>
      </c>
      <c r="RQD30" t="e">
        <v>#N/A</v>
      </c>
      <c r="RQE30" t="e">
        <v>#N/A</v>
      </c>
      <c r="RQF30" t="e">
        <v>#N/A</v>
      </c>
      <c r="RQG30" t="e">
        <v>#N/A</v>
      </c>
      <c r="RQH30" t="e">
        <v>#N/A</v>
      </c>
      <c r="RQI30" t="e">
        <v>#N/A</v>
      </c>
      <c r="RQJ30" t="e">
        <v>#N/A</v>
      </c>
      <c r="RQK30" t="e">
        <v>#N/A</v>
      </c>
      <c r="RQL30" t="e">
        <v>#N/A</v>
      </c>
      <c r="RQM30" t="e">
        <v>#N/A</v>
      </c>
      <c r="RQN30" t="e">
        <v>#N/A</v>
      </c>
      <c r="RQO30" t="e">
        <v>#N/A</v>
      </c>
      <c r="RQP30" t="e">
        <v>#N/A</v>
      </c>
      <c r="RQQ30" t="e">
        <v>#N/A</v>
      </c>
      <c r="RQR30" t="e">
        <v>#N/A</v>
      </c>
      <c r="RQS30" t="e">
        <v>#N/A</v>
      </c>
      <c r="RQT30" t="e">
        <v>#N/A</v>
      </c>
      <c r="RQU30" t="e">
        <v>#N/A</v>
      </c>
      <c r="RQV30" t="e">
        <v>#N/A</v>
      </c>
      <c r="RQW30" t="e">
        <v>#N/A</v>
      </c>
      <c r="RQX30" t="e">
        <v>#N/A</v>
      </c>
      <c r="RQY30" t="e">
        <v>#N/A</v>
      </c>
      <c r="RQZ30" t="e">
        <v>#N/A</v>
      </c>
      <c r="RRA30" t="e">
        <v>#N/A</v>
      </c>
      <c r="RRB30" t="e">
        <v>#N/A</v>
      </c>
      <c r="RRC30" t="e">
        <v>#N/A</v>
      </c>
      <c r="RRD30" t="e">
        <v>#N/A</v>
      </c>
      <c r="RRE30" t="e">
        <v>#N/A</v>
      </c>
      <c r="RRF30" t="e">
        <v>#N/A</v>
      </c>
      <c r="RRG30" t="e">
        <v>#N/A</v>
      </c>
      <c r="RRH30" t="e">
        <v>#N/A</v>
      </c>
      <c r="RRI30" t="e">
        <v>#N/A</v>
      </c>
      <c r="RRJ30" t="e">
        <v>#N/A</v>
      </c>
      <c r="RRK30" t="e">
        <v>#N/A</v>
      </c>
      <c r="RRL30" t="e">
        <v>#N/A</v>
      </c>
      <c r="RRM30" t="e">
        <v>#N/A</v>
      </c>
      <c r="RRN30" t="e">
        <v>#N/A</v>
      </c>
      <c r="RRO30" t="e">
        <v>#N/A</v>
      </c>
      <c r="RRP30" t="e">
        <v>#N/A</v>
      </c>
      <c r="RRQ30" t="e">
        <v>#N/A</v>
      </c>
      <c r="RRR30" t="e">
        <v>#N/A</v>
      </c>
      <c r="RRS30" t="e">
        <v>#N/A</v>
      </c>
      <c r="RRT30" t="e">
        <v>#N/A</v>
      </c>
      <c r="RRU30" t="e">
        <v>#N/A</v>
      </c>
      <c r="RRV30" t="e">
        <v>#N/A</v>
      </c>
      <c r="RRW30" t="e">
        <v>#N/A</v>
      </c>
      <c r="RRX30" t="e">
        <v>#N/A</v>
      </c>
      <c r="RRY30" t="e">
        <v>#N/A</v>
      </c>
      <c r="RRZ30" t="e">
        <v>#N/A</v>
      </c>
      <c r="RSA30" t="e">
        <v>#N/A</v>
      </c>
      <c r="RSB30" t="e">
        <v>#N/A</v>
      </c>
      <c r="RSC30" t="e">
        <v>#N/A</v>
      </c>
      <c r="RSD30" t="e">
        <v>#N/A</v>
      </c>
      <c r="RSE30" t="e">
        <v>#N/A</v>
      </c>
      <c r="RSF30" t="e">
        <v>#N/A</v>
      </c>
      <c r="RSG30" t="e">
        <v>#N/A</v>
      </c>
      <c r="RSH30" t="e">
        <v>#N/A</v>
      </c>
      <c r="RSI30" t="e">
        <v>#N/A</v>
      </c>
      <c r="RSJ30" t="e">
        <v>#N/A</v>
      </c>
      <c r="RSK30" t="e">
        <v>#N/A</v>
      </c>
      <c r="RSL30" t="e">
        <v>#N/A</v>
      </c>
      <c r="RSM30" t="e">
        <v>#N/A</v>
      </c>
      <c r="RSN30" t="e">
        <v>#N/A</v>
      </c>
      <c r="RSO30" t="e">
        <v>#N/A</v>
      </c>
      <c r="RSP30" t="e">
        <v>#N/A</v>
      </c>
      <c r="RSQ30" t="e">
        <v>#N/A</v>
      </c>
      <c r="RSR30" t="e">
        <v>#N/A</v>
      </c>
      <c r="RSS30" t="e">
        <v>#N/A</v>
      </c>
      <c r="RST30" t="e">
        <v>#N/A</v>
      </c>
      <c r="RSU30" t="e">
        <v>#N/A</v>
      </c>
      <c r="RSV30" t="e">
        <v>#N/A</v>
      </c>
      <c r="RSW30" t="e">
        <v>#N/A</v>
      </c>
      <c r="RSX30" t="e">
        <v>#N/A</v>
      </c>
      <c r="RSY30" t="e">
        <v>#N/A</v>
      </c>
      <c r="RSZ30" t="e">
        <v>#N/A</v>
      </c>
      <c r="RTA30" t="e">
        <v>#N/A</v>
      </c>
      <c r="RTB30" t="e">
        <v>#N/A</v>
      </c>
      <c r="RTC30" t="e">
        <v>#N/A</v>
      </c>
      <c r="RTD30" t="e">
        <v>#N/A</v>
      </c>
      <c r="RTE30" t="e">
        <v>#N/A</v>
      </c>
      <c r="RTF30" t="e">
        <v>#N/A</v>
      </c>
      <c r="RTG30" t="e">
        <v>#N/A</v>
      </c>
      <c r="RTH30" t="e">
        <v>#N/A</v>
      </c>
      <c r="RTI30" t="e">
        <v>#N/A</v>
      </c>
      <c r="RTJ30" t="e">
        <v>#N/A</v>
      </c>
      <c r="RTK30" t="e">
        <v>#N/A</v>
      </c>
      <c r="RTL30" t="e">
        <v>#N/A</v>
      </c>
      <c r="RTM30" t="e">
        <v>#N/A</v>
      </c>
      <c r="RTN30" t="e">
        <v>#N/A</v>
      </c>
      <c r="RTO30" t="e">
        <v>#N/A</v>
      </c>
      <c r="RTP30" t="e">
        <v>#N/A</v>
      </c>
      <c r="RTQ30" t="e">
        <v>#N/A</v>
      </c>
      <c r="RTR30" t="e">
        <v>#N/A</v>
      </c>
      <c r="RTS30" t="e">
        <v>#N/A</v>
      </c>
      <c r="RTT30" t="e">
        <v>#N/A</v>
      </c>
      <c r="RTU30" t="e">
        <v>#N/A</v>
      </c>
      <c r="RTV30" t="e">
        <v>#N/A</v>
      </c>
      <c r="RTW30" t="e">
        <v>#N/A</v>
      </c>
      <c r="RTX30" t="e">
        <v>#N/A</v>
      </c>
      <c r="RTY30" t="e">
        <v>#N/A</v>
      </c>
      <c r="RTZ30" t="e">
        <v>#N/A</v>
      </c>
      <c r="RUA30" t="e">
        <v>#N/A</v>
      </c>
      <c r="RUB30" t="e">
        <v>#N/A</v>
      </c>
      <c r="RUC30" t="e">
        <v>#N/A</v>
      </c>
      <c r="RUD30" t="e">
        <v>#N/A</v>
      </c>
      <c r="RUE30" t="e">
        <v>#N/A</v>
      </c>
      <c r="RUF30" t="e">
        <v>#N/A</v>
      </c>
      <c r="RUG30" t="e">
        <v>#N/A</v>
      </c>
      <c r="RUH30" t="e">
        <v>#N/A</v>
      </c>
      <c r="RUI30" t="e">
        <v>#N/A</v>
      </c>
      <c r="RUJ30" t="e">
        <v>#N/A</v>
      </c>
      <c r="RUK30" t="e">
        <v>#N/A</v>
      </c>
      <c r="RUL30" t="e">
        <v>#N/A</v>
      </c>
      <c r="RUM30" t="e">
        <v>#N/A</v>
      </c>
      <c r="RUN30" t="e">
        <v>#N/A</v>
      </c>
      <c r="RUO30" t="e">
        <v>#N/A</v>
      </c>
      <c r="RUP30" t="e">
        <v>#N/A</v>
      </c>
      <c r="RUQ30" t="e">
        <v>#N/A</v>
      </c>
      <c r="RUR30" t="e">
        <v>#N/A</v>
      </c>
      <c r="RUS30" t="e">
        <v>#N/A</v>
      </c>
      <c r="RUT30" t="e">
        <v>#N/A</v>
      </c>
      <c r="RUU30" t="e">
        <v>#N/A</v>
      </c>
      <c r="RUV30" t="e">
        <v>#N/A</v>
      </c>
      <c r="RUW30" t="e">
        <v>#N/A</v>
      </c>
      <c r="RUX30" t="e">
        <v>#N/A</v>
      </c>
      <c r="RUY30" t="e">
        <v>#N/A</v>
      </c>
      <c r="RUZ30" t="e">
        <v>#N/A</v>
      </c>
      <c r="RVA30" t="e">
        <v>#N/A</v>
      </c>
      <c r="RVB30" t="e">
        <v>#N/A</v>
      </c>
      <c r="RVC30" t="e">
        <v>#N/A</v>
      </c>
      <c r="RVD30" t="e">
        <v>#N/A</v>
      </c>
      <c r="RVE30" t="e">
        <v>#N/A</v>
      </c>
      <c r="RVF30" t="e">
        <v>#N/A</v>
      </c>
      <c r="RVG30" t="e">
        <v>#N/A</v>
      </c>
      <c r="RVH30" t="e">
        <v>#N/A</v>
      </c>
      <c r="RVI30" t="e">
        <v>#N/A</v>
      </c>
      <c r="RVJ30" t="e">
        <v>#N/A</v>
      </c>
      <c r="RVK30" t="e">
        <v>#N/A</v>
      </c>
      <c r="RVL30" t="e">
        <v>#N/A</v>
      </c>
      <c r="RVM30" t="e">
        <v>#N/A</v>
      </c>
      <c r="RVN30" t="e">
        <v>#N/A</v>
      </c>
      <c r="RVO30" t="e">
        <v>#N/A</v>
      </c>
      <c r="RVP30" t="e">
        <v>#N/A</v>
      </c>
      <c r="RVQ30" t="e">
        <v>#N/A</v>
      </c>
      <c r="RVR30" t="e">
        <v>#N/A</v>
      </c>
      <c r="RVS30" t="e">
        <v>#N/A</v>
      </c>
      <c r="RVT30" t="e">
        <v>#N/A</v>
      </c>
      <c r="RVU30" t="e">
        <v>#N/A</v>
      </c>
      <c r="RVV30" t="e">
        <v>#N/A</v>
      </c>
      <c r="RVW30" t="e">
        <v>#N/A</v>
      </c>
      <c r="RVX30" t="e">
        <v>#N/A</v>
      </c>
      <c r="RVY30" t="e">
        <v>#N/A</v>
      </c>
      <c r="RVZ30" t="e">
        <v>#N/A</v>
      </c>
      <c r="RWA30" t="e">
        <v>#N/A</v>
      </c>
      <c r="RWB30" t="e">
        <v>#N/A</v>
      </c>
      <c r="RWC30" t="e">
        <v>#N/A</v>
      </c>
      <c r="RWD30" t="e">
        <v>#N/A</v>
      </c>
      <c r="RWE30" t="e">
        <v>#N/A</v>
      </c>
      <c r="RWF30" t="e">
        <v>#N/A</v>
      </c>
      <c r="RWG30" t="e">
        <v>#N/A</v>
      </c>
      <c r="RWH30" t="e">
        <v>#N/A</v>
      </c>
      <c r="RWI30" t="e">
        <v>#N/A</v>
      </c>
      <c r="RWJ30" t="e">
        <v>#N/A</v>
      </c>
      <c r="RWK30" t="e">
        <v>#N/A</v>
      </c>
      <c r="RWL30" t="e">
        <v>#N/A</v>
      </c>
      <c r="RWM30" t="e">
        <v>#N/A</v>
      </c>
      <c r="RWN30" t="e">
        <v>#N/A</v>
      </c>
      <c r="RWO30" t="e">
        <v>#N/A</v>
      </c>
      <c r="RWP30" t="e">
        <v>#N/A</v>
      </c>
      <c r="RWQ30" t="e">
        <v>#N/A</v>
      </c>
      <c r="RWR30" t="e">
        <v>#N/A</v>
      </c>
      <c r="RWS30" t="e">
        <v>#N/A</v>
      </c>
      <c r="RWT30" t="e">
        <v>#N/A</v>
      </c>
      <c r="RWU30" t="e">
        <v>#N/A</v>
      </c>
      <c r="RWV30" t="e">
        <v>#N/A</v>
      </c>
      <c r="RWW30" t="e">
        <v>#N/A</v>
      </c>
      <c r="RWX30" t="e">
        <v>#N/A</v>
      </c>
      <c r="RWY30" t="e">
        <v>#N/A</v>
      </c>
      <c r="RWZ30" t="e">
        <v>#N/A</v>
      </c>
      <c r="RXA30" t="e">
        <v>#N/A</v>
      </c>
      <c r="RXB30" t="e">
        <v>#N/A</v>
      </c>
      <c r="RXC30" t="e">
        <v>#N/A</v>
      </c>
      <c r="RXD30" t="e">
        <v>#N/A</v>
      </c>
      <c r="RXE30" t="e">
        <v>#N/A</v>
      </c>
      <c r="RXF30" t="e">
        <v>#N/A</v>
      </c>
      <c r="RXG30" t="e">
        <v>#N/A</v>
      </c>
      <c r="RXH30" t="e">
        <v>#N/A</v>
      </c>
      <c r="RXI30" t="e">
        <v>#N/A</v>
      </c>
      <c r="RXJ30" t="e">
        <v>#N/A</v>
      </c>
      <c r="RXK30" t="e">
        <v>#N/A</v>
      </c>
      <c r="RXL30" t="e">
        <v>#N/A</v>
      </c>
      <c r="RXM30" t="e">
        <v>#N/A</v>
      </c>
      <c r="RXN30" t="e">
        <v>#N/A</v>
      </c>
      <c r="RXO30" t="e">
        <v>#N/A</v>
      </c>
      <c r="RXP30" t="e">
        <v>#N/A</v>
      </c>
      <c r="RXQ30" t="e">
        <v>#N/A</v>
      </c>
      <c r="RXR30" t="e">
        <v>#N/A</v>
      </c>
      <c r="RXS30" t="e">
        <v>#N/A</v>
      </c>
      <c r="RXT30" t="e">
        <v>#N/A</v>
      </c>
      <c r="RXU30" t="e">
        <v>#N/A</v>
      </c>
      <c r="RXV30" t="e">
        <v>#N/A</v>
      </c>
      <c r="RXW30" t="e">
        <v>#N/A</v>
      </c>
      <c r="RXX30" t="e">
        <v>#N/A</v>
      </c>
      <c r="RXY30" t="e">
        <v>#N/A</v>
      </c>
      <c r="RXZ30" t="e">
        <v>#N/A</v>
      </c>
      <c r="RYA30" t="e">
        <v>#N/A</v>
      </c>
      <c r="RYB30" t="e">
        <v>#N/A</v>
      </c>
      <c r="RYC30" t="e">
        <v>#N/A</v>
      </c>
      <c r="RYD30" t="e">
        <v>#N/A</v>
      </c>
      <c r="RYE30" t="e">
        <v>#N/A</v>
      </c>
      <c r="RYF30" t="e">
        <v>#N/A</v>
      </c>
      <c r="RYG30" t="e">
        <v>#N/A</v>
      </c>
      <c r="RYH30" t="e">
        <v>#N/A</v>
      </c>
      <c r="RYI30" t="e">
        <v>#N/A</v>
      </c>
      <c r="RYJ30" t="e">
        <v>#N/A</v>
      </c>
      <c r="RYK30" t="e">
        <v>#N/A</v>
      </c>
      <c r="RYL30" t="e">
        <v>#N/A</v>
      </c>
      <c r="RYM30" t="e">
        <v>#N/A</v>
      </c>
      <c r="RYN30" t="e">
        <v>#N/A</v>
      </c>
      <c r="RYO30" t="e">
        <v>#N/A</v>
      </c>
      <c r="RYP30" t="e">
        <v>#N/A</v>
      </c>
      <c r="RYQ30" t="e">
        <v>#N/A</v>
      </c>
      <c r="RYR30" t="e">
        <v>#N/A</v>
      </c>
      <c r="RYS30" t="e">
        <v>#N/A</v>
      </c>
      <c r="RYT30" t="e">
        <v>#N/A</v>
      </c>
      <c r="RYU30" t="e">
        <v>#N/A</v>
      </c>
      <c r="RYV30" t="e">
        <v>#N/A</v>
      </c>
      <c r="RYW30" t="e">
        <v>#N/A</v>
      </c>
      <c r="RYX30" t="e">
        <v>#N/A</v>
      </c>
      <c r="RYY30" t="e">
        <v>#N/A</v>
      </c>
      <c r="RYZ30" t="e">
        <v>#N/A</v>
      </c>
      <c r="RZA30" t="e">
        <v>#N/A</v>
      </c>
      <c r="RZB30" t="e">
        <v>#N/A</v>
      </c>
      <c r="RZC30" t="e">
        <v>#N/A</v>
      </c>
      <c r="RZD30" t="e">
        <v>#N/A</v>
      </c>
      <c r="RZE30" t="e">
        <v>#N/A</v>
      </c>
      <c r="RZF30" t="e">
        <v>#N/A</v>
      </c>
      <c r="RZG30" t="e">
        <v>#N/A</v>
      </c>
      <c r="RZH30" t="e">
        <v>#N/A</v>
      </c>
      <c r="RZI30" t="e">
        <v>#N/A</v>
      </c>
      <c r="RZJ30" t="e">
        <v>#N/A</v>
      </c>
      <c r="RZK30" t="e">
        <v>#N/A</v>
      </c>
      <c r="RZL30" t="e">
        <v>#N/A</v>
      </c>
      <c r="RZM30" t="e">
        <v>#N/A</v>
      </c>
      <c r="RZN30" t="e">
        <v>#N/A</v>
      </c>
      <c r="RZO30" t="e">
        <v>#N/A</v>
      </c>
      <c r="RZP30" t="e">
        <v>#N/A</v>
      </c>
      <c r="RZQ30" t="e">
        <v>#N/A</v>
      </c>
      <c r="RZR30" t="e">
        <v>#N/A</v>
      </c>
      <c r="RZS30" t="e">
        <v>#N/A</v>
      </c>
      <c r="RZT30" t="e">
        <v>#N/A</v>
      </c>
      <c r="RZU30" t="e">
        <v>#N/A</v>
      </c>
      <c r="RZV30" t="e">
        <v>#N/A</v>
      </c>
      <c r="RZW30" t="e">
        <v>#N/A</v>
      </c>
      <c r="RZX30" t="e">
        <v>#N/A</v>
      </c>
      <c r="RZY30" t="e">
        <v>#N/A</v>
      </c>
      <c r="RZZ30" t="e">
        <v>#N/A</v>
      </c>
      <c r="SAA30" t="e">
        <v>#N/A</v>
      </c>
      <c r="SAB30" t="e">
        <v>#N/A</v>
      </c>
      <c r="SAC30" t="e">
        <v>#N/A</v>
      </c>
      <c r="SAD30" t="e">
        <v>#N/A</v>
      </c>
      <c r="SAE30" t="e">
        <v>#N/A</v>
      </c>
      <c r="SAF30" t="e">
        <v>#N/A</v>
      </c>
      <c r="SAG30" t="e">
        <v>#N/A</v>
      </c>
      <c r="SAH30" t="e">
        <v>#N/A</v>
      </c>
      <c r="SAI30" t="e">
        <v>#N/A</v>
      </c>
      <c r="SAJ30" t="e">
        <v>#N/A</v>
      </c>
      <c r="SAK30" t="e">
        <v>#N/A</v>
      </c>
      <c r="SAL30" t="e">
        <v>#N/A</v>
      </c>
      <c r="SAM30" t="e">
        <v>#N/A</v>
      </c>
      <c r="SAN30" t="e">
        <v>#N/A</v>
      </c>
      <c r="SAO30" t="e">
        <v>#N/A</v>
      </c>
      <c r="SAP30" t="e">
        <v>#N/A</v>
      </c>
      <c r="SAQ30" t="e">
        <v>#N/A</v>
      </c>
      <c r="SAR30" t="e">
        <v>#N/A</v>
      </c>
      <c r="SAS30" t="e">
        <v>#N/A</v>
      </c>
      <c r="SAT30" t="e">
        <v>#N/A</v>
      </c>
      <c r="SAU30" t="e">
        <v>#N/A</v>
      </c>
      <c r="SAV30" t="e">
        <v>#N/A</v>
      </c>
      <c r="SAW30" t="e">
        <v>#N/A</v>
      </c>
      <c r="SAX30" t="e">
        <v>#N/A</v>
      </c>
      <c r="SAY30" t="e">
        <v>#N/A</v>
      </c>
      <c r="SAZ30" t="e">
        <v>#N/A</v>
      </c>
      <c r="SBA30" t="e">
        <v>#N/A</v>
      </c>
      <c r="SBB30" t="e">
        <v>#N/A</v>
      </c>
      <c r="SBC30" t="e">
        <v>#N/A</v>
      </c>
      <c r="SBD30" t="e">
        <v>#N/A</v>
      </c>
      <c r="SBE30" t="e">
        <v>#N/A</v>
      </c>
      <c r="SBF30" t="e">
        <v>#N/A</v>
      </c>
      <c r="SBG30" t="e">
        <v>#N/A</v>
      </c>
      <c r="SBH30" t="e">
        <v>#N/A</v>
      </c>
      <c r="SBI30" t="e">
        <v>#N/A</v>
      </c>
      <c r="SBJ30" t="e">
        <v>#N/A</v>
      </c>
      <c r="SBK30" t="e">
        <v>#N/A</v>
      </c>
      <c r="SBL30" t="e">
        <v>#N/A</v>
      </c>
      <c r="SBM30" t="e">
        <v>#N/A</v>
      </c>
      <c r="SBN30" t="e">
        <v>#N/A</v>
      </c>
      <c r="SBO30" t="e">
        <v>#N/A</v>
      </c>
      <c r="SBP30" t="e">
        <v>#N/A</v>
      </c>
      <c r="SBQ30" t="e">
        <v>#N/A</v>
      </c>
      <c r="SBR30" t="e">
        <v>#N/A</v>
      </c>
      <c r="SBS30" t="e">
        <v>#N/A</v>
      </c>
      <c r="SBT30" t="e">
        <v>#N/A</v>
      </c>
      <c r="SBU30" t="e">
        <v>#N/A</v>
      </c>
      <c r="SBV30" t="e">
        <v>#N/A</v>
      </c>
      <c r="SBW30" t="e">
        <v>#N/A</v>
      </c>
      <c r="SBX30" t="e">
        <v>#N/A</v>
      </c>
      <c r="SBY30" t="e">
        <v>#N/A</v>
      </c>
      <c r="SBZ30" t="e">
        <v>#N/A</v>
      </c>
      <c r="SCA30" t="e">
        <v>#N/A</v>
      </c>
      <c r="SCB30" t="e">
        <v>#N/A</v>
      </c>
      <c r="SCC30" t="e">
        <v>#N/A</v>
      </c>
      <c r="SCD30" t="e">
        <v>#N/A</v>
      </c>
      <c r="SCE30" t="e">
        <v>#N/A</v>
      </c>
      <c r="SCF30" t="e">
        <v>#N/A</v>
      </c>
      <c r="SCG30" t="e">
        <v>#N/A</v>
      </c>
      <c r="SCH30" t="e">
        <v>#N/A</v>
      </c>
      <c r="SCI30" t="e">
        <v>#N/A</v>
      </c>
      <c r="SCJ30" t="e">
        <v>#N/A</v>
      </c>
      <c r="SCK30" t="e">
        <v>#N/A</v>
      </c>
      <c r="SCL30" t="e">
        <v>#N/A</v>
      </c>
      <c r="SCM30" t="e">
        <v>#N/A</v>
      </c>
      <c r="SCN30" t="e">
        <v>#N/A</v>
      </c>
      <c r="SCO30" t="e">
        <v>#N/A</v>
      </c>
      <c r="SCP30" t="e">
        <v>#N/A</v>
      </c>
      <c r="SCQ30" t="e">
        <v>#N/A</v>
      </c>
      <c r="SCR30" t="e">
        <v>#N/A</v>
      </c>
      <c r="SCS30" t="e">
        <v>#N/A</v>
      </c>
      <c r="SCT30" t="e">
        <v>#N/A</v>
      </c>
      <c r="SCU30" t="e">
        <v>#N/A</v>
      </c>
      <c r="SCV30" t="e">
        <v>#N/A</v>
      </c>
      <c r="SCW30" t="e">
        <v>#N/A</v>
      </c>
      <c r="SCX30" t="e">
        <v>#N/A</v>
      </c>
      <c r="SCY30" t="e">
        <v>#N/A</v>
      </c>
      <c r="SCZ30" t="e">
        <v>#N/A</v>
      </c>
      <c r="SDA30" t="e">
        <v>#N/A</v>
      </c>
      <c r="SDB30" t="e">
        <v>#N/A</v>
      </c>
      <c r="SDC30" t="e">
        <v>#N/A</v>
      </c>
      <c r="SDD30" t="e">
        <v>#N/A</v>
      </c>
      <c r="SDE30" t="e">
        <v>#N/A</v>
      </c>
      <c r="SDF30" t="e">
        <v>#N/A</v>
      </c>
      <c r="SDG30" t="e">
        <v>#N/A</v>
      </c>
      <c r="SDH30" t="e">
        <v>#N/A</v>
      </c>
      <c r="SDI30" t="e">
        <v>#N/A</v>
      </c>
      <c r="SDJ30" t="e">
        <v>#N/A</v>
      </c>
      <c r="SDK30" t="e">
        <v>#N/A</v>
      </c>
      <c r="SDL30" t="e">
        <v>#N/A</v>
      </c>
      <c r="SDM30" t="e">
        <v>#N/A</v>
      </c>
      <c r="SDN30" t="e">
        <v>#N/A</v>
      </c>
      <c r="SDO30" t="e">
        <v>#N/A</v>
      </c>
      <c r="SDP30" t="e">
        <v>#N/A</v>
      </c>
      <c r="SDQ30" t="e">
        <v>#N/A</v>
      </c>
      <c r="SDR30" t="e">
        <v>#N/A</v>
      </c>
      <c r="SDS30" t="e">
        <v>#N/A</v>
      </c>
      <c r="SDT30" t="e">
        <v>#N/A</v>
      </c>
      <c r="SDU30" t="e">
        <v>#N/A</v>
      </c>
      <c r="SDV30" t="e">
        <v>#N/A</v>
      </c>
      <c r="SDW30" t="e">
        <v>#N/A</v>
      </c>
      <c r="SDX30" t="e">
        <v>#N/A</v>
      </c>
      <c r="SDY30" t="e">
        <v>#N/A</v>
      </c>
      <c r="SDZ30" t="e">
        <v>#N/A</v>
      </c>
      <c r="SEA30" t="e">
        <v>#N/A</v>
      </c>
      <c r="SEB30" t="e">
        <v>#N/A</v>
      </c>
      <c r="SEC30" t="e">
        <v>#N/A</v>
      </c>
      <c r="SED30" t="e">
        <v>#N/A</v>
      </c>
      <c r="SEE30" t="e">
        <v>#N/A</v>
      </c>
      <c r="SEF30" t="e">
        <v>#N/A</v>
      </c>
      <c r="SEG30" t="e">
        <v>#N/A</v>
      </c>
      <c r="SEH30" t="e">
        <v>#N/A</v>
      </c>
      <c r="SEI30" t="e">
        <v>#N/A</v>
      </c>
      <c r="SEJ30" t="e">
        <v>#N/A</v>
      </c>
      <c r="SEK30" t="e">
        <v>#N/A</v>
      </c>
      <c r="SEL30" t="e">
        <v>#N/A</v>
      </c>
      <c r="SEM30" t="e">
        <v>#N/A</v>
      </c>
      <c r="SEN30" t="e">
        <v>#N/A</v>
      </c>
      <c r="SEO30" t="e">
        <v>#N/A</v>
      </c>
      <c r="SEP30" t="e">
        <v>#N/A</v>
      </c>
      <c r="SEQ30" t="e">
        <v>#N/A</v>
      </c>
      <c r="SER30" t="e">
        <v>#N/A</v>
      </c>
      <c r="SES30" t="e">
        <v>#N/A</v>
      </c>
      <c r="SET30" t="e">
        <v>#N/A</v>
      </c>
      <c r="SEU30" t="e">
        <v>#N/A</v>
      </c>
      <c r="SEV30" t="e">
        <v>#N/A</v>
      </c>
      <c r="SEW30" t="e">
        <v>#N/A</v>
      </c>
      <c r="SEX30" t="e">
        <v>#N/A</v>
      </c>
      <c r="SEY30" t="e">
        <v>#N/A</v>
      </c>
      <c r="SEZ30" t="e">
        <v>#N/A</v>
      </c>
      <c r="SFA30" t="e">
        <v>#N/A</v>
      </c>
      <c r="SFB30" t="e">
        <v>#N/A</v>
      </c>
      <c r="SFC30" t="e">
        <v>#N/A</v>
      </c>
      <c r="SFD30" t="e">
        <v>#N/A</v>
      </c>
      <c r="SFE30" t="e">
        <v>#N/A</v>
      </c>
      <c r="SFF30" t="e">
        <v>#N/A</v>
      </c>
      <c r="SFG30" t="e">
        <v>#N/A</v>
      </c>
      <c r="SFH30" t="e">
        <v>#N/A</v>
      </c>
      <c r="SFI30" t="e">
        <v>#N/A</v>
      </c>
      <c r="SFJ30" t="e">
        <v>#N/A</v>
      </c>
      <c r="SFK30" t="e">
        <v>#N/A</v>
      </c>
      <c r="SFL30" t="e">
        <v>#N/A</v>
      </c>
      <c r="SFM30" t="e">
        <v>#N/A</v>
      </c>
      <c r="SFN30" t="e">
        <v>#N/A</v>
      </c>
      <c r="SFO30" t="e">
        <v>#N/A</v>
      </c>
      <c r="SFP30" t="e">
        <v>#N/A</v>
      </c>
      <c r="SFQ30" t="e">
        <v>#N/A</v>
      </c>
      <c r="SFR30" t="e">
        <v>#N/A</v>
      </c>
      <c r="SFS30" t="e">
        <v>#N/A</v>
      </c>
      <c r="SFT30" t="e">
        <v>#N/A</v>
      </c>
      <c r="SFU30" t="e">
        <v>#N/A</v>
      </c>
      <c r="SFV30" t="e">
        <v>#N/A</v>
      </c>
      <c r="SFW30" t="e">
        <v>#N/A</v>
      </c>
      <c r="SFX30" t="e">
        <v>#N/A</v>
      </c>
      <c r="SFY30" t="e">
        <v>#N/A</v>
      </c>
      <c r="SFZ30" t="e">
        <v>#N/A</v>
      </c>
      <c r="SGA30" t="e">
        <v>#N/A</v>
      </c>
      <c r="SGB30" t="e">
        <v>#N/A</v>
      </c>
      <c r="SGC30" t="e">
        <v>#N/A</v>
      </c>
      <c r="SGD30" t="e">
        <v>#N/A</v>
      </c>
      <c r="SGE30" t="e">
        <v>#N/A</v>
      </c>
      <c r="SGF30" t="e">
        <v>#N/A</v>
      </c>
      <c r="SGG30" t="e">
        <v>#N/A</v>
      </c>
      <c r="SGH30" t="e">
        <v>#N/A</v>
      </c>
      <c r="SGI30" t="e">
        <v>#N/A</v>
      </c>
      <c r="SGJ30" t="e">
        <v>#N/A</v>
      </c>
      <c r="SGK30" t="e">
        <v>#N/A</v>
      </c>
      <c r="SGL30" t="e">
        <v>#N/A</v>
      </c>
      <c r="SGM30" t="e">
        <v>#N/A</v>
      </c>
      <c r="SGN30" t="e">
        <v>#N/A</v>
      </c>
      <c r="SGO30" t="e">
        <v>#N/A</v>
      </c>
      <c r="SGP30" t="e">
        <v>#N/A</v>
      </c>
      <c r="SGQ30" t="e">
        <v>#N/A</v>
      </c>
      <c r="SGR30" t="e">
        <v>#N/A</v>
      </c>
      <c r="SGS30" t="e">
        <v>#N/A</v>
      </c>
      <c r="SGT30" t="e">
        <v>#N/A</v>
      </c>
      <c r="SGU30" t="e">
        <v>#N/A</v>
      </c>
      <c r="SGV30" t="e">
        <v>#N/A</v>
      </c>
      <c r="SGW30" t="e">
        <v>#N/A</v>
      </c>
      <c r="SGX30" t="e">
        <v>#N/A</v>
      </c>
      <c r="SGY30" t="e">
        <v>#N/A</v>
      </c>
      <c r="SGZ30" t="e">
        <v>#N/A</v>
      </c>
      <c r="SHA30" t="e">
        <v>#N/A</v>
      </c>
      <c r="SHB30" t="e">
        <v>#N/A</v>
      </c>
      <c r="SHC30" t="e">
        <v>#N/A</v>
      </c>
      <c r="SHD30" t="e">
        <v>#N/A</v>
      </c>
      <c r="SHE30" t="e">
        <v>#N/A</v>
      </c>
      <c r="SHF30" t="e">
        <v>#N/A</v>
      </c>
      <c r="SHG30" t="e">
        <v>#N/A</v>
      </c>
      <c r="SHH30" t="e">
        <v>#N/A</v>
      </c>
      <c r="SHI30" t="e">
        <v>#N/A</v>
      </c>
      <c r="SHJ30" t="e">
        <v>#N/A</v>
      </c>
      <c r="SHK30" t="e">
        <v>#N/A</v>
      </c>
      <c r="SHL30" t="e">
        <v>#N/A</v>
      </c>
      <c r="SHM30" t="e">
        <v>#N/A</v>
      </c>
      <c r="SHN30" t="e">
        <v>#N/A</v>
      </c>
      <c r="SHO30" t="e">
        <v>#N/A</v>
      </c>
      <c r="SHP30" t="e">
        <v>#N/A</v>
      </c>
      <c r="SHQ30" t="e">
        <v>#N/A</v>
      </c>
      <c r="SHR30" t="e">
        <v>#N/A</v>
      </c>
      <c r="SHS30" t="e">
        <v>#N/A</v>
      </c>
      <c r="SHT30" t="e">
        <v>#N/A</v>
      </c>
      <c r="SHU30" t="e">
        <v>#N/A</v>
      </c>
      <c r="SHV30" t="e">
        <v>#N/A</v>
      </c>
      <c r="SHW30" t="e">
        <v>#N/A</v>
      </c>
      <c r="SHX30" t="e">
        <v>#N/A</v>
      </c>
      <c r="SHY30" t="e">
        <v>#N/A</v>
      </c>
      <c r="SHZ30" t="e">
        <v>#N/A</v>
      </c>
      <c r="SIA30" t="e">
        <v>#N/A</v>
      </c>
      <c r="SIB30" t="e">
        <v>#N/A</v>
      </c>
      <c r="SIC30" t="e">
        <v>#N/A</v>
      </c>
      <c r="SID30" t="e">
        <v>#N/A</v>
      </c>
      <c r="SIE30" t="e">
        <v>#N/A</v>
      </c>
      <c r="SIF30" t="e">
        <v>#N/A</v>
      </c>
      <c r="SIG30" t="e">
        <v>#N/A</v>
      </c>
      <c r="SIH30" t="e">
        <v>#N/A</v>
      </c>
      <c r="SII30" t="e">
        <v>#N/A</v>
      </c>
      <c r="SIJ30" t="e">
        <v>#N/A</v>
      </c>
      <c r="SIK30" t="e">
        <v>#N/A</v>
      </c>
      <c r="SIL30" t="e">
        <v>#N/A</v>
      </c>
      <c r="SIM30" t="e">
        <v>#N/A</v>
      </c>
      <c r="SIN30" t="e">
        <v>#N/A</v>
      </c>
      <c r="SIO30" t="e">
        <v>#N/A</v>
      </c>
      <c r="SIP30" t="e">
        <v>#N/A</v>
      </c>
      <c r="SIQ30" t="e">
        <v>#N/A</v>
      </c>
      <c r="SIR30" t="e">
        <v>#N/A</v>
      </c>
      <c r="SIS30" t="e">
        <v>#N/A</v>
      </c>
      <c r="SIT30" t="e">
        <v>#N/A</v>
      </c>
      <c r="SIU30" t="e">
        <v>#N/A</v>
      </c>
      <c r="SIV30" t="e">
        <v>#N/A</v>
      </c>
      <c r="SIW30" t="e">
        <v>#N/A</v>
      </c>
      <c r="SIX30" t="e">
        <v>#N/A</v>
      </c>
      <c r="SIY30" t="e">
        <v>#N/A</v>
      </c>
      <c r="SIZ30" t="e">
        <v>#N/A</v>
      </c>
      <c r="SJA30" t="e">
        <v>#N/A</v>
      </c>
      <c r="SJB30" t="e">
        <v>#N/A</v>
      </c>
      <c r="SJC30" t="e">
        <v>#N/A</v>
      </c>
      <c r="SJD30" t="e">
        <v>#N/A</v>
      </c>
      <c r="SJE30" t="e">
        <v>#N/A</v>
      </c>
      <c r="SJF30" t="e">
        <v>#N/A</v>
      </c>
      <c r="SJG30" t="e">
        <v>#N/A</v>
      </c>
      <c r="SJH30" t="e">
        <v>#N/A</v>
      </c>
      <c r="SJI30" t="e">
        <v>#N/A</v>
      </c>
      <c r="SJJ30" t="e">
        <v>#N/A</v>
      </c>
      <c r="SJK30" t="e">
        <v>#N/A</v>
      </c>
      <c r="SJL30" t="e">
        <v>#N/A</v>
      </c>
      <c r="SJM30" t="e">
        <v>#N/A</v>
      </c>
      <c r="SJN30" t="e">
        <v>#N/A</v>
      </c>
      <c r="SJO30" t="e">
        <v>#N/A</v>
      </c>
      <c r="SJP30" t="e">
        <v>#N/A</v>
      </c>
      <c r="SJQ30" t="e">
        <v>#N/A</v>
      </c>
      <c r="SJR30" t="e">
        <v>#N/A</v>
      </c>
      <c r="SJS30" t="e">
        <v>#N/A</v>
      </c>
      <c r="SJT30" t="e">
        <v>#N/A</v>
      </c>
      <c r="SJU30" t="e">
        <v>#N/A</v>
      </c>
      <c r="SJV30" t="e">
        <v>#N/A</v>
      </c>
      <c r="SJW30" t="e">
        <v>#N/A</v>
      </c>
      <c r="SJX30" t="e">
        <v>#N/A</v>
      </c>
      <c r="SJY30" t="e">
        <v>#N/A</v>
      </c>
      <c r="SJZ30" t="e">
        <v>#N/A</v>
      </c>
      <c r="SKA30" t="e">
        <v>#N/A</v>
      </c>
      <c r="SKB30" t="e">
        <v>#N/A</v>
      </c>
      <c r="SKC30" t="e">
        <v>#N/A</v>
      </c>
      <c r="SKD30" t="e">
        <v>#N/A</v>
      </c>
      <c r="SKE30" t="e">
        <v>#N/A</v>
      </c>
      <c r="SKF30" t="e">
        <v>#N/A</v>
      </c>
      <c r="SKG30" t="e">
        <v>#N/A</v>
      </c>
      <c r="SKH30" t="e">
        <v>#N/A</v>
      </c>
      <c r="SKI30" t="e">
        <v>#N/A</v>
      </c>
      <c r="SKJ30" t="e">
        <v>#N/A</v>
      </c>
      <c r="SKK30" t="e">
        <v>#N/A</v>
      </c>
      <c r="SKL30" t="e">
        <v>#N/A</v>
      </c>
      <c r="SKM30" t="e">
        <v>#N/A</v>
      </c>
      <c r="SKN30" t="e">
        <v>#N/A</v>
      </c>
      <c r="SKO30" t="e">
        <v>#N/A</v>
      </c>
      <c r="SKP30" t="e">
        <v>#N/A</v>
      </c>
      <c r="SKQ30" t="e">
        <v>#N/A</v>
      </c>
      <c r="SKR30" t="e">
        <v>#N/A</v>
      </c>
      <c r="SKS30" t="e">
        <v>#N/A</v>
      </c>
      <c r="SKT30" t="e">
        <v>#N/A</v>
      </c>
      <c r="SKU30" t="e">
        <v>#N/A</v>
      </c>
      <c r="SKV30" t="e">
        <v>#N/A</v>
      </c>
      <c r="SKW30" t="e">
        <v>#N/A</v>
      </c>
      <c r="SKX30" t="e">
        <v>#N/A</v>
      </c>
      <c r="SKY30" t="e">
        <v>#N/A</v>
      </c>
      <c r="SKZ30" t="e">
        <v>#N/A</v>
      </c>
      <c r="SLA30" t="e">
        <v>#N/A</v>
      </c>
      <c r="SLB30" t="e">
        <v>#N/A</v>
      </c>
      <c r="SLC30" t="e">
        <v>#N/A</v>
      </c>
      <c r="SLD30" t="e">
        <v>#N/A</v>
      </c>
      <c r="SLE30" t="e">
        <v>#N/A</v>
      </c>
      <c r="SLF30" t="e">
        <v>#N/A</v>
      </c>
      <c r="SLG30" t="e">
        <v>#N/A</v>
      </c>
      <c r="SLH30" t="e">
        <v>#N/A</v>
      </c>
      <c r="SLI30" t="e">
        <v>#N/A</v>
      </c>
      <c r="SLJ30" t="e">
        <v>#N/A</v>
      </c>
      <c r="SLK30" t="e">
        <v>#N/A</v>
      </c>
      <c r="SLL30" t="e">
        <v>#N/A</v>
      </c>
      <c r="SLM30" t="e">
        <v>#N/A</v>
      </c>
      <c r="SLN30" t="e">
        <v>#N/A</v>
      </c>
      <c r="SLO30" t="e">
        <v>#N/A</v>
      </c>
      <c r="SLP30" t="e">
        <v>#N/A</v>
      </c>
      <c r="SLQ30" t="e">
        <v>#N/A</v>
      </c>
      <c r="SLR30" t="e">
        <v>#N/A</v>
      </c>
      <c r="SLS30" t="e">
        <v>#N/A</v>
      </c>
      <c r="SLT30" t="e">
        <v>#N/A</v>
      </c>
      <c r="SLU30" t="e">
        <v>#N/A</v>
      </c>
      <c r="SLV30" t="e">
        <v>#N/A</v>
      </c>
      <c r="SLW30" t="e">
        <v>#N/A</v>
      </c>
      <c r="SLX30" t="e">
        <v>#N/A</v>
      </c>
      <c r="SLY30" t="e">
        <v>#N/A</v>
      </c>
      <c r="SLZ30" t="e">
        <v>#N/A</v>
      </c>
      <c r="SMA30" t="e">
        <v>#N/A</v>
      </c>
      <c r="SMB30" t="e">
        <v>#N/A</v>
      </c>
      <c r="SMC30" t="e">
        <v>#N/A</v>
      </c>
      <c r="SMD30" t="e">
        <v>#N/A</v>
      </c>
      <c r="SME30" t="e">
        <v>#N/A</v>
      </c>
      <c r="SMF30" t="e">
        <v>#N/A</v>
      </c>
      <c r="SMG30" t="e">
        <v>#N/A</v>
      </c>
      <c r="SMH30" t="e">
        <v>#N/A</v>
      </c>
      <c r="SMI30" t="e">
        <v>#N/A</v>
      </c>
      <c r="SMJ30" t="e">
        <v>#N/A</v>
      </c>
      <c r="SMK30" t="e">
        <v>#N/A</v>
      </c>
      <c r="SML30" t="e">
        <v>#N/A</v>
      </c>
      <c r="SMM30" t="e">
        <v>#N/A</v>
      </c>
      <c r="SMN30" t="e">
        <v>#N/A</v>
      </c>
      <c r="SMO30" t="e">
        <v>#N/A</v>
      </c>
      <c r="SMP30" t="e">
        <v>#N/A</v>
      </c>
      <c r="SMQ30" t="e">
        <v>#N/A</v>
      </c>
      <c r="SMR30" t="e">
        <v>#N/A</v>
      </c>
      <c r="SMS30" t="e">
        <v>#N/A</v>
      </c>
      <c r="SMT30" t="e">
        <v>#N/A</v>
      </c>
      <c r="SMU30" t="e">
        <v>#N/A</v>
      </c>
      <c r="SMV30" t="e">
        <v>#N/A</v>
      </c>
      <c r="SMW30" t="e">
        <v>#N/A</v>
      </c>
      <c r="SMX30" t="e">
        <v>#N/A</v>
      </c>
      <c r="SMY30" t="e">
        <v>#N/A</v>
      </c>
      <c r="SMZ30" t="e">
        <v>#N/A</v>
      </c>
      <c r="SNA30" t="e">
        <v>#N/A</v>
      </c>
      <c r="SNB30" t="e">
        <v>#N/A</v>
      </c>
      <c r="SNC30" t="e">
        <v>#N/A</v>
      </c>
      <c r="SND30" t="e">
        <v>#N/A</v>
      </c>
      <c r="SNE30" t="e">
        <v>#N/A</v>
      </c>
      <c r="SNF30" t="e">
        <v>#N/A</v>
      </c>
      <c r="SNG30" t="e">
        <v>#N/A</v>
      </c>
      <c r="SNH30" t="e">
        <v>#N/A</v>
      </c>
      <c r="SNI30" t="e">
        <v>#N/A</v>
      </c>
      <c r="SNJ30" t="e">
        <v>#N/A</v>
      </c>
      <c r="SNK30" t="e">
        <v>#N/A</v>
      </c>
      <c r="SNL30" t="e">
        <v>#N/A</v>
      </c>
      <c r="SNM30" t="e">
        <v>#N/A</v>
      </c>
      <c r="SNN30" t="e">
        <v>#N/A</v>
      </c>
      <c r="SNO30" t="e">
        <v>#N/A</v>
      </c>
      <c r="SNP30" t="e">
        <v>#N/A</v>
      </c>
      <c r="SNQ30" t="e">
        <v>#N/A</v>
      </c>
      <c r="SNR30" t="e">
        <v>#N/A</v>
      </c>
      <c r="SNS30" t="e">
        <v>#N/A</v>
      </c>
      <c r="SNT30" t="e">
        <v>#N/A</v>
      </c>
      <c r="SNU30" t="e">
        <v>#N/A</v>
      </c>
      <c r="SNV30" t="e">
        <v>#N/A</v>
      </c>
      <c r="SNW30" t="e">
        <v>#N/A</v>
      </c>
      <c r="SNX30" t="e">
        <v>#N/A</v>
      </c>
      <c r="SNY30" t="e">
        <v>#N/A</v>
      </c>
      <c r="SNZ30" t="e">
        <v>#N/A</v>
      </c>
      <c r="SOA30" t="e">
        <v>#N/A</v>
      </c>
      <c r="SOB30" t="e">
        <v>#N/A</v>
      </c>
      <c r="SOC30" t="e">
        <v>#N/A</v>
      </c>
      <c r="SOD30" t="e">
        <v>#N/A</v>
      </c>
      <c r="SOE30" t="e">
        <v>#N/A</v>
      </c>
      <c r="SOF30" t="e">
        <v>#N/A</v>
      </c>
      <c r="SOG30" t="e">
        <v>#N/A</v>
      </c>
      <c r="SOH30" t="e">
        <v>#N/A</v>
      </c>
      <c r="SOI30" t="e">
        <v>#N/A</v>
      </c>
      <c r="SOJ30" t="e">
        <v>#N/A</v>
      </c>
      <c r="SOK30" t="e">
        <v>#N/A</v>
      </c>
      <c r="SOL30" t="e">
        <v>#N/A</v>
      </c>
      <c r="SOM30" t="e">
        <v>#N/A</v>
      </c>
      <c r="SON30" t="e">
        <v>#N/A</v>
      </c>
      <c r="SOO30" t="e">
        <v>#N/A</v>
      </c>
      <c r="SOP30" t="e">
        <v>#N/A</v>
      </c>
      <c r="SOQ30" t="e">
        <v>#N/A</v>
      </c>
      <c r="SOR30" t="e">
        <v>#N/A</v>
      </c>
      <c r="SOS30" t="e">
        <v>#N/A</v>
      </c>
      <c r="SOT30" t="e">
        <v>#N/A</v>
      </c>
      <c r="SOU30" t="e">
        <v>#N/A</v>
      </c>
      <c r="SOV30" t="e">
        <v>#N/A</v>
      </c>
      <c r="SOW30" t="e">
        <v>#N/A</v>
      </c>
      <c r="SOX30" t="e">
        <v>#N/A</v>
      </c>
      <c r="SOY30" t="e">
        <v>#N/A</v>
      </c>
      <c r="SOZ30" t="e">
        <v>#N/A</v>
      </c>
      <c r="SPA30" t="e">
        <v>#N/A</v>
      </c>
      <c r="SPB30" t="e">
        <v>#N/A</v>
      </c>
      <c r="SPC30" t="e">
        <v>#N/A</v>
      </c>
      <c r="SPD30" t="e">
        <v>#N/A</v>
      </c>
      <c r="SPE30" t="e">
        <v>#N/A</v>
      </c>
      <c r="SPF30" t="e">
        <v>#N/A</v>
      </c>
      <c r="SPG30" t="e">
        <v>#N/A</v>
      </c>
      <c r="SPH30" t="e">
        <v>#N/A</v>
      </c>
      <c r="SPI30" t="e">
        <v>#N/A</v>
      </c>
      <c r="SPJ30" t="e">
        <v>#N/A</v>
      </c>
      <c r="SPK30" t="e">
        <v>#N/A</v>
      </c>
      <c r="SPL30" t="e">
        <v>#N/A</v>
      </c>
      <c r="SPM30" t="e">
        <v>#N/A</v>
      </c>
      <c r="SPN30" t="e">
        <v>#N/A</v>
      </c>
      <c r="SPO30" t="e">
        <v>#N/A</v>
      </c>
      <c r="SPP30" t="e">
        <v>#N/A</v>
      </c>
      <c r="SPQ30" t="e">
        <v>#N/A</v>
      </c>
      <c r="SPR30" t="e">
        <v>#N/A</v>
      </c>
      <c r="SPS30" t="e">
        <v>#N/A</v>
      </c>
      <c r="SPT30" t="e">
        <v>#N/A</v>
      </c>
      <c r="SPU30" t="e">
        <v>#N/A</v>
      </c>
      <c r="SPV30" t="e">
        <v>#N/A</v>
      </c>
      <c r="SPW30" t="e">
        <v>#N/A</v>
      </c>
      <c r="SPX30" t="e">
        <v>#N/A</v>
      </c>
      <c r="SPY30" t="e">
        <v>#N/A</v>
      </c>
      <c r="SPZ30" t="e">
        <v>#N/A</v>
      </c>
      <c r="SQA30" t="e">
        <v>#N/A</v>
      </c>
      <c r="SQB30" t="e">
        <v>#N/A</v>
      </c>
      <c r="SQC30" t="e">
        <v>#N/A</v>
      </c>
      <c r="SQD30" t="e">
        <v>#N/A</v>
      </c>
      <c r="SQE30" t="e">
        <v>#N/A</v>
      </c>
      <c r="SQF30" t="e">
        <v>#N/A</v>
      </c>
      <c r="SQG30" t="e">
        <v>#N/A</v>
      </c>
      <c r="SQH30" t="e">
        <v>#N/A</v>
      </c>
      <c r="SQI30" t="e">
        <v>#N/A</v>
      </c>
      <c r="SQJ30" t="e">
        <v>#N/A</v>
      </c>
      <c r="SQK30" t="e">
        <v>#N/A</v>
      </c>
      <c r="SQL30" t="e">
        <v>#N/A</v>
      </c>
      <c r="SQM30" t="e">
        <v>#N/A</v>
      </c>
      <c r="SQN30" t="e">
        <v>#N/A</v>
      </c>
      <c r="SQO30" t="e">
        <v>#N/A</v>
      </c>
      <c r="SQP30" t="e">
        <v>#N/A</v>
      </c>
      <c r="SQQ30" t="e">
        <v>#N/A</v>
      </c>
      <c r="SQR30" t="e">
        <v>#N/A</v>
      </c>
      <c r="SQS30" t="e">
        <v>#N/A</v>
      </c>
      <c r="SQT30" t="e">
        <v>#N/A</v>
      </c>
      <c r="SQU30" t="e">
        <v>#N/A</v>
      </c>
      <c r="SQV30" t="e">
        <v>#N/A</v>
      </c>
      <c r="SQW30" t="e">
        <v>#N/A</v>
      </c>
      <c r="SQX30" t="e">
        <v>#N/A</v>
      </c>
      <c r="SQY30" t="e">
        <v>#N/A</v>
      </c>
      <c r="SQZ30" t="e">
        <v>#N/A</v>
      </c>
      <c r="SRA30" t="e">
        <v>#N/A</v>
      </c>
      <c r="SRB30" t="e">
        <v>#N/A</v>
      </c>
      <c r="SRC30" t="e">
        <v>#N/A</v>
      </c>
      <c r="SRD30" t="e">
        <v>#N/A</v>
      </c>
      <c r="SRE30" t="e">
        <v>#N/A</v>
      </c>
      <c r="SRF30" t="e">
        <v>#N/A</v>
      </c>
      <c r="SRG30" t="e">
        <v>#N/A</v>
      </c>
      <c r="SRH30" t="e">
        <v>#N/A</v>
      </c>
      <c r="SRI30" t="e">
        <v>#N/A</v>
      </c>
      <c r="SRJ30" t="e">
        <v>#N/A</v>
      </c>
      <c r="SRK30" t="e">
        <v>#N/A</v>
      </c>
      <c r="SRL30" t="e">
        <v>#N/A</v>
      </c>
      <c r="SRM30" t="e">
        <v>#N/A</v>
      </c>
      <c r="SRN30" t="e">
        <v>#N/A</v>
      </c>
      <c r="SRO30" t="e">
        <v>#N/A</v>
      </c>
      <c r="SRP30" t="e">
        <v>#N/A</v>
      </c>
      <c r="SRQ30" t="e">
        <v>#N/A</v>
      </c>
      <c r="SRR30" t="e">
        <v>#N/A</v>
      </c>
      <c r="SRS30" t="e">
        <v>#N/A</v>
      </c>
      <c r="SRT30" t="e">
        <v>#N/A</v>
      </c>
      <c r="SRU30" t="e">
        <v>#N/A</v>
      </c>
      <c r="SRV30" t="e">
        <v>#N/A</v>
      </c>
      <c r="SRW30" t="e">
        <v>#N/A</v>
      </c>
      <c r="SRX30" t="e">
        <v>#N/A</v>
      </c>
      <c r="SRY30" t="e">
        <v>#N/A</v>
      </c>
      <c r="SRZ30" t="e">
        <v>#N/A</v>
      </c>
      <c r="SSA30" t="e">
        <v>#N/A</v>
      </c>
      <c r="SSB30" t="e">
        <v>#N/A</v>
      </c>
      <c r="SSC30" t="e">
        <v>#N/A</v>
      </c>
      <c r="SSD30" t="e">
        <v>#N/A</v>
      </c>
      <c r="SSE30" t="e">
        <v>#N/A</v>
      </c>
      <c r="SSF30" t="e">
        <v>#N/A</v>
      </c>
      <c r="SSG30" t="e">
        <v>#N/A</v>
      </c>
      <c r="SSH30" t="e">
        <v>#N/A</v>
      </c>
      <c r="SSI30" t="e">
        <v>#N/A</v>
      </c>
      <c r="SSJ30" t="e">
        <v>#N/A</v>
      </c>
      <c r="SSK30" t="e">
        <v>#N/A</v>
      </c>
      <c r="SSL30" t="e">
        <v>#N/A</v>
      </c>
      <c r="SSM30" t="e">
        <v>#N/A</v>
      </c>
      <c r="SSN30" t="e">
        <v>#N/A</v>
      </c>
      <c r="SSO30" t="e">
        <v>#N/A</v>
      </c>
      <c r="SSP30" t="e">
        <v>#N/A</v>
      </c>
      <c r="SSQ30" t="e">
        <v>#N/A</v>
      </c>
      <c r="SSR30" t="e">
        <v>#N/A</v>
      </c>
      <c r="SSS30" t="e">
        <v>#N/A</v>
      </c>
      <c r="SST30" t="e">
        <v>#N/A</v>
      </c>
      <c r="SSU30" t="e">
        <v>#N/A</v>
      </c>
      <c r="SSV30" t="e">
        <v>#N/A</v>
      </c>
      <c r="SSW30" t="e">
        <v>#N/A</v>
      </c>
      <c r="SSX30" t="e">
        <v>#N/A</v>
      </c>
      <c r="SSY30" t="e">
        <v>#N/A</v>
      </c>
      <c r="SSZ30" t="e">
        <v>#N/A</v>
      </c>
      <c r="STA30" t="e">
        <v>#N/A</v>
      </c>
      <c r="STB30" t="e">
        <v>#N/A</v>
      </c>
      <c r="STC30" t="e">
        <v>#N/A</v>
      </c>
      <c r="STD30" t="e">
        <v>#N/A</v>
      </c>
      <c r="STE30" t="e">
        <v>#N/A</v>
      </c>
      <c r="STF30" t="e">
        <v>#N/A</v>
      </c>
      <c r="STG30" t="e">
        <v>#N/A</v>
      </c>
      <c r="STH30" t="e">
        <v>#N/A</v>
      </c>
      <c r="STI30" t="e">
        <v>#N/A</v>
      </c>
      <c r="STJ30" t="e">
        <v>#N/A</v>
      </c>
      <c r="STK30" t="e">
        <v>#N/A</v>
      </c>
      <c r="STL30" t="e">
        <v>#N/A</v>
      </c>
      <c r="STM30" t="e">
        <v>#N/A</v>
      </c>
      <c r="STN30" t="e">
        <v>#N/A</v>
      </c>
      <c r="STO30" t="e">
        <v>#N/A</v>
      </c>
      <c r="STP30" t="e">
        <v>#N/A</v>
      </c>
      <c r="STQ30" t="e">
        <v>#N/A</v>
      </c>
      <c r="STR30" t="e">
        <v>#N/A</v>
      </c>
      <c r="STS30" t="e">
        <v>#N/A</v>
      </c>
      <c r="STT30" t="e">
        <v>#N/A</v>
      </c>
      <c r="STU30" t="e">
        <v>#N/A</v>
      </c>
      <c r="STV30" t="e">
        <v>#N/A</v>
      </c>
      <c r="STW30" t="e">
        <v>#N/A</v>
      </c>
      <c r="STX30" t="e">
        <v>#N/A</v>
      </c>
      <c r="STY30" t="e">
        <v>#N/A</v>
      </c>
      <c r="STZ30" t="e">
        <v>#N/A</v>
      </c>
      <c r="SUA30" t="e">
        <v>#N/A</v>
      </c>
      <c r="SUB30" t="e">
        <v>#N/A</v>
      </c>
      <c r="SUC30" t="e">
        <v>#N/A</v>
      </c>
      <c r="SUD30" t="e">
        <v>#N/A</v>
      </c>
      <c r="SUE30" t="e">
        <v>#N/A</v>
      </c>
      <c r="SUF30" t="e">
        <v>#N/A</v>
      </c>
      <c r="SUG30" t="e">
        <v>#N/A</v>
      </c>
      <c r="SUH30" t="e">
        <v>#N/A</v>
      </c>
      <c r="SUI30" t="e">
        <v>#N/A</v>
      </c>
      <c r="SUJ30" t="e">
        <v>#N/A</v>
      </c>
      <c r="SUK30" t="e">
        <v>#N/A</v>
      </c>
      <c r="SUL30" t="e">
        <v>#N/A</v>
      </c>
      <c r="SUM30" t="e">
        <v>#N/A</v>
      </c>
      <c r="SUN30" t="e">
        <v>#N/A</v>
      </c>
      <c r="SUO30" t="e">
        <v>#N/A</v>
      </c>
      <c r="SUP30" t="e">
        <v>#N/A</v>
      </c>
      <c r="SUQ30" t="e">
        <v>#N/A</v>
      </c>
      <c r="SUR30" t="e">
        <v>#N/A</v>
      </c>
      <c r="SUS30" t="e">
        <v>#N/A</v>
      </c>
      <c r="SUT30" t="e">
        <v>#N/A</v>
      </c>
      <c r="SUU30" t="e">
        <v>#N/A</v>
      </c>
      <c r="SUV30" t="e">
        <v>#N/A</v>
      </c>
      <c r="SUW30" t="e">
        <v>#N/A</v>
      </c>
      <c r="SUX30" t="e">
        <v>#N/A</v>
      </c>
      <c r="SUY30" t="e">
        <v>#N/A</v>
      </c>
      <c r="SUZ30" t="e">
        <v>#N/A</v>
      </c>
      <c r="SVA30" t="e">
        <v>#N/A</v>
      </c>
      <c r="SVB30" t="e">
        <v>#N/A</v>
      </c>
      <c r="SVC30" t="e">
        <v>#N/A</v>
      </c>
      <c r="SVD30" t="e">
        <v>#N/A</v>
      </c>
      <c r="SVE30" t="e">
        <v>#N/A</v>
      </c>
      <c r="SVF30" t="e">
        <v>#N/A</v>
      </c>
      <c r="SVG30" t="e">
        <v>#N/A</v>
      </c>
      <c r="SVH30" t="e">
        <v>#N/A</v>
      </c>
      <c r="SVI30" t="e">
        <v>#N/A</v>
      </c>
      <c r="SVJ30" t="e">
        <v>#N/A</v>
      </c>
      <c r="SVK30" t="e">
        <v>#N/A</v>
      </c>
      <c r="SVL30" t="e">
        <v>#N/A</v>
      </c>
      <c r="SVM30" t="e">
        <v>#N/A</v>
      </c>
      <c r="SVN30" t="e">
        <v>#N/A</v>
      </c>
      <c r="SVO30" t="e">
        <v>#N/A</v>
      </c>
      <c r="SVP30" t="e">
        <v>#N/A</v>
      </c>
      <c r="SVQ30" t="e">
        <v>#N/A</v>
      </c>
      <c r="SVR30" t="e">
        <v>#N/A</v>
      </c>
      <c r="SVS30" t="e">
        <v>#N/A</v>
      </c>
      <c r="SVT30" t="e">
        <v>#N/A</v>
      </c>
      <c r="SVU30" t="e">
        <v>#N/A</v>
      </c>
      <c r="SVV30" t="e">
        <v>#N/A</v>
      </c>
      <c r="SVW30" t="e">
        <v>#N/A</v>
      </c>
      <c r="SVX30" t="e">
        <v>#N/A</v>
      </c>
      <c r="SVY30" t="e">
        <v>#N/A</v>
      </c>
      <c r="SVZ30" t="e">
        <v>#N/A</v>
      </c>
      <c r="SWA30" t="e">
        <v>#N/A</v>
      </c>
      <c r="SWB30" t="e">
        <v>#N/A</v>
      </c>
      <c r="SWC30" t="e">
        <v>#N/A</v>
      </c>
      <c r="SWD30" t="e">
        <v>#N/A</v>
      </c>
      <c r="SWE30" t="e">
        <v>#N/A</v>
      </c>
      <c r="SWF30" t="e">
        <v>#N/A</v>
      </c>
      <c r="SWG30" t="e">
        <v>#N/A</v>
      </c>
      <c r="SWH30" t="e">
        <v>#N/A</v>
      </c>
      <c r="SWI30" t="e">
        <v>#N/A</v>
      </c>
      <c r="SWJ30" t="e">
        <v>#N/A</v>
      </c>
      <c r="SWK30" t="e">
        <v>#N/A</v>
      </c>
      <c r="SWL30" t="e">
        <v>#N/A</v>
      </c>
      <c r="SWM30" t="e">
        <v>#N/A</v>
      </c>
      <c r="SWN30" t="e">
        <v>#N/A</v>
      </c>
      <c r="SWO30" t="e">
        <v>#N/A</v>
      </c>
      <c r="SWP30" t="e">
        <v>#N/A</v>
      </c>
      <c r="SWQ30" t="e">
        <v>#N/A</v>
      </c>
      <c r="SWR30" t="e">
        <v>#N/A</v>
      </c>
      <c r="SWS30" t="e">
        <v>#N/A</v>
      </c>
      <c r="SWT30" t="e">
        <v>#N/A</v>
      </c>
      <c r="SWU30" t="e">
        <v>#N/A</v>
      </c>
      <c r="SWV30" t="e">
        <v>#N/A</v>
      </c>
      <c r="SWW30" t="e">
        <v>#N/A</v>
      </c>
      <c r="SWX30" t="e">
        <v>#N/A</v>
      </c>
      <c r="SWY30" t="e">
        <v>#N/A</v>
      </c>
      <c r="SWZ30" t="e">
        <v>#N/A</v>
      </c>
      <c r="SXA30" t="e">
        <v>#N/A</v>
      </c>
      <c r="SXB30" t="e">
        <v>#N/A</v>
      </c>
      <c r="SXC30" t="e">
        <v>#N/A</v>
      </c>
      <c r="SXD30" t="e">
        <v>#N/A</v>
      </c>
      <c r="SXE30" t="e">
        <v>#N/A</v>
      </c>
      <c r="SXF30" t="e">
        <v>#N/A</v>
      </c>
      <c r="SXG30" t="e">
        <v>#N/A</v>
      </c>
      <c r="SXH30" t="e">
        <v>#N/A</v>
      </c>
      <c r="SXI30" t="e">
        <v>#N/A</v>
      </c>
      <c r="SXJ30" t="e">
        <v>#N/A</v>
      </c>
      <c r="SXK30" t="e">
        <v>#N/A</v>
      </c>
      <c r="SXL30" t="e">
        <v>#N/A</v>
      </c>
      <c r="SXM30" t="e">
        <v>#N/A</v>
      </c>
      <c r="SXN30" t="e">
        <v>#N/A</v>
      </c>
      <c r="SXO30" t="e">
        <v>#N/A</v>
      </c>
      <c r="SXP30" t="e">
        <v>#N/A</v>
      </c>
      <c r="SXQ30" t="e">
        <v>#N/A</v>
      </c>
      <c r="SXR30" t="e">
        <v>#N/A</v>
      </c>
      <c r="SXS30" t="e">
        <v>#N/A</v>
      </c>
      <c r="SXT30" t="e">
        <v>#N/A</v>
      </c>
      <c r="SXU30" t="e">
        <v>#N/A</v>
      </c>
      <c r="SXV30" t="e">
        <v>#N/A</v>
      </c>
      <c r="SXW30" t="e">
        <v>#N/A</v>
      </c>
      <c r="SXX30" t="e">
        <v>#N/A</v>
      </c>
      <c r="SXY30" t="e">
        <v>#N/A</v>
      </c>
      <c r="SXZ30" t="e">
        <v>#N/A</v>
      </c>
      <c r="SYA30" t="e">
        <v>#N/A</v>
      </c>
      <c r="SYB30" t="e">
        <v>#N/A</v>
      </c>
      <c r="SYC30" t="e">
        <v>#N/A</v>
      </c>
      <c r="SYD30" t="e">
        <v>#N/A</v>
      </c>
      <c r="SYE30" t="e">
        <v>#N/A</v>
      </c>
      <c r="SYF30" t="e">
        <v>#N/A</v>
      </c>
      <c r="SYG30" t="e">
        <v>#N/A</v>
      </c>
      <c r="SYH30" t="e">
        <v>#N/A</v>
      </c>
      <c r="SYI30" t="e">
        <v>#N/A</v>
      </c>
      <c r="SYJ30" t="e">
        <v>#N/A</v>
      </c>
      <c r="SYK30" t="e">
        <v>#N/A</v>
      </c>
      <c r="SYL30" t="e">
        <v>#N/A</v>
      </c>
      <c r="SYM30" t="e">
        <v>#N/A</v>
      </c>
      <c r="SYN30" t="e">
        <v>#N/A</v>
      </c>
      <c r="SYO30" t="e">
        <v>#N/A</v>
      </c>
      <c r="SYP30" t="e">
        <v>#N/A</v>
      </c>
      <c r="SYQ30" t="e">
        <v>#N/A</v>
      </c>
      <c r="SYR30" t="e">
        <v>#N/A</v>
      </c>
      <c r="SYS30" t="e">
        <v>#N/A</v>
      </c>
      <c r="SYT30" t="e">
        <v>#N/A</v>
      </c>
      <c r="SYU30" t="e">
        <v>#N/A</v>
      </c>
      <c r="SYV30" t="e">
        <v>#N/A</v>
      </c>
      <c r="SYW30" t="e">
        <v>#N/A</v>
      </c>
      <c r="SYX30" t="e">
        <v>#N/A</v>
      </c>
      <c r="SYY30" t="e">
        <v>#N/A</v>
      </c>
      <c r="SYZ30" t="e">
        <v>#N/A</v>
      </c>
      <c r="SZA30" t="e">
        <v>#N/A</v>
      </c>
      <c r="SZB30" t="e">
        <v>#N/A</v>
      </c>
      <c r="SZC30" t="e">
        <v>#N/A</v>
      </c>
      <c r="SZD30" t="e">
        <v>#N/A</v>
      </c>
      <c r="SZE30" t="e">
        <v>#N/A</v>
      </c>
      <c r="SZF30" t="e">
        <v>#N/A</v>
      </c>
      <c r="SZG30" t="e">
        <v>#N/A</v>
      </c>
      <c r="SZH30" t="e">
        <v>#N/A</v>
      </c>
      <c r="SZI30" t="e">
        <v>#N/A</v>
      </c>
      <c r="SZJ30" t="e">
        <v>#N/A</v>
      </c>
      <c r="SZK30" t="e">
        <v>#N/A</v>
      </c>
      <c r="SZL30" t="e">
        <v>#N/A</v>
      </c>
      <c r="SZM30" t="e">
        <v>#N/A</v>
      </c>
      <c r="SZN30" t="e">
        <v>#N/A</v>
      </c>
      <c r="SZO30" t="e">
        <v>#N/A</v>
      </c>
      <c r="SZP30" t="e">
        <v>#N/A</v>
      </c>
      <c r="SZQ30" t="e">
        <v>#N/A</v>
      </c>
      <c r="SZR30" t="e">
        <v>#N/A</v>
      </c>
      <c r="SZS30" t="e">
        <v>#N/A</v>
      </c>
      <c r="SZT30" t="e">
        <v>#N/A</v>
      </c>
      <c r="SZU30" t="e">
        <v>#N/A</v>
      </c>
      <c r="SZV30" t="e">
        <v>#N/A</v>
      </c>
      <c r="SZW30" t="e">
        <v>#N/A</v>
      </c>
      <c r="SZX30" t="e">
        <v>#N/A</v>
      </c>
      <c r="SZY30" t="e">
        <v>#N/A</v>
      </c>
      <c r="SZZ30" t="e">
        <v>#N/A</v>
      </c>
      <c r="TAA30" t="e">
        <v>#N/A</v>
      </c>
      <c r="TAB30" t="e">
        <v>#N/A</v>
      </c>
      <c r="TAC30" t="e">
        <v>#N/A</v>
      </c>
      <c r="TAD30" t="e">
        <v>#N/A</v>
      </c>
      <c r="TAE30" t="e">
        <v>#N/A</v>
      </c>
      <c r="TAF30" t="e">
        <v>#N/A</v>
      </c>
      <c r="TAG30" t="e">
        <v>#N/A</v>
      </c>
      <c r="TAH30" t="e">
        <v>#N/A</v>
      </c>
      <c r="TAI30" t="e">
        <v>#N/A</v>
      </c>
      <c r="TAJ30" t="e">
        <v>#N/A</v>
      </c>
      <c r="TAK30" t="e">
        <v>#N/A</v>
      </c>
      <c r="TAL30" t="e">
        <v>#N/A</v>
      </c>
      <c r="TAM30" t="e">
        <v>#N/A</v>
      </c>
      <c r="TAN30" t="e">
        <v>#N/A</v>
      </c>
      <c r="TAO30" t="e">
        <v>#N/A</v>
      </c>
      <c r="TAP30" t="e">
        <v>#N/A</v>
      </c>
      <c r="TAQ30" t="e">
        <v>#N/A</v>
      </c>
      <c r="TAR30" t="e">
        <v>#N/A</v>
      </c>
      <c r="TAS30" t="e">
        <v>#N/A</v>
      </c>
      <c r="TAT30" t="e">
        <v>#N/A</v>
      </c>
      <c r="TAU30" t="e">
        <v>#N/A</v>
      </c>
      <c r="TAV30" t="e">
        <v>#N/A</v>
      </c>
      <c r="TAW30" t="e">
        <v>#N/A</v>
      </c>
      <c r="TAX30" t="e">
        <v>#N/A</v>
      </c>
      <c r="TAY30" t="e">
        <v>#N/A</v>
      </c>
      <c r="TAZ30" t="e">
        <v>#N/A</v>
      </c>
      <c r="TBA30" t="e">
        <v>#N/A</v>
      </c>
      <c r="TBB30" t="e">
        <v>#N/A</v>
      </c>
      <c r="TBC30" t="e">
        <v>#N/A</v>
      </c>
      <c r="TBD30" t="e">
        <v>#N/A</v>
      </c>
      <c r="TBE30" t="e">
        <v>#N/A</v>
      </c>
      <c r="TBF30" t="e">
        <v>#N/A</v>
      </c>
      <c r="TBG30" t="e">
        <v>#N/A</v>
      </c>
      <c r="TBH30" t="e">
        <v>#N/A</v>
      </c>
      <c r="TBI30" t="e">
        <v>#N/A</v>
      </c>
      <c r="TBJ30" t="e">
        <v>#N/A</v>
      </c>
      <c r="TBK30" t="e">
        <v>#N/A</v>
      </c>
      <c r="TBL30" t="e">
        <v>#N/A</v>
      </c>
      <c r="TBM30" t="e">
        <v>#N/A</v>
      </c>
      <c r="TBN30" t="e">
        <v>#N/A</v>
      </c>
      <c r="TBO30" t="e">
        <v>#N/A</v>
      </c>
      <c r="TBP30" t="e">
        <v>#N/A</v>
      </c>
      <c r="TBQ30" t="e">
        <v>#N/A</v>
      </c>
      <c r="TBR30" t="e">
        <v>#N/A</v>
      </c>
      <c r="TBS30" t="e">
        <v>#N/A</v>
      </c>
      <c r="TBT30" t="e">
        <v>#N/A</v>
      </c>
      <c r="TBU30" t="e">
        <v>#N/A</v>
      </c>
      <c r="TBV30" t="e">
        <v>#N/A</v>
      </c>
      <c r="TBW30" t="e">
        <v>#N/A</v>
      </c>
      <c r="TBX30" t="e">
        <v>#N/A</v>
      </c>
      <c r="TBY30" t="e">
        <v>#N/A</v>
      </c>
      <c r="TBZ30" t="e">
        <v>#N/A</v>
      </c>
      <c r="TCA30" t="e">
        <v>#N/A</v>
      </c>
      <c r="TCB30" t="e">
        <v>#N/A</v>
      </c>
      <c r="TCC30" t="e">
        <v>#N/A</v>
      </c>
      <c r="TCD30" t="e">
        <v>#N/A</v>
      </c>
      <c r="TCE30" t="e">
        <v>#N/A</v>
      </c>
      <c r="TCF30" t="e">
        <v>#N/A</v>
      </c>
      <c r="TCG30" t="e">
        <v>#N/A</v>
      </c>
      <c r="TCH30" t="e">
        <v>#N/A</v>
      </c>
      <c r="TCI30" t="e">
        <v>#N/A</v>
      </c>
      <c r="TCJ30" t="e">
        <v>#N/A</v>
      </c>
      <c r="TCK30" t="e">
        <v>#N/A</v>
      </c>
      <c r="TCL30" t="e">
        <v>#N/A</v>
      </c>
      <c r="TCM30" t="e">
        <v>#N/A</v>
      </c>
      <c r="TCN30" t="e">
        <v>#N/A</v>
      </c>
      <c r="TCO30" t="e">
        <v>#N/A</v>
      </c>
      <c r="TCP30" t="e">
        <v>#N/A</v>
      </c>
      <c r="TCQ30" t="e">
        <v>#N/A</v>
      </c>
      <c r="TCR30" t="e">
        <v>#N/A</v>
      </c>
      <c r="TCS30" t="e">
        <v>#N/A</v>
      </c>
      <c r="TCT30" t="e">
        <v>#N/A</v>
      </c>
      <c r="TCU30" t="e">
        <v>#N/A</v>
      </c>
      <c r="TCV30" t="e">
        <v>#N/A</v>
      </c>
      <c r="TCW30" t="e">
        <v>#N/A</v>
      </c>
      <c r="TCX30" t="e">
        <v>#N/A</v>
      </c>
      <c r="TCY30" t="e">
        <v>#N/A</v>
      </c>
      <c r="TCZ30" t="e">
        <v>#N/A</v>
      </c>
      <c r="TDA30" t="e">
        <v>#N/A</v>
      </c>
      <c r="TDB30" t="e">
        <v>#N/A</v>
      </c>
      <c r="TDC30" t="e">
        <v>#N/A</v>
      </c>
      <c r="TDD30" t="e">
        <v>#N/A</v>
      </c>
      <c r="TDE30" t="e">
        <v>#N/A</v>
      </c>
      <c r="TDF30" t="e">
        <v>#N/A</v>
      </c>
      <c r="TDG30" t="e">
        <v>#N/A</v>
      </c>
      <c r="TDH30" t="e">
        <v>#N/A</v>
      </c>
      <c r="TDI30" t="e">
        <v>#N/A</v>
      </c>
      <c r="TDJ30" t="e">
        <v>#N/A</v>
      </c>
      <c r="TDK30" t="e">
        <v>#N/A</v>
      </c>
      <c r="TDL30" t="e">
        <v>#N/A</v>
      </c>
      <c r="TDM30" t="e">
        <v>#N/A</v>
      </c>
      <c r="TDN30" t="e">
        <v>#N/A</v>
      </c>
      <c r="TDO30" t="e">
        <v>#N/A</v>
      </c>
      <c r="TDP30" t="e">
        <v>#N/A</v>
      </c>
      <c r="TDQ30" t="e">
        <v>#N/A</v>
      </c>
      <c r="TDR30" t="e">
        <v>#N/A</v>
      </c>
      <c r="TDS30" t="e">
        <v>#N/A</v>
      </c>
      <c r="TDT30" t="e">
        <v>#N/A</v>
      </c>
      <c r="TDU30" t="e">
        <v>#N/A</v>
      </c>
      <c r="TDV30" t="e">
        <v>#N/A</v>
      </c>
      <c r="TDW30" t="e">
        <v>#N/A</v>
      </c>
      <c r="TDX30" t="e">
        <v>#N/A</v>
      </c>
      <c r="TDY30" t="e">
        <v>#N/A</v>
      </c>
      <c r="TDZ30" t="e">
        <v>#N/A</v>
      </c>
      <c r="TEA30" t="e">
        <v>#N/A</v>
      </c>
      <c r="TEB30" t="e">
        <v>#N/A</v>
      </c>
      <c r="TEC30" t="e">
        <v>#N/A</v>
      </c>
      <c r="TED30" t="e">
        <v>#N/A</v>
      </c>
      <c r="TEE30" t="e">
        <v>#N/A</v>
      </c>
      <c r="TEF30" t="e">
        <v>#N/A</v>
      </c>
      <c r="TEG30" t="e">
        <v>#N/A</v>
      </c>
      <c r="TEH30" t="e">
        <v>#N/A</v>
      </c>
      <c r="TEI30" t="e">
        <v>#N/A</v>
      </c>
      <c r="TEJ30" t="e">
        <v>#N/A</v>
      </c>
      <c r="TEK30" t="e">
        <v>#N/A</v>
      </c>
      <c r="TEL30" t="e">
        <v>#N/A</v>
      </c>
      <c r="TEM30" t="e">
        <v>#N/A</v>
      </c>
      <c r="TEN30" t="e">
        <v>#N/A</v>
      </c>
      <c r="TEO30" t="e">
        <v>#N/A</v>
      </c>
      <c r="TEP30" t="e">
        <v>#N/A</v>
      </c>
      <c r="TEQ30" t="e">
        <v>#N/A</v>
      </c>
      <c r="TER30" t="e">
        <v>#N/A</v>
      </c>
      <c r="TES30" t="e">
        <v>#N/A</v>
      </c>
      <c r="TET30" t="e">
        <v>#N/A</v>
      </c>
      <c r="TEU30" t="e">
        <v>#N/A</v>
      </c>
      <c r="TEV30" t="e">
        <v>#N/A</v>
      </c>
      <c r="TEW30" t="e">
        <v>#N/A</v>
      </c>
      <c r="TEX30" t="e">
        <v>#N/A</v>
      </c>
      <c r="TEY30" t="e">
        <v>#N/A</v>
      </c>
      <c r="TEZ30" t="e">
        <v>#N/A</v>
      </c>
      <c r="TFA30" t="e">
        <v>#N/A</v>
      </c>
      <c r="TFB30" t="e">
        <v>#N/A</v>
      </c>
      <c r="TFC30" t="e">
        <v>#N/A</v>
      </c>
      <c r="TFD30" t="e">
        <v>#N/A</v>
      </c>
      <c r="TFE30" t="e">
        <v>#N/A</v>
      </c>
      <c r="TFF30" t="e">
        <v>#N/A</v>
      </c>
      <c r="TFG30" t="e">
        <v>#N/A</v>
      </c>
      <c r="TFH30" t="e">
        <v>#N/A</v>
      </c>
      <c r="TFI30" t="e">
        <v>#N/A</v>
      </c>
      <c r="TFJ30" t="e">
        <v>#N/A</v>
      </c>
      <c r="TFK30" t="e">
        <v>#N/A</v>
      </c>
      <c r="TFL30" t="e">
        <v>#N/A</v>
      </c>
      <c r="TFM30" t="e">
        <v>#N/A</v>
      </c>
      <c r="TFN30" t="e">
        <v>#N/A</v>
      </c>
      <c r="TFO30" t="e">
        <v>#N/A</v>
      </c>
      <c r="TFP30" t="e">
        <v>#N/A</v>
      </c>
      <c r="TFQ30" t="e">
        <v>#N/A</v>
      </c>
      <c r="TFR30" t="e">
        <v>#N/A</v>
      </c>
      <c r="TFS30" t="e">
        <v>#N/A</v>
      </c>
      <c r="TFT30" t="e">
        <v>#N/A</v>
      </c>
      <c r="TFU30" t="e">
        <v>#N/A</v>
      </c>
      <c r="TFV30" t="e">
        <v>#N/A</v>
      </c>
      <c r="TFW30" t="e">
        <v>#N/A</v>
      </c>
      <c r="TFX30" t="e">
        <v>#N/A</v>
      </c>
      <c r="TFY30" t="e">
        <v>#N/A</v>
      </c>
      <c r="TFZ30" t="e">
        <v>#N/A</v>
      </c>
      <c r="TGA30" t="e">
        <v>#N/A</v>
      </c>
      <c r="TGB30" t="e">
        <v>#N/A</v>
      </c>
      <c r="TGC30" t="e">
        <v>#N/A</v>
      </c>
      <c r="TGD30" t="e">
        <v>#N/A</v>
      </c>
      <c r="TGE30" t="e">
        <v>#N/A</v>
      </c>
      <c r="TGF30" t="e">
        <v>#N/A</v>
      </c>
      <c r="TGG30" t="e">
        <v>#N/A</v>
      </c>
      <c r="TGH30" t="e">
        <v>#N/A</v>
      </c>
      <c r="TGI30" t="e">
        <v>#N/A</v>
      </c>
      <c r="TGJ30" t="e">
        <v>#N/A</v>
      </c>
      <c r="TGK30" t="e">
        <v>#N/A</v>
      </c>
      <c r="TGL30" t="e">
        <v>#N/A</v>
      </c>
      <c r="TGM30" t="e">
        <v>#N/A</v>
      </c>
      <c r="TGN30" t="e">
        <v>#N/A</v>
      </c>
      <c r="TGO30" t="e">
        <v>#N/A</v>
      </c>
      <c r="TGP30" t="e">
        <v>#N/A</v>
      </c>
      <c r="TGQ30" t="e">
        <v>#N/A</v>
      </c>
      <c r="TGR30" t="e">
        <v>#N/A</v>
      </c>
      <c r="TGS30" t="e">
        <v>#N/A</v>
      </c>
      <c r="TGT30" t="e">
        <v>#N/A</v>
      </c>
      <c r="TGU30" t="e">
        <v>#N/A</v>
      </c>
      <c r="TGV30" t="e">
        <v>#N/A</v>
      </c>
      <c r="TGW30" t="e">
        <v>#N/A</v>
      </c>
      <c r="TGX30" t="e">
        <v>#N/A</v>
      </c>
      <c r="TGY30" t="e">
        <v>#N/A</v>
      </c>
      <c r="TGZ30" t="e">
        <v>#N/A</v>
      </c>
      <c r="THA30" t="e">
        <v>#N/A</v>
      </c>
      <c r="THB30" t="e">
        <v>#N/A</v>
      </c>
      <c r="THC30" t="e">
        <v>#N/A</v>
      </c>
      <c r="THD30" t="e">
        <v>#N/A</v>
      </c>
      <c r="THE30" t="e">
        <v>#N/A</v>
      </c>
      <c r="THF30" t="e">
        <v>#N/A</v>
      </c>
      <c r="THG30" t="e">
        <v>#N/A</v>
      </c>
      <c r="THH30" t="e">
        <v>#N/A</v>
      </c>
      <c r="THI30" t="e">
        <v>#N/A</v>
      </c>
      <c r="THJ30" t="e">
        <v>#N/A</v>
      </c>
      <c r="THK30" t="e">
        <v>#N/A</v>
      </c>
      <c r="THL30" t="e">
        <v>#N/A</v>
      </c>
      <c r="THM30" t="e">
        <v>#N/A</v>
      </c>
      <c r="THN30" t="e">
        <v>#N/A</v>
      </c>
      <c r="THO30" t="e">
        <v>#N/A</v>
      </c>
      <c r="THP30" t="e">
        <v>#N/A</v>
      </c>
      <c r="THQ30" t="e">
        <v>#N/A</v>
      </c>
      <c r="THR30" t="e">
        <v>#N/A</v>
      </c>
      <c r="THS30" t="e">
        <v>#N/A</v>
      </c>
      <c r="THT30" t="e">
        <v>#N/A</v>
      </c>
      <c r="THU30" t="e">
        <v>#N/A</v>
      </c>
      <c r="THV30" t="e">
        <v>#N/A</v>
      </c>
      <c r="THW30" t="e">
        <v>#N/A</v>
      </c>
      <c r="THX30" t="e">
        <v>#N/A</v>
      </c>
      <c r="THY30" t="e">
        <v>#N/A</v>
      </c>
      <c r="THZ30" t="e">
        <v>#N/A</v>
      </c>
      <c r="TIA30" t="e">
        <v>#N/A</v>
      </c>
      <c r="TIB30" t="e">
        <v>#N/A</v>
      </c>
      <c r="TIC30" t="e">
        <v>#N/A</v>
      </c>
      <c r="TID30" t="e">
        <v>#N/A</v>
      </c>
      <c r="TIE30" t="e">
        <v>#N/A</v>
      </c>
      <c r="TIF30" t="e">
        <v>#N/A</v>
      </c>
      <c r="TIG30" t="e">
        <v>#N/A</v>
      </c>
      <c r="TIH30" t="e">
        <v>#N/A</v>
      </c>
      <c r="TII30" t="e">
        <v>#N/A</v>
      </c>
      <c r="TIJ30" t="e">
        <v>#N/A</v>
      </c>
      <c r="TIK30" t="e">
        <v>#N/A</v>
      </c>
      <c r="TIL30" t="e">
        <v>#N/A</v>
      </c>
      <c r="TIM30" t="e">
        <v>#N/A</v>
      </c>
      <c r="TIN30" t="e">
        <v>#N/A</v>
      </c>
      <c r="TIO30" t="e">
        <v>#N/A</v>
      </c>
      <c r="TIP30" t="e">
        <v>#N/A</v>
      </c>
      <c r="TIQ30" t="e">
        <v>#N/A</v>
      </c>
      <c r="TIR30" t="e">
        <v>#N/A</v>
      </c>
      <c r="TIS30" t="e">
        <v>#N/A</v>
      </c>
      <c r="TIT30" t="e">
        <v>#N/A</v>
      </c>
      <c r="TIU30" t="e">
        <v>#N/A</v>
      </c>
      <c r="TIV30" t="e">
        <v>#N/A</v>
      </c>
      <c r="TIW30" t="e">
        <v>#N/A</v>
      </c>
      <c r="TIX30" t="e">
        <v>#N/A</v>
      </c>
      <c r="TIY30" t="e">
        <v>#N/A</v>
      </c>
      <c r="TIZ30" t="e">
        <v>#N/A</v>
      </c>
      <c r="TJA30" t="e">
        <v>#N/A</v>
      </c>
      <c r="TJB30" t="e">
        <v>#N/A</v>
      </c>
      <c r="TJC30" t="e">
        <v>#N/A</v>
      </c>
      <c r="TJD30" t="e">
        <v>#N/A</v>
      </c>
      <c r="TJE30" t="e">
        <v>#N/A</v>
      </c>
      <c r="TJF30" t="e">
        <v>#N/A</v>
      </c>
      <c r="TJG30" t="e">
        <v>#N/A</v>
      </c>
      <c r="TJH30" t="e">
        <v>#N/A</v>
      </c>
      <c r="TJI30" t="e">
        <v>#N/A</v>
      </c>
      <c r="TJJ30" t="e">
        <v>#N/A</v>
      </c>
      <c r="TJK30" t="e">
        <v>#N/A</v>
      </c>
      <c r="TJL30" t="e">
        <v>#N/A</v>
      </c>
      <c r="TJM30" t="e">
        <v>#N/A</v>
      </c>
      <c r="TJN30" t="e">
        <v>#N/A</v>
      </c>
      <c r="TJO30" t="e">
        <v>#N/A</v>
      </c>
      <c r="TJP30" t="e">
        <v>#N/A</v>
      </c>
      <c r="TJQ30" t="e">
        <v>#N/A</v>
      </c>
      <c r="TJR30" t="e">
        <v>#N/A</v>
      </c>
      <c r="TJS30" t="e">
        <v>#N/A</v>
      </c>
      <c r="TJT30" t="e">
        <v>#N/A</v>
      </c>
      <c r="TJU30" t="e">
        <v>#N/A</v>
      </c>
      <c r="TJV30" t="e">
        <v>#N/A</v>
      </c>
      <c r="TJW30" t="e">
        <v>#N/A</v>
      </c>
      <c r="TJX30" t="e">
        <v>#N/A</v>
      </c>
      <c r="TJY30" t="e">
        <v>#N/A</v>
      </c>
      <c r="TJZ30" t="e">
        <v>#N/A</v>
      </c>
      <c r="TKA30" t="e">
        <v>#N/A</v>
      </c>
      <c r="TKB30" t="e">
        <v>#N/A</v>
      </c>
      <c r="TKC30" t="e">
        <v>#N/A</v>
      </c>
      <c r="TKD30" t="e">
        <v>#N/A</v>
      </c>
      <c r="TKE30" t="e">
        <v>#N/A</v>
      </c>
      <c r="TKF30" t="e">
        <v>#N/A</v>
      </c>
      <c r="TKG30" t="e">
        <v>#N/A</v>
      </c>
      <c r="TKH30" t="e">
        <v>#N/A</v>
      </c>
      <c r="TKI30" t="e">
        <v>#N/A</v>
      </c>
      <c r="TKJ30" t="e">
        <v>#N/A</v>
      </c>
      <c r="TKK30" t="e">
        <v>#N/A</v>
      </c>
      <c r="TKL30" t="e">
        <v>#N/A</v>
      </c>
      <c r="TKM30" t="e">
        <v>#N/A</v>
      </c>
      <c r="TKN30" t="e">
        <v>#N/A</v>
      </c>
      <c r="TKO30" t="e">
        <v>#N/A</v>
      </c>
      <c r="TKP30" t="e">
        <v>#N/A</v>
      </c>
      <c r="TKQ30" t="e">
        <v>#N/A</v>
      </c>
      <c r="TKR30" t="e">
        <v>#N/A</v>
      </c>
      <c r="TKS30" t="e">
        <v>#N/A</v>
      </c>
      <c r="TKT30" t="e">
        <v>#N/A</v>
      </c>
      <c r="TKU30" t="e">
        <v>#N/A</v>
      </c>
      <c r="TKV30" t="e">
        <v>#N/A</v>
      </c>
      <c r="TKW30" t="e">
        <v>#N/A</v>
      </c>
      <c r="TKX30" t="e">
        <v>#N/A</v>
      </c>
      <c r="TKY30" t="e">
        <v>#N/A</v>
      </c>
      <c r="TKZ30" t="e">
        <v>#N/A</v>
      </c>
      <c r="TLA30" t="e">
        <v>#N/A</v>
      </c>
      <c r="TLB30" t="e">
        <v>#N/A</v>
      </c>
      <c r="TLC30" t="e">
        <v>#N/A</v>
      </c>
      <c r="TLD30" t="e">
        <v>#N/A</v>
      </c>
      <c r="TLE30" t="e">
        <v>#N/A</v>
      </c>
      <c r="TLF30" t="e">
        <v>#N/A</v>
      </c>
      <c r="TLG30" t="e">
        <v>#N/A</v>
      </c>
      <c r="TLH30" t="e">
        <v>#N/A</v>
      </c>
      <c r="TLI30" t="e">
        <v>#N/A</v>
      </c>
      <c r="TLJ30" t="e">
        <v>#N/A</v>
      </c>
      <c r="TLK30" t="e">
        <v>#N/A</v>
      </c>
      <c r="TLL30" t="e">
        <v>#N/A</v>
      </c>
      <c r="TLM30" t="e">
        <v>#N/A</v>
      </c>
      <c r="TLN30" t="e">
        <v>#N/A</v>
      </c>
      <c r="TLO30" t="e">
        <v>#N/A</v>
      </c>
      <c r="TLP30" t="e">
        <v>#N/A</v>
      </c>
      <c r="TLQ30" t="e">
        <v>#N/A</v>
      </c>
      <c r="TLR30" t="e">
        <v>#N/A</v>
      </c>
      <c r="TLS30" t="e">
        <v>#N/A</v>
      </c>
      <c r="TLT30" t="e">
        <v>#N/A</v>
      </c>
      <c r="TLU30" t="e">
        <v>#N/A</v>
      </c>
      <c r="TLV30" t="e">
        <v>#N/A</v>
      </c>
      <c r="TLW30" t="e">
        <v>#N/A</v>
      </c>
      <c r="TLX30" t="e">
        <v>#N/A</v>
      </c>
      <c r="TLY30" t="e">
        <v>#N/A</v>
      </c>
      <c r="TLZ30" t="e">
        <v>#N/A</v>
      </c>
      <c r="TMA30" t="e">
        <v>#N/A</v>
      </c>
      <c r="TMB30" t="e">
        <v>#N/A</v>
      </c>
      <c r="TMC30" t="e">
        <v>#N/A</v>
      </c>
      <c r="TMD30" t="e">
        <v>#N/A</v>
      </c>
      <c r="TME30" t="e">
        <v>#N/A</v>
      </c>
      <c r="TMF30" t="e">
        <v>#N/A</v>
      </c>
      <c r="TMG30" t="e">
        <v>#N/A</v>
      </c>
      <c r="TMH30" t="e">
        <v>#N/A</v>
      </c>
      <c r="TMI30" t="e">
        <v>#N/A</v>
      </c>
      <c r="TMJ30" t="e">
        <v>#N/A</v>
      </c>
      <c r="TMK30" t="e">
        <v>#N/A</v>
      </c>
      <c r="TML30" t="e">
        <v>#N/A</v>
      </c>
      <c r="TMM30" t="e">
        <v>#N/A</v>
      </c>
      <c r="TMN30" t="e">
        <v>#N/A</v>
      </c>
      <c r="TMO30" t="e">
        <v>#N/A</v>
      </c>
      <c r="TMP30" t="e">
        <v>#N/A</v>
      </c>
      <c r="TMQ30" t="e">
        <v>#N/A</v>
      </c>
      <c r="TMR30" t="e">
        <v>#N/A</v>
      </c>
      <c r="TMS30" t="e">
        <v>#N/A</v>
      </c>
      <c r="TMT30" t="e">
        <v>#N/A</v>
      </c>
      <c r="TMU30" t="e">
        <v>#N/A</v>
      </c>
      <c r="TMV30" t="e">
        <v>#N/A</v>
      </c>
      <c r="TMW30" t="e">
        <v>#N/A</v>
      </c>
      <c r="TMX30" t="e">
        <v>#N/A</v>
      </c>
      <c r="TMY30" t="e">
        <v>#N/A</v>
      </c>
      <c r="TMZ30" t="e">
        <v>#N/A</v>
      </c>
      <c r="TNA30" t="e">
        <v>#N/A</v>
      </c>
      <c r="TNB30" t="e">
        <v>#N/A</v>
      </c>
      <c r="TNC30" t="e">
        <v>#N/A</v>
      </c>
      <c r="TND30" t="e">
        <v>#N/A</v>
      </c>
      <c r="TNE30" t="e">
        <v>#N/A</v>
      </c>
      <c r="TNF30" t="e">
        <v>#N/A</v>
      </c>
      <c r="TNG30" t="e">
        <v>#N/A</v>
      </c>
      <c r="TNH30" t="e">
        <v>#N/A</v>
      </c>
      <c r="TNI30" t="e">
        <v>#N/A</v>
      </c>
      <c r="TNJ30" t="e">
        <v>#N/A</v>
      </c>
      <c r="TNK30" t="e">
        <v>#N/A</v>
      </c>
      <c r="TNL30" t="e">
        <v>#N/A</v>
      </c>
      <c r="TNM30" t="e">
        <v>#N/A</v>
      </c>
      <c r="TNN30" t="e">
        <v>#N/A</v>
      </c>
      <c r="TNO30" t="e">
        <v>#N/A</v>
      </c>
      <c r="TNP30" t="e">
        <v>#N/A</v>
      </c>
      <c r="TNQ30" t="e">
        <v>#N/A</v>
      </c>
      <c r="TNR30" t="e">
        <v>#N/A</v>
      </c>
      <c r="TNS30" t="e">
        <v>#N/A</v>
      </c>
      <c r="TNT30" t="e">
        <v>#N/A</v>
      </c>
      <c r="TNU30" t="e">
        <v>#N/A</v>
      </c>
      <c r="TNV30" t="e">
        <v>#N/A</v>
      </c>
      <c r="TNW30" t="e">
        <v>#N/A</v>
      </c>
      <c r="TNX30" t="e">
        <v>#N/A</v>
      </c>
      <c r="TNY30" t="e">
        <v>#N/A</v>
      </c>
      <c r="TNZ30" t="e">
        <v>#N/A</v>
      </c>
      <c r="TOA30" t="e">
        <v>#N/A</v>
      </c>
      <c r="TOB30" t="e">
        <v>#N/A</v>
      </c>
      <c r="TOC30" t="e">
        <v>#N/A</v>
      </c>
      <c r="TOD30" t="e">
        <v>#N/A</v>
      </c>
      <c r="TOE30" t="e">
        <v>#N/A</v>
      </c>
      <c r="TOF30" t="e">
        <v>#N/A</v>
      </c>
      <c r="TOG30" t="e">
        <v>#N/A</v>
      </c>
      <c r="TOH30" t="e">
        <v>#N/A</v>
      </c>
      <c r="TOI30" t="e">
        <v>#N/A</v>
      </c>
      <c r="TOJ30" t="e">
        <v>#N/A</v>
      </c>
      <c r="TOK30" t="e">
        <v>#N/A</v>
      </c>
      <c r="TOL30" t="e">
        <v>#N/A</v>
      </c>
      <c r="TOM30" t="e">
        <v>#N/A</v>
      </c>
      <c r="TON30" t="e">
        <v>#N/A</v>
      </c>
      <c r="TOO30" t="e">
        <v>#N/A</v>
      </c>
      <c r="TOP30" t="e">
        <v>#N/A</v>
      </c>
      <c r="TOQ30" t="e">
        <v>#N/A</v>
      </c>
      <c r="TOR30" t="e">
        <v>#N/A</v>
      </c>
      <c r="TOS30" t="e">
        <v>#N/A</v>
      </c>
      <c r="TOT30" t="e">
        <v>#N/A</v>
      </c>
      <c r="TOU30" t="e">
        <v>#N/A</v>
      </c>
      <c r="TOV30" t="e">
        <v>#N/A</v>
      </c>
      <c r="TOW30" t="e">
        <v>#N/A</v>
      </c>
      <c r="TOX30" t="e">
        <v>#N/A</v>
      </c>
      <c r="TOY30" t="e">
        <v>#N/A</v>
      </c>
      <c r="TOZ30" t="e">
        <v>#N/A</v>
      </c>
      <c r="TPA30" t="e">
        <v>#N/A</v>
      </c>
      <c r="TPB30" t="e">
        <v>#N/A</v>
      </c>
      <c r="TPC30" t="e">
        <v>#N/A</v>
      </c>
      <c r="TPD30" t="e">
        <v>#N/A</v>
      </c>
      <c r="TPE30" t="e">
        <v>#N/A</v>
      </c>
      <c r="TPF30" t="e">
        <v>#N/A</v>
      </c>
      <c r="TPG30" t="e">
        <v>#N/A</v>
      </c>
      <c r="TPH30" t="e">
        <v>#N/A</v>
      </c>
      <c r="TPI30" t="e">
        <v>#N/A</v>
      </c>
      <c r="TPJ30" t="e">
        <v>#N/A</v>
      </c>
      <c r="TPK30" t="e">
        <v>#N/A</v>
      </c>
      <c r="TPL30" t="e">
        <v>#N/A</v>
      </c>
      <c r="TPM30" t="e">
        <v>#N/A</v>
      </c>
      <c r="TPN30" t="e">
        <v>#N/A</v>
      </c>
      <c r="TPO30" t="e">
        <v>#N/A</v>
      </c>
      <c r="TPP30" t="e">
        <v>#N/A</v>
      </c>
      <c r="TPQ30" t="e">
        <v>#N/A</v>
      </c>
      <c r="TPR30" t="e">
        <v>#N/A</v>
      </c>
      <c r="TPS30" t="e">
        <v>#N/A</v>
      </c>
      <c r="TPT30" t="e">
        <v>#N/A</v>
      </c>
      <c r="TPU30" t="e">
        <v>#N/A</v>
      </c>
      <c r="TPV30" t="e">
        <v>#N/A</v>
      </c>
      <c r="TPW30" t="e">
        <v>#N/A</v>
      </c>
      <c r="TPX30" t="e">
        <v>#N/A</v>
      </c>
      <c r="TPY30" t="e">
        <v>#N/A</v>
      </c>
      <c r="TPZ30" t="e">
        <v>#N/A</v>
      </c>
      <c r="TQA30" t="e">
        <v>#N/A</v>
      </c>
      <c r="TQB30" t="e">
        <v>#N/A</v>
      </c>
      <c r="TQC30" t="e">
        <v>#N/A</v>
      </c>
      <c r="TQD30" t="e">
        <v>#N/A</v>
      </c>
      <c r="TQE30" t="e">
        <v>#N/A</v>
      </c>
      <c r="TQF30" t="e">
        <v>#N/A</v>
      </c>
      <c r="TQG30" t="e">
        <v>#N/A</v>
      </c>
      <c r="TQH30" t="e">
        <v>#N/A</v>
      </c>
      <c r="TQI30" t="e">
        <v>#N/A</v>
      </c>
      <c r="TQJ30" t="e">
        <v>#N/A</v>
      </c>
      <c r="TQK30" t="e">
        <v>#N/A</v>
      </c>
      <c r="TQL30" t="e">
        <v>#N/A</v>
      </c>
      <c r="TQM30" t="e">
        <v>#N/A</v>
      </c>
      <c r="TQN30" t="e">
        <v>#N/A</v>
      </c>
      <c r="TQO30" t="e">
        <v>#N/A</v>
      </c>
      <c r="TQP30" t="e">
        <v>#N/A</v>
      </c>
      <c r="TQQ30" t="e">
        <v>#N/A</v>
      </c>
      <c r="TQR30" t="e">
        <v>#N/A</v>
      </c>
      <c r="TQS30" t="e">
        <v>#N/A</v>
      </c>
      <c r="TQT30" t="e">
        <v>#N/A</v>
      </c>
      <c r="TQU30" t="e">
        <v>#N/A</v>
      </c>
      <c r="TQV30" t="e">
        <v>#N/A</v>
      </c>
      <c r="TQW30" t="e">
        <v>#N/A</v>
      </c>
      <c r="TQX30" t="e">
        <v>#N/A</v>
      </c>
      <c r="TQY30" t="e">
        <v>#N/A</v>
      </c>
      <c r="TQZ30" t="e">
        <v>#N/A</v>
      </c>
      <c r="TRA30" t="e">
        <v>#N/A</v>
      </c>
      <c r="TRB30" t="e">
        <v>#N/A</v>
      </c>
      <c r="TRC30" t="e">
        <v>#N/A</v>
      </c>
      <c r="TRD30" t="e">
        <v>#N/A</v>
      </c>
      <c r="TRE30" t="e">
        <v>#N/A</v>
      </c>
      <c r="TRF30" t="e">
        <v>#N/A</v>
      </c>
      <c r="TRG30" t="e">
        <v>#N/A</v>
      </c>
      <c r="TRH30" t="e">
        <v>#N/A</v>
      </c>
      <c r="TRI30" t="e">
        <v>#N/A</v>
      </c>
      <c r="TRJ30" t="e">
        <v>#N/A</v>
      </c>
      <c r="TRK30" t="e">
        <v>#N/A</v>
      </c>
      <c r="TRL30" t="e">
        <v>#N/A</v>
      </c>
      <c r="TRM30" t="e">
        <v>#N/A</v>
      </c>
      <c r="TRN30" t="e">
        <v>#N/A</v>
      </c>
      <c r="TRO30" t="e">
        <v>#N/A</v>
      </c>
      <c r="TRP30" t="e">
        <v>#N/A</v>
      </c>
      <c r="TRQ30" t="e">
        <v>#N/A</v>
      </c>
      <c r="TRR30" t="e">
        <v>#N/A</v>
      </c>
      <c r="TRS30" t="e">
        <v>#N/A</v>
      </c>
      <c r="TRT30" t="e">
        <v>#N/A</v>
      </c>
      <c r="TRU30" t="e">
        <v>#N/A</v>
      </c>
      <c r="TRV30" t="e">
        <v>#N/A</v>
      </c>
      <c r="TRW30" t="e">
        <v>#N/A</v>
      </c>
      <c r="TRX30" t="e">
        <v>#N/A</v>
      </c>
      <c r="TRY30" t="e">
        <v>#N/A</v>
      </c>
      <c r="TRZ30" t="e">
        <v>#N/A</v>
      </c>
      <c r="TSA30" t="e">
        <v>#N/A</v>
      </c>
      <c r="TSB30" t="e">
        <v>#N/A</v>
      </c>
      <c r="TSC30" t="e">
        <v>#N/A</v>
      </c>
      <c r="TSD30" t="e">
        <v>#N/A</v>
      </c>
      <c r="TSE30" t="e">
        <v>#N/A</v>
      </c>
      <c r="TSF30" t="e">
        <v>#N/A</v>
      </c>
      <c r="TSG30" t="e">
        <v>#N/A</v>
      </c>
      <c r="TSH30" t="e">
        <v>#N/A</v>
      </c>
      <c r="TSI30" t="e">
        <v>#N/A</v>
      </c>
      <c r="TSJ30" t="e">
        <v>#N/A</v>
      </c>
      <c r="TSK30" t="e">
        <v>#N/A</v>
      </c>
      <c r="TSL30" t="e">
        <v>#N/A</v>
      </c>
      <c r="TSM30" t="e">
        <v>#N/A</v>
      </c>
      <c r="TSN30" t="e">
        <v>#N/A</v>
      </c>
      <c r="TSO30" t="e">
        <v>#N/A</v>
      </c>
      <c r="TSP30" t="e">
        <v>#N/A</v>
      </c>
      <c r="TSQ30" t="e">
        <v>#N/A</v>
      </c>
      <c r="TSR30" t="e">
        <v>#N/A</v>
      </c>
      <c r="TSS30" t="e">
        <v>#N/A</v>
      </c>
      <c r="TST30" t="e">
        <v>#N/A</v>
      </c>
      <c r="TSU30" t="e">
        <v>#N/A</v>
      </c>
      <c r="TSV30" t="e">
        <v>#N/A</v>
      </c>
      <c r="TSW30" t="e">
        <v>#N/A</v>
      </c>
      <c r="TSX30" t="e">
        <v>#N/A</v>
      </c>
      <c r="TSY30" t="e">
        <v>#N/A</v>
      </c>
      <c r="TSZ30" t="e">
        <v>#N/A</v>
      </c>
      <c r="TTA30" t="e">
        <v>#N/A</v>
      </c>
      <c r="TTB30" t="e">
        <v>#N/A</v>
      </c>
      <c r="TTC30" t="e">
        <v>#N/A</v>
      </c>
      <c r="TTD30" t="e">
        <v>#N/A</v>
      </c>
      <c r="TTE30" t="e">
        <v>#N/A</v>
      </c>
      <c r="TTF30" t="e">
        <v>#N/A</v>
      </c>
      <c r="TTG30" t="e">
        <v>#N/A</v>
      </c>
      <c r="TTH30" t="e">
        <v>#N/A</v>
      </c>
      <c r="TTI30" t="e">
        <v>#N/A</v>
      </c>
      <c r="TTJ30" t="e">
        <v>#N/A</v>
      </c>
      <c r="TTK30" t="e">
        <v>#N/A</v>
      </c>
      <c r="TTL30" t="e">
        <v>#N/A</v>
      </c>
      <c r="TTM30" t="e">
        <v>#N/A</v>
      </c>
      <c r="TTN30" t="e">
        <v>#N/A</v>
      </c>
      <c r="TTO30" t="e">
        <v>#N/A</v>
      </c>
      <c r="TTP30" t="e">
        <v>#N/A</v>
      </c>
      <c r="TTQ30" t="e">
        <v>#N/A</v>
      </c>
      <c r="TTR30" t="e">
        <v>#N/A</v>
      </c>
      <c r="TTS30" t="e">
        <v>#N/A</v>
      </c>
      <c r="TTT30" t="e">
        <v>#N/A</v>
      </c>
      <c r="TTU30" t="e">
        <v>#N/A</v>
      </c>
      <c r="TTV30" t="e">
        <v>#N/A</v>
      </c>
      <c r="TTW30" t="e">
        <v>#N/A</v>
      </c>
      <c r="TTX30" t="e">
        <v>#N/A</v>
      </c>
      <c r="TTY30" t="e">
        <v>#N/A</v>
      </c>
      <c r="TTZ30" t="e">
        <v>#N/A</v>
      </c>
      <c r="TUA30" t="e">
        <v>#N/A</v>
      </c>
      <c r="TUB30" t="e">
        <v>#N/A</v>
      </c>
      <c r="TUC30" t="e">
        <v>#N/A</v>
      </c>
      <c r="TUD30" t="e">
        <v>#N/A</v>
      </c>
      <c r="TUE30" t="e">
        <v>#N/A</v>
      </c>
      <c r="TUF30" t="e">
        <v>#N/A</v>
      </c>
      <c r="TUG30" t="e">
        <v>#N/A</v>
      </c>
      <c r="TUH30" t="e">
        <v>#N/A</v>
      </c>
      <c r="TUI30" t="e">
        <v>#N/A</v>
      </c>
      <c r="TUJ30" t="e">
        <v>#N/A</v>
      </c>
      <c r="TUK30" t="e">
        <v>#N/A</v>
      </c>
      <c r="TUL30" t="e">
        <v>#N/A</v>
      </c>
      <c r="TUM30" t="e">
        <v>#N/A</v>
      </c>
      <c r="TUN30" t="e">
        <v>#N/A</v>
      </c>
      <c r="TUO30" t="e">
        <v>#N/A</v>
      </c>
      <c r="TUP30" t="e">
        <v>#N/A</v>
      </c>
      <c r="TUQ30" t="e">
        <v>#N/A</v>
      </c>
      <c r="TUR30" t="e">
        <v>#N/A</v>
      </c>
      <c r="TUS30" t="e">
        <v>#N/A</v>
      </c>
      <c r="TUT30" t="e">
        <v>#N/A</v>
      </c>
      <c r="TUU30" t="e">
        <v>#N/A</v>
      </c>
      <c r="TUV30" t="e">
        <v>#N/A</v>
      </c>
      <c r="TUW30" t="e">
        <v>#N/A</v>
      </c>
      <c r="TUX30" t="e">
        <v>#N/A</v>
      </c>
      <c r="TUY30" t="e">
        <v>#N/A</v>
      </c>
      <c r="TUZ30" t="e">
        <v>#N/A</v>
      </c>
      <c r="TVA30" t="e">
        <v>#N/A</v>
      </c>
      <c r="TVB30" t="e">
        <v>#N/A</v>
      </c>
      <c r="TVC30" t="e">
        <v>#N/A</v>
      </c>
      <c r="TVD30" t="e">
        <v>#N/A</v>
      </c>
      <c r="TVE30" t="e">
        <v>#N/A</v>
      </c>
      <c r="TVF30" t="e">
        <v>#N/A</v>
      </c>
      <c r="TVG30" t="e">
        <v>#N/A</v>
      </c>
      <c r="TVH30" t="e">
        <v>#N/A</v>
      </c>
      <c r="TVI30" t="e">
        <v>#N/A</v>
      </c>
      <c r="TVJ30" t="e">
        <v>#N/A</v>
      </c>
      <c r="TVK30" t="e">
        <v>#N/A</v>
      </c>
      <c r="TVL30" t="e">
        <v>#N/A</v>
      </c>
      <c r="TVM30" t="e">
        <v>#N/A</v>
      </c>
      <c r="TVN30" t="e">
        <v>#N/A</v>
      </c>
      <c r="TVO30" t="e">
        <v>#N/A</v>
      </c>
      <c r="TVP30" t="e">
        <v>#N/A</v>
      </c>
      <c r="TVQ30" t="e">
        <v>#N/A</v>
      </c>
      <c r="TVR30" t="e">
        <v>#N/A</v>
      </c>
      <c r="TVS30" t="e">
        <v>#N/A</v>
      </c>
      <c r="TVT30" t="e">
        <v>#N/A</v>
      </c>
      <c r="TVU30" t="e">
        <v>#N/A</v>
      </c>
      <c r="TVV30" t="e">
        <v>#N/A</v>
      </c>
      <c r="TVW30" t="e">
        <v>#N/A</v>
      </c>
      <c r="TVX30" t="e">
        <v>#N/A</v>
      </c>
      <c r="TVY30" t="e">
        <v>#N/A</v>
      </c>
      <c r="TVZ30" t="e">
        <v>#N/A</v>
      </c>
      <c r="TWA30" t="e">
        <v>#N/A</v>
      </c>
      <c r="TWB30" t="e">
        <v>#N/A</v>
      </c>
      <c r="TWC30" t="e">
        <v>#N/A</v>
      </c>
      <c r="TWD30" t="e">
        <v>#N/A</v>
      </c>
      <c r="TWE30" t="e">
        <v>#N/A</v>
      </c>
      <c r="TWF30" t="e">
        <v>#N/A</v>
      </c>
      <c r="TWG30" t="e">
        <v>#N/A</v>
      </c>
      <c r="TWH30" t="e">
        <v>#N/A</v>
      </c>
      <c r="TWI30" t="e">
        <v>#N/A</v>
      </c>
      <c r="TWJ30" t="e">
        <v>#N/A</v>
      </c>
      <c r="TWK30" t="e">
        <v>#N/A</v>
      </c>
      <c r="TWL30" t="e">
        <v>#N/A</v>
      </c>
      <c r="TWM30" t="e">
        <v>#N/A</v>
      </c>
      <c r="TWN30" t="e">
        <v>#N/A</v>
      </c>
      <c r="TWO30" t="e">
        <v>#N/A</v>
      </c>
      <c r="TWP30" t="e">
        <v>#N/A</v>
      </c>
      <c r="TWQ30" t="e">
        <v>#N/A</v>
      </c>
      <c r="TWR30" t="e">
        <v>#N/A</v>
      </c>
      <c r="TWS30" t="e">
        <v>#N/A</v>
      </c>
      <c r="TWT30" t="e">
        <v>#N/A</v>
      </c>
      <c r="TWU30" t="e">
        <v>#N/A</v>
      </c>
      <c r="TWV30" t="e">
        <v>#N/A</v>
      </c>
      <c r="TWW30" t="e">
        <v>#N/A</v>
      </c>
      <c r="TWX30" t="e">
        <v>#N/A</v>
      </c>
      <c r="TWY30" t="e">
        <v>#N/A</v>
      </c>
      <c r="TWZ30" t="e">
        <v>#N/A</v>
      </c>
      <c r="TXA30" t="e">
        <v>#N/A</v>
      </c>
      <c r="TXB30" t="e">
        <v>#N/A</v>
      </c>
      <c r="TXC30" t="e">
        <v>#N/A</v>
      </c>
      <c r="TXD30" t="e">
        <v>#N/A</v>
      </c>
      <c r="TXE30" t="e">
        <v>#N/A</v>
      </c>
      <c r="TXF30" t="e">
        <v>#N/A</v>
      </c>
      <c r="TXG30" t="e">
        <v>#N/A</v>
      </c>
      <c r="TXH30" t="e">
        <v>#N/A</v>
      </c>
      <c r="TXI30" t="e">
        <v>#N/A</v>
      </c>
      <c r="TXJ30" t="e">
        <v>#N/A</v>
      </c>
      <c r="TXK30" t="e">
        <v>#N/A</v>
      </c>
      <c r="TXL30" t="e">
        <v>#N/A</v>
      </c>
      <c r="TXM30" t="e">
        <v>#N/A</v>
      </c>
      <c r="TXN30" t="e">
        <v>#N/A</v>
      </c>
      <c r="TXO30" t="e">
        <v>#N/A</v>
      </c>
      <c r="TXP30" t="e">
        <v>#N/A</v>
      </c>
      <c r="TXQ30" t="e">
        <v>#N/A</v>
      </c>
      <c r="TXR30" t="e">
        <v>#N/A</v>
      </c>
      <c r="TXS30" t="e">
        <v>#N/A</v>
      </c>
      <c r="TXT30" t="e">
        <v>#N/A</v>
      </c>
      <c r="TXU30" t="e">
        <v>#N/A</v>
      </c>
      <c r="TXV30" t="e">
        <v>#N/A</v>
      </c>
      <c r="TXW30" t="e">
        <v>#N/A</v>
      </c>
      <c r="TXX30" t="e">
        <v>#N/A</v>
      </c>
      <c r="TXY30" t="e">
        <v>#N/A</v>
      </c>
      <c r="TXZ30" t="e">
        <v>#N/A</v>
      </c>
      <c r="TYA30" t="e">
        <v>#N/A</v>
      </c>
      <c r="TYB30" t="e">
        <v>#N/A</v>
      </c>
      <c r="TYC30" t="e">
        <v>#N/A</v>
      </c>
      <c r="TYD30" t="e">
        <v>#N/A</v>
      </c>
      <c r="TYE30" t="e">
        <v>#N/A</v>
      </c>
      <c r="TYF30" t="e">
        <v>#N/A</v>
      </c>
      <c r="TYG30" t="e">
        <v>#N/A</v>
      </c>
      <c r="TYH30" t="e">
        <v>#N/A</v>
      </c>
      <c r="TYI30" t="e">
        <v>#N/A</v>
      </c>
      <c r="TYJ30" t="e">
        <v>#N/A</v>
      </c>
      <c r="TYK30" t="e">
        <v>#N/A</v>
      </c>
      <c r="TYL30" t="e">
        <v>#N/A</v>
      </c>
      <c r="TYM30" t="e">
        <v>#N/A</v>
      </c>
      <c r="TYN30" t="e">
        <v>#N/A</v>
      </c>
      <c r="TYO30" t="e">
        <v>#N/A</v>
      </c>
      <c r="TYP30" t="e">
        <v>#N/A</v>
      </c>
      <c r="TYQ30" t="e">
        <v>#N/A</v>
      </c>
      <c r="TYR30" t="e">
        <v>#N/A</v>
      </c>
      <c r="TYS30" t="e">
        <v>#N/A</v>
      </c>
      <c r="TYT30" t="e">
        <v>#N/A</v>
      </c>
      <c r="TYU30" t="e">
        <v>#N/A</v>
      </c>
      <c r="TYV30" t="e">
        <v>#N/A</v>
      </c>
      <c r="TYW30" t="e">
        <v>#N/A</v>
      </c>
      <c r="TYX30" t="e">
        <v>#N/A</v>
      </c>
      <c r="TYY30" t="e">
        <v>#N/A</v>
      </c>
      <c r="TYZ30" t="e">
        <v>#N/A</v>
      </c>
      <c r="TZA30" t="e">
        <v>#N/A</v>
      </c>
      <c r="TZB30" t="e">
        <v>#N/A</v>
      </c>
      <c r="TZC30" t="e">
        <v>#N/A</v>
      </c>
      <c r="TZD30" t="e">
        <v>#N/A</v>
      </c>
      <c r="TZE30" t="e">
        <v>#N/A</v>
      </c>
      <c r="TZF30" t="e">
        <v>#N/A</v>
      </c>
      <c r="TZG30" t="e">
        <v>#N/A</v>
      </c>
      <c r="TZH30" t="e">
        <v>#N/A</v>
      </c>
      <c r="TZI30" t="e">
        <v>#N/A</v>
      </c>
      <c r="TZJ30" t="e">
        <v>#N/A</v>
      </c>
      <c r="TZK30" t="e">
        <v>#N/A</v>
      </c>
      <c r="TZL30" t="e">
        <v>#N/A</v>
      </c>
      <c r="TZM30" t="e">
        <v>#N/A</v>
      </c>
      <c r="TZN30" t="e">
        <v>#N/A</v>
      </c>
      <c r="TZO30" t="e">
        <v>#N/A</v>
      </c>
      <c r="TZP30" t="e">
        <v>#N/A</v>
      </c>
      <c r="TZQ30" t="e">
        <v>#N/A</v>
      </c>
      <c r="TZR30" t="e">
        <v>#N/A</v>
      </c>
      <c r="TZS30" t="e">
        <v>#N/A</v>
      </c>
      <c r="TZT30" t="e">
        <v>#N/A</v>
      </c>
      <c r="TZU30" t="e">
        <v>#N/A</v>
      </c>
      <c r="TZV30" t="e">
        <v>#N/A</v>
      </c>
      <c r="TZW30" t="e">
        <v>#N/A</v>
      </c>
      <c r="TZX30" t="e">
        <v>#N/A</v>
      </c>
      <c r="TZY30" t="e">
        <v>#N/A</v>
      </c>
      <c r="TZZ30" t="e">
        <v>#N/A</v>
      </c>
      <c r="UAA30" t="e">
        <v>#N/A</v>
      </c>
      <c r="UAB30" t="e">
        <v>#N/A</v>
      </c>
      <c r="UAC30" t="e">
        <v>#N/A</v>
      </c>
      <c r="UAD30" t="e">
        <v>#N/A</v>
      </c>
      <c r="UAE30" t="e">
        <v>#N/A</v>
      </c>
      <c r="UAF30" t="e">
        <v>#N/A</v>
      </c>
      <c r="UAG30" t="e">
        <v>#N/A</v>
      </c>
      <c r="UAH30" t="e">
        <v>#N/A</v>
      </c>
      <c r="UAI30" t="e">
        <v>#N/A</v>
      </c>
      <c r="UAJ30" t="e">
        <v>#N/A</v>
      </c>
      <c r="UAK30" t="e">
        <v>#N/A</v>
      </c>
      <c r="UAL30" t="e">
        <v>#N/A</v>
      </c>
      <c r="UAM30" t="e">
        <v>#N/A</v>
      </c>
      <c r="UAN30" t="e">
        <v>#N/A</v>
      </c>
      <c r="UAO30" t="e">
        <v>#N/A</v>
      </c>
      <c r="UAP30" t="e">
        <v>#N/A</v>
      </c>
      <c r="UAQ30" t="e">
        <v>#N/A</v>
      </c>
      <c r="UAR30" t="e">
        <v>#N/A</v>
      </c>
      <c r="UAS30" t="e">
        <v>#N/A</v>
      </c>
      <c r="UAT30" t="e">
        <v>#N/A</v>
      </c>
      <c r="UAU30" t="e">
        <v>#N/A</v>
      </c>
      <c r="UAV30" t="e">
        <v>#N/A</v>
      </c>
      <c r="UAW30" t="e">
        <v>#N/A</v>
      </c>
      <c r="UAX30" t="e">
        <v>#N/A</v>
      </c>
      <c r="UAY30" t="e">
        <v>#N/A</v>
      </c>
      <c r="UAZ30" t="e">
        <v>#N/A</v>
      </c>
      <c r="UBA30" t="e">
        <v>#N/A</v>
      </c>
      <c r="UBB30" t="e">
        <v>#N/A</v>
      </c>
      <c r="UBC30" t="e">
        <v>#N/A</v>
      </c>
      <c r="UBD30" t="e">
        <v>#N/A</v>
      </c>
      <c r="UBE30" t="e">
        <v>#N/A</v>
      </c>
      <c r="UBF30" t="e">
        <v>#N/A</v>
      </c>
      <c r="UBG30" t="e">
        <v>#N/A</v>
      </c>
      <c r="UBH30" t="e">
        <v>#N/A</v>
      </c>
      <c r="UBI30" t="e">
        <v>#N/A</v>
      </c>
      <c r="UBJ30" t="e">
        <v>#N/A</v>
      </c>
      <c r="UBK30" t="e">
        <v>#N/A</v>
      </c>
      <c r="UBL30" t="e">
        <v>#N/A</v>
      </c>
      <c r="UBM30" t="e">
        <v>#N/A</v>
      </c>
      <c r="UBN30" t="e">
        <v>#N/A</v>
      </c>
      <c r="UBO30" t="e">
        <v>#N/A</v>
      </c>
      <c r="UBP30" t="e">
        <v>#N/A</v>
      </c>
      <c r="UBQ30" t="e">
        <v>#N/A</v>
      </c>
      <c r="UBR30" t="e">
        <v>#N/A</v>
      </c>
      <c r="UBS30" t="e">
        <v>#N/A</v>
      </c>
      <c r="UBT30" t="e">
        <v>#N/A</v>
      </c>
      <c r="UBU30" t="e">
        <v>#N/A</v>
      </c>
      <c r="UBV30" t="e">
        <v>#N/A</v>
      </c>
      <c r="UBW30" t="e">
        <v>#N/A</v>
      </c>
      <c r="UBX30" t="e">
        <v>#N/A</v>
      </c>
      <c r="UBY30" t="e">
        <v>#N/A</v>
      </c>
      <c r="UBZ30" t="e">
        <v>#N/A</v>
      </c>
      <c r="UCA30" t="e">
        <v>#N/A</v>
      </c>
      <c r="UCB30" t="e">
        <v>#N/A</v>
      </c>
      <c r="UCC30" t="e">
        <v>#N/A</v>
      </c>
      <c r="UCD30" t="e">
        <v>#N/A</v>
      </c>
      <c r="UCE30" t="e">
        <v>#N/A</v>
      </c>
      <c r="UCF30" t="e">
        <v>#N/A</v>
      </c>
      <c r="UCG30" t="e">
        <v>#N/A</v>
      </c>
      <c r="UCH30" t="e">
        <v>#N/A</v>
      </c>
      <c r="UCI30" t="e">
        <v>#N/A</v>
      </c>
      <c r="UCJ30" t="e">
        <v>#N/A</v>
      </c>
      <c r="UCK30" t="e">
        <v>#N/A</v>
      </c>
      <c r="UCL30" t="e">
        <v>#N/A</v>
      </c>
      <c r="UCM30" t="e">
        <v>#N/A</v>
      </c>
      <c r="UCN30" t="e">
        <v>#N/A</v>
      </c>
      <c r="UCO30" t="e">
        <v>#N/A</v>
      </c>
      <c r="UCP30" t="e">
        <v>#N/A</v>
      </c>
      <c r="UCQ30" t="e">
        <v>#N/A</v>
      </c>
      <c r="UCR30" t="e">
        <v>#N/A</v>
      </c>
      <c r="UCS30" t="e">
        <v>#N/A</v>
      </c>
      <c r="UCT30" t="e">
        <v>#N/A</v>
      </c>
      <c r="UCU30" t="e">
        <v>#N/A</v>
      </c>
      <c r="UCV30" t="e">
        <v>#N/A</v>
      </c>
      <c r="UCW30" t="e">
        <v>#N/A</v>
      </c>
      <c r="UCX30" t="e">
        <v>#N/A</v>
      </c>
      <c r="UCY30" t="e">
        <v>#N/A</v>
      </c>
      <c r="UCZ30" t="e">
        <v>#N/A</v>
      </c>
      <c r="UDA30" t="e">
        <v>#N/A</v>
      </c>
      <c r="UDB30" t="e">
        <v>#N/A</v>
      </c>
      <c r="UDC30" t="e">
        <v>#N/A</v>
      </c>
      <c r="UDD30" t="e">
        <v>#N/A</v>
      </c>
      <c r="UDE30" t="e">
        <v>#N/A</v>
      </c>
      <c r="UDF30" t="e">
        <v>#N/A</v>
      </c>
      <c r="UDG30" t="e">
        <v>#N/A</v>
      </c>
      <c r="UDH30" t="e">
        <v>#N/A</v>
      </c>
      <c r="UDI30" t="e">
        <v>#N/A</v>
      </c>
      <c r="UDJ30" t="e">
        <v>#N/A</v>
      </c>
      <c r="UDK30" t="e">
        <v>#N/A</v>
      </c>
      <c r="UDL30" t="e">
        <v>#N/A</v>
      </c>
      <c r="UDM30" t="e">
        <v>#N/A</v>
      </c>
      <c r="UDN30" t="e">
        <v>#N/A</v>
      </c>
      <c r="UDO30" t="e">
        <v>#N/A</v>
      </c>
      <c r="UDP30" t="e">
        <v>#N/A</v>
      </c>
      <c r="UDQ30" t="e">
        <v>#N/A</v>
      </c>
      <c r="UDR30" t="e">
        <v>#N/A</v>
      </c>
      <c r="UDS30" t="e">
        <v>#N/A</v>
      </c>
      <c r="UDT30" t="e">
        <v>#N/A</v>
      </c>
      <c r="UDU30" t="e">
        <v>#N/A</v>
      </c>
      <c r="UDV30" t="e">
        <v>#N/A</v>
      </c>
      <c r="UDW30" t="e">
        <v>#N/A</v>
      </c>
      <c r="UDX30" t="e">
        <v>#N/A</v>
      </c>
      <c r="UDY30" t="e">
        <v>#N/A</v>
      </c>
      <c r="UDZ30" t="e">
        <v>#N/A</v>
      </c>
      <c r="UEA30" t="e">
        <v>#N/A</v>
      </c>
      <c r="UEB30" t="e">
        <v>#N/A</v>
      </c>
      <c r="UEC30" t="e">
        <v>#N/A</v>
      </c>
      <c r="UED30" t="e">
        <v>#N/A</v>
      </c>
      <c r="UEE30" t="e">
        <v>#N/A</v>
      </c>
      <c r="UEF30" t="e">
        <v>#N/A</v>
      </c>
      <c r="UEG30" t="e">
        <v>#N/A</v>
      </c>
      <c r="UEH30" t="e">
        <v>#N/A</v>
      </c>
      <c r="UEI30" t="e">
        <v>#N/A</v>
      </c>
      <c r="UEJ30" t="e">
        <v>#N/A</v>
      </c>
      <c r="UEK30" t="e">
        <v>#N/A</v>
      </c>
      <c r="UEL30" t="e">
        <v>#N/A</v>
      </c>
      <c r="UEM30" t="e">
        <v>#N/A</v>
      </c>
      <c r="UEN30" t="e">
        <v>#N/A</v>
      </c>
      <c r="UEO30" t="e">
        <v>#N/A</v>
      </c>
      <c r="UEP30" t="e">
        <v>#N/A</v>
      </c>
      <c r="UEQ30" t="e">
        <v>#N/A</v>
      </c>
      <c r="UER30" t="e">
        <v>#N/A</v>
      </c>
      <c r="UES30" t="e">
        <v>#N/A</v>
      </c>
      <c r="UET30" t="e">
        <v>#N/A</v>
      </c>
      <c r="UEU30" t="e">
        <v>#N/A</v>
      </c>
      <c r="UEV30" t="e">
        <v>#N/A</v>
      </c>
      <c r="UEW30" t="e">
        <v>#N/A</v>
      </c>
      <c r="UEX30" t="e">
        <v>#N/A</v>
      </c>
      <c r="UEY30" t="e">
        <v>#N/A</v>
      </c>
      <c r="UEZ30" t="e">
        <v>#N/A</v>
      </c>
      <c r="UFA30" t="e">
        <v>#N/A</v>
      </c>
      <c r="UFB30" t="e">
        <v>#N/A</v>
      </c>
      <c r="UFC30" t="e">
        <v>#N/A</v>
      </c>
      <c r="UFD30" t="e">
        <v>#N/A</v>
      </c>
      <c r="UFE30" t="e">
        <v>#N/A</v>
      </c>
      <c r="UFF30" t="e">
        <v>#N/A</v>
      </c>
      <c r="UFG30" t="e">
        <v>#N/A</v>
      </c>
      <c r="UFH30" t="e">
        <v>#N/A</v>
      </c>
      <c r="UFI30" t="e">
        <v>#N/A</v>
      </c>
      <c r="UFJ30" t="e">
        <v>#N/A</v>
      </c>
      <c r="UFK30" t="e">
        <v>#N/A</v>
      </c>
      <c r="UFL30" t="e">
        <v>#N/A</v>
      </c>
      <c r="UFM30" t="e">
        <v>#N/A</v>
      </c>
      <c r="UFN30" t="e">
        <v>#N/A</v>
      </c>
      <c r="UFO30" t="e">
        <v>#N/A</v>
      </c>
      <c r="UFP30" t="e">
        <v>#N/A</v>
      </c>
      <c r="UFQ30" t="e">
        <v>#N/A</v>
      </c>
      <c r="UFR30" t="e">
        <v>#N/A</v>
      </c>
      <c r="UFS30" t="e">
        <v>#N/A</v>
      </c>
      <c r="UFT30" t="e">
        <v>#N/A</v>
      </c>
      <c r="UFU30" t="e">
        <v>#N/A</v>
      </c>
      <c r="UFV30" t="e">
        <v>#N/A</v>
      </c>
      <c r="UFW30" t="e">
        <v>#N/A</v>
      </c>
      <c r="UFX30" t="e">
        <v>#N/A</v>
      </c>
      <c r="UFY30" t="e">
        <v>#N/A</v>
      </c>
      <c r="UFZ30" t="e">
        <v>#N/A</v>
      </c>
      <c r="UGA30" t="e">
        <v>#N/A</v>
      </c>
      <c r="UGB30" t="e">
        <v>#N/A</v>
      </c>
      <c r="UGC30" t="e">
        <v>#N/A</v>
      </c>
      <c r="UGD30" t="e">
        <v>#N/A</v>
      </c>
      <c r="UGE30" t="e">
        <v>#N/A</v>
      </c>
      <c r="UGF30" t="e">
        <v>#N/A</v>
      </c>
      <c r="UGG30" t="e">
        <v>#N/A</v>
      </c>
      <c r="UGH30" t="e">
        <v>#N/A</v>
      </c>
      <c r="UGI30" t="e">
        <v>#N/A</v>
      </c>
      <c r="UGJ30" t="e">
        <v>#N/A</v>
      </c>
      <c r="UGK30" t="e">
        <v>#N/A</v>
      </c>
      <c r="UGL30" t="e">
        <v>#N/A</v>
      </c>
      <c r="UGM30" t="e">
        <v>#N/A</v>
      </c>
      <c r="UGN30" t="e">
        <v>#N/A</v>
      </c>
      <c r="UGO30" t="e">
        <v>#N/A</v>
      </c>
      <c r="UGP30" t="e">
        <v>#N/A</v>
      </c>
      <c r="UGQ30" t="e">
        <v>#N/A</v>
      </c>
      <c r="UGR30" t="e">
        <v>#N/A</v>
      </c>
      <c r="UGS30" t="e">
        <v>#N/A</v>
      </c>
      <c r="UGT30" t="e">
        <v>#N/A</v>
      </c>
      <c r="UGU30" t="e">
        <v>#N/A</v>
      </c>
      <c r="UGV30" t="e">
        <v>#N/A</v>
      </c>
      <c r="UGW30" t="e">
        <v>#N/A</v>
      </c>
      <c r="UGX30" t="e">
        <v>#N/A</v>
      </c>
      <c r="UGY30" t="e">
        <v>#N/A</v>
      </c>
      <c r="UGZ30" t="e">
        <v>#N/A</v>
      </c>
      <c r="UHA30" t="e">
        <v>#N/A</v>
      </c>
      <c r="UHB30" t="e">
        <v>#N/A</v>
      </c>
      <c r="UHC30" t="e">
        <v>#N/A</v>
      </c>
      <c r="UHD30" t="e">
        <v>#N/A</v>
      </c>
      <c r="UHE30" t="e">
        <v>#N/A</v>
      </c>
      <c r="UHF30" t="e">
        <v>#N/A</v>
      </c>
      <c r="UHG30" t="e">
        <v>#N/A</v>
      </c>
      <c r="UHH30" t="e">
        <v>#N/A</v>
      </c>
      <c r="UHI30" t="e">
        <v>#N/A</v>
      </c>
      <c r="UHJ30" t="e">
        <v>#N/A</v>
      </c>
      <c r="UHK30" t="e">
        <v>#N/A</v>
      </c>
      <c r="UHL30" t="e">
        <v>#N/A</v>
      </c>
      <c r="UHM30" t="e">
        <v>#N/A</v>
      </c>
      <c r="UHN30" t="e">
        <v>#N/A</v>
      </c>
      <c r="UHO30" t="e">
        <v>#N/A</v>
      </c>
      <c r="UHP30" t="e">
        <v>#N/A</v>
      </c>
      <c r="UHQ30" t="e">
        <v>#N/A</v>
      </c>
      <c r="UHR30" t="e">
        <v>#N/A</v>
      </c>
      <c r="UHS30" t="e">
        <v>#N/A</v>
      </c>
      <c r="UHT30" t="e">
        <v>#N/A</v>
      </c>
      <c r="UHU30" t="e">
        <v>#N/A</v>
      </c>
      <c r="UHV30" t="e">
        <v>#N/A</v>
      </c>
      <c r="UHW30" t="e">
        <v>#N/A</v>
      </c>
      <c r="UHX30" t="e">
        <v>#N/A</v>
      </c>
      <c r="UHY30" t="e">
        <v>#N/A</v>
      </c>
      <c r="UHZ30" t="e">
        <v>#N/A</v>
      </c>
      <c r="UIA30" t="e">
        <v>#N/A</v>
      </c>
      <c r="UIB30" t="e">
        <v>#N/A</v>
      </c>
      <c r="UIC30" t="e">
        <v>#N/A</v>
      </c>
      <c r="UID30" t="e">
        <v>#N/A</v>
      </c>
      <c r="UIE30" t="e">
        <v>#N/A</v>
      </c>
      <c r="UIF30" t="e">
        <v>#N/A</v>
      </c>
      <c r="UIG30" t="e">
        <v>#N/A</v>
      </c>
      <c r="UIH30" t="e">
        <v>#N/A</v>
      </c>
      <c r="UII30" t="e">
        <v>#N/A</v>
      </c>
      <c r="UIJ30" t="e">
        <v>#N/A</v>
      </c>
      <c r="UIK30" t="e">
        <v>#N/A</v>
      </c>
      <c r="UIL30" t="e">
        <v>#N/A</v>
      </c>
      <c r="UIM30" t="e">
        <v>#N/A</v>
      </c>
      <c r="UIN30" t="e">
        <v>#N/A</v>
      </c>
      <c r="UIO30" t="e">
        <v>#N/A</v>
      </c>
      <c r="UIP30" t="e">
        <v>#N/A</v>
      </c>
      <c r="UIQ30" t="e">
        <v>#N/A</v>
      </c>
      <c r="UIR30" t="e">
        <v>#N/A</v>
      </c>
      <c r="UIS30" t="e">
        <v>#N/A</v>
      </c>
      <c r="UIT30" t="e">
        <v>#N/A</v>
      </c>
      <c r="UIU30" t="e">
        <v>#N/A</v>
      </c>
      <c r="UIV30" t="e">
        <v>#N/A</v>
      </c>
      <c r="UIW30" t="e">
        <v>#N/A</v>
      </c>
      <c r="UIX30" t="e">
        <v>#N/A</v>
      </c>
      <c r="UIY30" t="e">
        <v>#N/A</v>
      </c>
      <c r="UIZ30" t="e">
        <v>#N/A</v>
      </c>
      <c r="UJA30" t="e">
        <v>#N/A</v>
      </c>
      <c r="UJB30" t="e">
        <v>#N/A</v>
      </c>
      <c r="UJC30" t="e">
        <v>#N/A</v>
      </c>
      <c r="UJD30" t="e">
        <v>#N/A</v>
      </c>
      <c r="UJE30" t="e">
        <v>#N/A</v>
      </c>
      <c r="UJF30" t="e">
        <v>#N/A</v>
      </c>
      <c r="UJG30" t="e">
        <v>#N/A</v>
      </c>
      <c r="UJH30" t="e">
        <v>#N/A</v>
      </c>
      <c r="UJI30" t="e">
        <v>#N/A</v>
      </c>
      <c r="UJJ30" t="e">
        <v>#N/A</v>
      </c>
      <c r="UJK30" t="e">
        <v>#N/A</v>
      </c>
      <c r="UJL30" t="e">
        <v>#N/A</v>
      </c>
      <c r="UJM30" t="e">
        <v>#N/A</v>
      </c>
      <c r="UJN30" t="e">
        <v>#N/A</v>
      </c>
      <c r="UJO30" t="e">
        <v>#N/A</v>
      </c>
      <c r="UJP30" t="e">
        <v>#N/A</v>
      </c>
      <c r="UJQ30" t="e">
        <v>#N/A</v>
      </c>
      <c r="UJR30" t="e">
        <v>#N/A</v>
      </c>
      <c r="UJS30" t="e">
        <v>#N/A</v>
      </c>
      <c r="UJT30" t="e">
        <v>#N/A</v>
      </c>
      <c r="UJU30" t="e">
        <v>#N/A</v>
      </c>
      <c r="UJV30" t="e">
        <v>#N/A</v>
      </c>
      <c r="UJW30" t="e">
        <v>#N/A</v>
      </c>
      <c r="UJX30" t="e">
        <v>#N/A</v>
      </c>
      <c r="UJY30" t="e">
        <v>#N/A</v>
      </c>
      <c r="UJZ30" t="e">
        <v>#N/A</v>
      </c>
      <c r="UKA30" t="e">
        <v>#N/A</v>
      </c>
      <c r="UKB30" t="e">
        <v>#N/A</v>
      </c>
      <c r="UKC30" t="e">
        <v>#N/A</v>
      </c>
      <c r="UKD30" t="e">
        <v>#N/A</v>
      </c>
      <c r="UKE30" t="e">
        <v>#N/A</v>
      </c>
      <c r="UKF30" t="e">
        <v>#N/A</v>
      </c>
      <c r="UKG30" t="e">
        <v>#N/A</v>
      </c>
      <c r="UKH30" t="e">
        <v>#N/A</v>
      </c>
      <c r="UKI30" t="e">
        <v>#N/A</v>
      </c>
      <c r="UKJ30" t="e">
        <v>#N/A</v>
      </c>
      <c r="UKK30" t="e">
        <v>#N/A</v>
      </c>
      <c r="UKL30" t="e">
        <v>#N/A</v>
      </c>
      <c r="UKM30" t="e">
        <v>#N/A</v>
      </c>
      <c r="UKN30" t="e">
        <v>#N/A</v>
      </c>
      <c r="UKO30" t="e">
        <v>#N/A</v>
      </c>
      <c r="UKP30" t="e">
        <v>#N/A</v>
      </c>
      <c r="UKQ30" t="e">
        <v>#N/A</v>
      </c>
      <c r="UKR30" t="e">
        <v>#N/A</v>
      </c>
      <c r="UKS30" t="e">
        <v>#N/A</v>
      </c>
      <c r="UKT30" t="e">
        <v>#N/A</v>
      </c>
      <c r="UKU30" t="e">
        <v>#N/A</v>
      </c>
      <c r="UKV30" t="e">
        <v>#N/A</v>
      </c>
      <c r="UKW30" t="e">
        <v>#N/A</v>
      </c>
      <c r="UKX30" t="e">
        <v>#N/A</v>
      </c>
      <c r="UKY30" t="e">
        <v>#N/A</v>
      </c>
      <c r="UKZ30" t="e">
        <v>#N/A</v>
      </c>
      <c r="ULA30" t="e">
        <v>#N/A</v>
      </c>
      <c r="ULB30" t="e">
        <v>#N/A</v>
      </c>
      <c r="ULC30" t="e">
        <v>#N/A</v>
      </c>
      <c r="ULD30" t="e">
        <v>#N/A</v>
      </c>
      <c r="ULE30" t="e">
        <v>#N/A</v>
      </c>
      <c r="ULF30" t="e">
        <v>#N/A</v>
      </c>
      <c r="ULG30" t="e">
        <v>#N/A</v>
      </c>
      <c r="ULH30" t="e">
        <v>#N/A</v>
      </c>
      <c r="ULI30" t="e">
        <v>#N/A</v>
      </c>
      <c r="ULJ30" t="e">
        <v>#N/A</v>
      </c>
      <c r="ULK30" t="e">
        <v>#N/A</v>
      </c>
      <c r="ULL30" t="e">
        <v>#N/A</v>
      </c>
      <c r="ULM30" t="e">
        <v>#N/A</v>
      </c>
      <c r="ULN30" t="e">
        <v>#N/A</v>
      </c>
      <c r="ULO30" t="e">
        <v>#N/A</v>
      </c>
      <c r="ULP30" t="e">
        <v>#N/A</v>
      </c>
      <c r="ULQ30" t="e">
        <v>#N/A</v>
      </c>
      <c r="ULR30" t="e">
        <v>#N/A</v>
      </c>
      <c r="ULS30" t="e">
        <v>#N/A</v>
      </c>
      <c r="ULT30" t="e">
        <v>#N/A</v>
      </c>
      <c r="ULU30" t="e">
        <v>#N/A</v>
      </c>
      <c r="ULV30" t="e">
        <v>#N/A</v>
      </c>
      <c r="ULW30" t="e">
        <v>#N/A</v>
      </c>
      <c r="ULX30" t="e">
        <v>#N/A</v>
      </c>
      <c r="ULY30" t="e">
        <v>#N/A</v>
      </c>
      <c r="ULZ30" t="e">
        <v>#N/A</v>
      </c>
      <c r="UMA30" t="e">
        <v>#N/A</v>
      </c>
      <c r="UMB30" t="e">
        <v>#N/A</v>
      </c>
      <c r="UMC30" t="e">
        <v>#N/A</v>
      </c>
      <c r="UMD30" t="e">
        <v>#N/A</v>
      </c>
      <c r="UME30" t="e">
        <v>#N/A</v>
      </c>
      <c r="UMF30" t="e">
        <v>#N/A</v>
      </c>
      <c r="UMG30" t="e">
        <v>#N/A</v>
      </c>
      <c r="UMH30" t="e">
        <v>#N/A</v>
      </c>
      <c r="UMI30" t="e">
        <v>#N/A</v>
      </c>
      <c r="UMJ30" t="e">
        <v>#N/A</v>
      </c>
      <c r="UMK30" t="e">
        <v>#N/A</v>
      </c>
      <c r="UML30" t="e">
        <v>#N/A</v>
      </c>
      <c r="UMM30" t="e">
        <v>#N/A</v>
      </c>
      <c r="UMN30" t="e">
        <v>#N/A</v>
      </c>
      <c r="UMO30" t="e">
        <v>#N/A</v>
      </c>
      <c r="UMP30" t="e">
        <v>#N/A</v>
      </c>
      <c r="UMQ30" t="e">
        <v>#N/A</v>
      </c>
      <c r="UMR30" t="e">
        <v>#N/A</v>
      </c>
      <c r="UMS30" t="e">
        <v>#N/A</v>
      </c>
      <c r="UMT30" t="e">
        <v>#N/A</v>
      </c>
      <c r="UMU30" t="e">
        <v>#N/A</v>
      </c>
      <c r="UMV30" t="e">
        <v>#N/A</v>
      </c>
      <c r="UMW30" t="e">
        <v>#N/A</v>
      </c>
      <c r="UMX30" t="e">
        <v>#N/A</v>
      </c>
      <c r="UMY30" t="e">
        <v>#N/A</v>
      </c>
      <c r="UMZ30" t="e">
        <v>#N/A</v>
      </c>
      <c r="UNA30" t="e">
        <v>#N/A</v>
      </c>
      <c r="UNB30" t="e">
        <v>#N/A</v>
      </c>
      <c r="UNC30" t="e">
        <v>#N/A</v>
      </c>
      <c r="UND30" t="e">
        <v>#N/A</v>
      </c>
      <c r="UNE30" t="e">
        <v>#N/A</v>
      </c>
      <c r="UNF30" t="e">
        <v>#N/A</v>
      </c>
      <c r="UNG30" t="e">
        <v>#N/A</v>
      </c>
      <c r="UNH30" t="e">
        <v>#N/A</v>
      </c>
      <c r="UNI30" t="e">
        <v>#N/A</v>
      </c>
      <c r="UNJ30" t="e">
        <v>#N/A</v>
      </c>
      <c r="UNK30" t="e">
        <v>#N/A</v>
      </c>
      <c r="UNL30" t="e">
        <v>#N/A</v>
      </c>
      <c r="UNM30" t="e">
        <v>#N/A</v>
      </c>
      <c r="UNN30" t="e">
        <v>#N/A</v>
      </c>
      <c r="UNO30" t="e">
        <v>#N/A</v>
      </c>
      <c r="UNP30" t="e">
        <v>#N/A</v>
      </c>
      <c r="UNQ30" t="e">
        <v>#N/A</v>
      </c>
      <c r="UNR30" t="e">
        <v>#N/A</v>
      </c>
      <c r="UNS30" t="e">
        <v>#N/A</v>
      </c>
      <c r="UNT30" t="e">
        <v>#N/A</v>
      </c>
      <c r="UNU30" t="e">
        <v>#N/A</v>
      </c>
      <c r="UNV30" t="e">
        <v>#N/A</v>
      </c>
      <c r="UNW30" t="e">
        <v>#N/A</v>
      </c>
      <c r="UNX30" t="e">
        <v>#N/A</v>
      </c>
      <c r="UNY30" t="e">
        <v>#N/A</v>
      </c>
      <c r="UNZ30" t="e">
        <v>#N/A</v>
      </c>
      <c r="UOA30" t="e">
        <v>#N/A</v>
      </c>
      <c r="UOB30" t="e">
        <v>#N/A</v>
      </c>
      <c r="UOC30" t="e">
        <v>#N/A</v>
      </c>
      <c r="UOD30" t="e">
        <v>#N/A</v>
      </c>
      <c r="UOE30" t="e">
        <v>#N/A</v>
      </c>
      <c r="UOF30" t="e">
        <v>#N/A</v>
      </c>
      <c r="UOG30" t="e">
        <v>#N/A</v>
      </c>
      <c r="UOH30" t="e">
        <v>#N/A</v>
      </c>
      <c r="UOI30" t="e">
        <v>#N/A</v>
      </c>
      <c r="UOJ30" t="e">
        <v>#N/A</v>
      </c>
      <c r="UOK30" t="e">
        <v>#N/A</v>
      </c>
      <c r="UOL30" t="e">
        <v>#N/A</v>
      </c>
      <c r="UOM30" t="e">
        <v>#N/A</v>
      </c>
      <c r="UON30" t="e">
        <v>#N/A</v>
      </c>
      <c r="UOO30" t="e">
        <v>#N/A</v>
      </c>
      <c r="UOP30" t="e">
        <v>#N/A</v>
      </c>
      <c r="UOQ30" t="e">
        <v>#N/A</v>
      </c>
      <c r="UOR30" t="e">
        <v>#N/A</v>
      </c>
      <c r="UOS30" t="e">
        <v>#N/A</v>
      </c>
      <c r="UOT30" t="e">
        <v>#N/A</v>
      </c>
      <c r="UOU30" t="e">
        <v>#N/A</v>
      </c>
      <c r="UOV30" t="e">
        <v>#N/A</v>
      </c>
      <c r="UOW30" t="e">
        <v>#N/A</v>
      </c>
      <c r="UOX30" t="e">
        <v>#N/A</v>
      </c>
      <c r="UOY30" t="e">
        <v>#N/A</v>
      </c>
      <c r="UOZ30" t="e">
        <v>#N/A</v>
      </c>
      <c r="UPA30" t="e">
        <v>#N/A</v>
      </c>
      <c r="UPB30" t="e">
        <v>#N/A</v>
      </c>
      <c r="UPC30" t="e">
        <v>#N/A</v>
      </c>
      <c r="UPD30" t="e">
        <v>#N/A</v>
      </c>
      <c r="UPE30" t="e">
        <v>#N/A</v>
      </c>
      <c r="UPF30" t="e">
        <v>#N/A</v>
      </c>
      <c r="UPG30" t="e">
        <v>#N/A</v>
      </c>
      <c r="UPH30" t="e">
        <v>#N/A</v>
      </c>
      <c r="UPI30" t="e">
        <v>#N/A</v>
      </c>
      <c r="UPJ30" t="e">
        <v>#N/A</v>
      </c>
      <c r="UPK30" t="e">
        <v>#N/A</v>
      </c>
      <c r="UPL30" t="e">
        <v>#N/A</v>
      </c>
      <c r="UPM30" t="e">
        <v>#N/A</v>
      </c>
      <c r="UPN30" t="e">
        <v>#N/A</v>
      </c>
      <c r="UPO30" t="e">
        <v>#N/A</v>
      </c>
      <c r="UPP30" t="e">
        <v>#N/A</v>
      </c>
      <c r="UPQ30" t="e">
        <v>#N/A</v>
      </c>
      <c r="UPR30" t="e">
        <v>#N/A</v>
      </c>
      <c r="UPS30" t="e">
        <v>#N/A</v>
      </c>
      <c r="UPT30" t="e">
        <v>#N/A</v>
      </c>
      <c r="UPU30" t="e">
        <v>#N/A</v>
      </c>
      <c r="UPV30" t="e">
        <v>#N/A</v>
      </c>
      <c r="UPW30" t="e">
        <v>#N/A</v>
      </c>
      <c r="UPX30" t="e">
        <v>#N/A</v>
      </c>
      <c r="UPY30" t="e">
        <v>#N/A</v>
      </c>
      <c r="UPZ30" t="e">
        <v>#N/A</v>
      </c>
      <c r="UQA30" t="e">
        <v>#N/A</v>
      </c>
      <c r="UQB30" t="e">
        <v>#N/A</v>
      </c>
      <c r="UQC30" t="e">
        <v>#N/A</v>
      </c>
      <c r="UQD30" t="e">
        <v>#N/A</v>
      </c>
      <c r="UQE30" t="e">
        <v>#N/A</v>
      </c>
      <c r="UQF30" t="e">
        <v>#N/A</v>
      </c>
      <c r="UQG30" t="e">
        <v>#N/A</v>
      </c>
      <c r="UQH30" t="e">
        <v>#N/A</v>
      </c>
      <c r="UQI30" t="e">
        <v>#N/A</v>
      </c>
      <c r="UQJ30" t="e">
        <v>#N/A</v>
      </c>
      <c r="UQK30" t="e">
        <v>#N/A</v>
      </c>
      <c r="UQL30" t="e">
        <v>#N/A</v>
      </c>
      <c r="UQM30" t="e">
        <v>#N/A</v>
      </c>
      <c r="UQN30" t="e">
        <v>#N/A</v>
      </c>
      <c r="UQO30" t="e">
        <v>#N/A</v>
      </c>
      <c r="UQP30" t="e">
        <v>#N/A</v>
      </c>
      <c r="UQQ30" t="e">
        <v>#N/A</v>
      </c>
      <c r="UQR30" t="e">
        <v>#N/A</v>
      </c>
      <c r="UQS30" t="e">
        <v>#N/A</v>
      </c>
      <c r="UQT30" t="e">
        <v>#N/A</v>
      </c>
      <c r="UQU30" t="e">
        <v>#N/A</v>
      </c>
      <c r="UQV30" t="e">
        <v>#N/A</v>
      </c>
      <c r="UQW30" t="e">
        <v>#N/A</v>
      </c>
      <c r="UQX30" t="e">
        <v>#N/A</v>
      </c>
      <c r="UQY30" t="e">
        <v>#N/A</v>
      </c>
      <c r="UQZ30" t="e">
        <v>#N/A</v>
      </c>
      <c r="URA30" t="e">
        <v>#N/A</v>
      </c>
      <c r="URB30" t="e">
        <v>#N/A</v>
      </c>
      <c r="URC30" t="e">
        <v>#N/A</v>
      </c>
      <c r="URD30" t="e">
        <v>#N/A</v>
      </c>
      <c r="URE30" t="e">
        <v>#N/A</v>
      </c>
      <c r="URF30" t="e">
        <v>#N/A</v>
      </c>
      <c r="URG30" t="e">
        <v>#N/A</v>
      </c>
      <c r="URH30" t="e">
        <v>#N/A</v>
      </c>
      <c r="URI30" t="e">
        <v>#N/A</v>
      </c>
      <c r="URJ30" t="e">
        <v>#N/A</v>
      </c>
      <c r="URK30" t="e">
        <v>#N/A</v>
      </c>
      <c r="URL30" t="e">
        <v>#N/A</v>
      </c>
      <c r="URM30" t="e">
        <v>#N/A</v>
      </c>
      <c r="URN30" t="e">
        <v>#N/A</v>
      </c>
      <c r="URO30" t="e">
        <v>#N/A</v>
      </c>
      <c r="URP30" t="e">
        <v>#N/A</v>
      </c>
      <c r="URQ30" t="e">
        <v>#N/A</v>
      </c>
      <c r="URR30" t="e">
        <v>#N/A</v>
      </c>
      <c r="URS30" t="e">
        <v>#N/A</v>
      </c>
      <c r="URT30" t="e">
        <v>#N/A</v>
      </c>
      <c r="URU30" t="e">
        <v>#N/A</v>
      </c>
      <c r="URV30" t="e">
        <v>#N/A</v>
      </c>
      <c r="URW30" t="e">
        <v>#N/A</v>
      </c>
      <c r="URX30" t="e">
        <v>#N/A</v>
      </c>
      <c r="URY30" t="e">
        <v>#N/A</v>
      </c>
      <c r="URZ30" t="e">
        <v>#N/A</v>
      </c>
      <c r="USA30" t="e">
        <v>#N/A</v>
      </c>
      <c r="USB30" t="e">
        <v>#N/A</v>
      </c>
      <c r="USC30" t="e">
        <v>#N/A</v>
      </c>
      <c r="USD30" t="e">
        <v>#N/A</v>
      </c>
      <c r="USE30" t="e">
        <v>#N/A</v>
      </c>
      <c r="USF30" t="e">
        <v>#N/A</v>
      </c>
      <c r="USG30" t="e">
        <v>#N/A</v>
      </c>
      <c r="USH30" t="e">
        <v>#N/A</v>
      </c>
      <c r="USI30" t="e">
        <v>#N/A</v>
      </c>
      <c r="USJ30" t="e">
        <v>#N/A</v>
      </c>
      <c r="USK30" t="e">
        <v>#N/A</v>
      </c>
      <c r="USL30" t="e">
        <v>#N/A</v>
      </c>
      <c r="USM30" t="e">
        <v>#N/A</v>
      </c>
      <c r="USN30" t="e">
        <v>#N/A</v>
      </c>
      <c r="USO30" t="e">
        <v>#N/A</v>
      </c>
      <c r="USP30" t="e">
        <v>#N/A</v>
      </c>
      <c r="USQ30" t="e">
        <v>#N/A</v>
      </c>
      <c r="USR30" t="e">
        <v>#N/A</v>
      </c>
      <c r="USS30" t="e">
        <v>#N/A</v>
      </c>
      <c r="UST30" t="e">
        <v>#N/A</v>
      </c>
      <c r="USU30" t="e">
        <v>#N/A</v>
      </c>
      <c r="USV30" t="e">
        <v>#N/A</v>
      </c>
      <c r="USW30" t="e">
        <v>#N/A</v>
      </c>
      <c r="USX30" t="e">
        <v>#N/A</v>
      </c>
      <c r="USY30" t="e">
        <v>#N/A</v>
      </c>
      <c r="USZ30" t="e">
        <v>#N/A</v>
      </c>
      <c r="UTA30" t="e">
        <v>#N/A</v>
      </c>
      <c r="UTB30" t="e">
        <v>#N/A</v>
      </c>
      <c r="UTC30" t="e">
        <v>#N/A</v>
      </c>
      <c r="UTD30" t="e">
        <v>#N/A</v>
      </c>
      <c r="UTE30" t="e">
        <v>#N/A</v>
      </c>
      <c r="UTF30" t="e">
        <v>#N/A</v>
      </c>
      <c r="UTG30" t="e">
        <v>#N/A</v>
      </c>
      <c r="UTH30" t="e">
        <v>#N/A</v>
      </c>
      <c r="UTI30" t="e">
        <v>#N/A</v>
      </c>
      <c r="UTJ30" t="e">
        <v>#N/A</v>
      </c>
      <c r="UTK30" t="e">
        <v>#N/A</v>
      </c>
      <c r="UTL30" t="e">
        <v>#N/A</v>
      </c>
      <c r="UTM30" t="e">
        <v>#N/A</v>
      </c>
      <c r="UTN30" t="e">
        <v>#N/A</v>
      </c>
      <c r="UTO30" t="e">
        <v>#N/A</v>
      </c>
      <c r="UTP30" t="e">
        <v>#N/A</v>
      </c>
      <c r="UTQ30" t="e">
        <v>#N/A</v>
      </c>
      <c r="UTR30" t="e">
        <v>#N/A</v>
      </c>
      <c r="UTS30" t="e">
        <v>#N/A</v>
      </c>
      <c r="UTT30" t="e">
        <v>#N/A</v>
      </c>
      <c r="UTU30" t="e">
        <v>#N/A</v>
      </c>
      <c r="UTV30" t="e">
        <v>#N/A</v>
      </c>
      <c r="UTW30" t="e">
        <v>#N/A</v>
      </c>
      <c r="UTX30" t="e">
        <v>#N/A</v>
      </c>
      <c r="UTY30" t="e">
        <v>#N/A</v>
      </c>
      <c r="UTZ30" t="e">
        <v>#N/A</v>
      </c>
      <c r="UUA30" t="e">
        <v>#N/A</v>
      </c>
      <c r="UUB30" t="e">
        <v>#N/A</v>
      </c>
      <c r="UUC30" t="e">
        <v>#N/A</v>
      </c>
      <c r="UUD30" t="e">
        <v>#N/A</v>
      </c>
      <c r="UUE30" t="e">
        <v>#N/A</v>
      </c>
      <c r="UUF30" t="e">
        <v>#N/A</v>
      </c>
      <c r="UUG30" t="e">
        <v>#N/A</v>
      </c>
      <c r="UUH30" t="e">
        <v>#N/A</v>
      </c>
      <c r="UUI30" t="e">
        <v>#N/A</v>
      </c>
      <c r="UUJ30" t="e">
        <v>#N/A</v>
      </c>
      <c r="UUK30" t="e">
        <v>#N/A</v>
      </c>
      <c r="UUL30" t="e">
        <v>#N/A</v>
      </c>
      <c r="UUM30" t="e">
        <v>#N/A</v>
      </c>
      <c r="UUN30" t="e">
        <v>#N/A</v>
      </c>
      <c r="UUO30" t="e">
        <v>#N/A</v>
      </c>
      <c r="UUP30" t="e">
        <v>#N/A</v>
      </c>
      <c r="UUQ30" t="e">
        <v>#N/A</v>
      </c>
      <c r="UUR30" t="e">
        <v>#N/A</v>
      </c>
      <c r="UUS30" t="e">
        <v>#N/A</v>
      </c>
      <c r="UUT30" t="e">
        <v>#N/A</v>
      </c>
      <c r="UUU30" t="e">
        <v>#N/A</v>
      </c>
      <c r="UUV30" t="e">
        <v>#N/A</v>
      </c>
      <c r="UUW30" t="e">
        <v>#N/A</v>
      </c>
      <c r="UUX30" t="e">
        <v>#N/A</v>
      </c>
      <c r="UUY30" t="e">
        <v>#N/A</v>
      </c>
      <c r="UUZ30" t="e">
        <v>#N/A</v>
      </c>
      <c r="UVA30" t="e">
        <v>#N/A</v>
      </c>
      <c r="UVB30" t="e">
        <v>#N/A</v>
      </c>
      <c r="UVC30" t="e">
        <v>#N/A</v>
      </c>
      <c r="UVD30" t="e">
        <v>#N/A</v>
      </c>
      <c r="UVE30" t="e">
        <v>#N/A</v>
      </c>
      <c r="UVF30" t="e">
        <v>#N/A</v>
      </c>
      <c r="UVG30" t="e">
        <v>#N/A</v>
      </c>
      <c r="UVH30" t="e">
        <v>#N/A</v>
      </c>
      <c r="UVI30" t="e">
        <v>#N/A</v>
      </c>
      <c r="UVJ30" t="e">
        <v>#N/A</v>
      </c>
      <c r="UVK30" t="e">
        <v>#N/A</v>
      </c>
      <c r="UVL30" t="e">
        <v>#N/A</v>
      </c>
      <c r="UVM30" t="e">
        <v>#N/A</v>
      </c>
      <c r="UVN30" t="e">
        <v>#N/A</v>
      </c>
      <c r="UVO30" t="e">
        <v>#N/A</v>
      </c>
      <c r="UVP30" t="e">
        <v>#N/A</v>
      </c>
      <c r="UVQ30" t="e">
        <v>#N/A</v>
      </c>
      <c r="UVR30" t="e">
        <v>#N/A</v>
      </c>
      <c r="UVS30" t="e">
        <v>#N/A</v>
      </c>
      <c r="UVT30" t="e">
        <v>#N/A</v>
      </c>
      <c r="UVU30" t="e">
        <v>#N/A</v>
      </c>
      <c r="UVV30" t="e">
        <v>#N/A</v>
      </c>
      <c r="UVW30" t="e">
        <v>#N/A</v>
      </c>
      <c r="UVX30" t="e">
        <v>#N/A</v>
      </c>
      <c r="UVY30" t="e">
        <v>#N/A</v>
      </c>
      <c r="UVZ30" t="e">
        <v>#N/A</v>
      </c>
      <c r="UWA30" t="e">
        <v>#N/A</v>
      </c>
      <c r="UWB30" t="e">
        <v>#N/A</v>
      </c>
      <c r="UWC30" t="e">
        <v>#N/A</v>
      </c>
      <c r="UWD30" t="e">
        <v>#N/A</v>
      </c>
      <c r="UWE30" t="e">
        <v>#N/A</v>
      </c>
      <c r="UWF30" t="e">
        <v>#N/A</v>
      </c>
      <c r="UWG30" t="e">
        <v>#N/A</v>
      </c>
      <c r="UWH30" t="e">
        <v>#N/A</v>
      </c>
      <c r="UWI30" t="e">
        <v>#N/A</v>
      </c>
      <c r="UWJ30" t="e">
        <v>#N/A</v>
      </c>
      <c r="UWK30" t="e">
        <v>#N/A</v>
      </c>
      <c r="UWL30" t="e">
        <v>#N/A</v>
      </c>
      <c r="UWM30" t="e">
        <v>#N/A</v>
      </c>
      <c r="UWN30" t="e">
        <v>#N/A</v>
      </c>
      <c r="UWO30" t="e">
        <v>#N/A</v>
      </c>
      <c r="UWP30" t="e">
        <v>#N/A</v>
      </c>
      <c r="UWQ30" t="e">
        <v>#N/A</v>
      </c>
      <c r="UWR30" t="e">
        <v>#N/A</v>
      </c>
      <c r="UWS30" t="e">
        <v>#N/A</v>
      </c>
      <c r="UWT30" t="e">
        <v>#N/A</v>
      </c>
      <c r="UWU30" t="e">
        <v>#N/A</v>
      </c>
      <c r="UWV30" t="e">
        <v>#N/A</v>
      </c>
      <c r="UWW30" t="e">
        <v>#N/A</v>
      </c>
      <c r="UWX30" t="e">
        <v>#N/A</v>
      </c>
      <c r="UWY30" t="e">
        <v>#N/A</v>
      </c>
      <c r="UWZ30" t="e">
        <v>#N/A</v>
      </c>
      <c r="UXA30" t="e">
        <v>#N/A</v>
      </c>
      <c r="UXB30" t="e">
        <v>#N/A</v>
      </c>
      <c r="UXC30" t="e">
        <v>#N/A</v>
      </c>
      <c r="UXD30" t="e">
        <v>#N/A</v>
      </c>
      <c r="UXE30" t="e">
        <v>#N/A</v>
      </c>
      <c r="UXF30" t="e">
        <v>#N/A</v>
      </c>
      <c r="UXG30" t="e">
        <v>#N/A</v>
      </c>
      <c r="UXH30" t="e">
        <v>#N/A</v>
      </c>
      <c r="UXI30" t="e">
        <v>#N/A</v>
      </c>
      <c r="UXJ30" t="e">
        <v>#N/A</v>
      </c>
      <c r="UXK30" t="e">
        <v>#N/A</v>
      </c>
      <c r="UXL30" t="e">
        <v>#N/A</v>
      </c>
      <c r="UXM30" t="e">
        <v>#N/A</v>
      </c>
      <c r="UXN30" t="e">
        <v>#N/A</v>
      </c>
      <c r="UXO30" t="e">
        <v>#N/A</v>
      </c>
      <c r="UXP30" t="e">
        <v>#N/A</v>
      </c>
      <c r="UXQ30" t="e">
        <v>#N/A</v>
      </c>
      <c r="UXR30" t="e">
        <v>#N/A</v>
      </c>
      <c r="UXS30" t="e">
        <v>#N/A</v>
      </c>
      <c r="UXT30" t="e">
        <v>#N/A</v>
      </c>
      <c r="UXU30" t="e">
        <v>#N/A</v>
      </c>
      <c r="UXV30" t="e">
        <v>#N/A</v>
      </c>
      <c r="UXW30" t="e">
        <v>#N/A</v>
      </c>
      <c r="UXX30" t="e">
        <v>#N/A</v>
      </c>
      <c r="UXY30" t="e">
        <v>#N/A</v>
      </c>
      <c r="UXZ30" t="e">
        <v>#N/A</v>
      </c>
      <c r="UYA30" t="e">
        <v>#N/A</v>
      </c>
      <c r="UYB30" t="e">
        <v>#N/A</v>
      </c>
      <c r="UYC30" t="e">
        <v>#N/A</v>
      </c>
      <c r="UYD30" t="e">
        <v>#N/A</v>
      </c>
      <c r="UYE30" t="e">
        <v>#N/A</v>
      </c>
      <c r="UYF30" t="e">
        <v>#N/A</v>
      </c>
      <c r="UYG30" t="e">
        <v>#N/A</v>
      </c>
      <c r="UYH30" t="e">
        <v>#N/A</v>
      </c>
      <c r="UYI30" t="e">
        <v>#N/A</v>
      </c>
      <c r="UYJ30" t="e">
        <v>#N/A</v>
      </c>
      <c r="UYK30" t="e">
        <v>#N/A</v>
      </c>
      <c r="UYL30" t="e">
        <v>#N/A</v>
      </c>
      <c r="UYM30" t="e">
        <v>#N/A</v>
      </c>
      <c r="UYN30" t="e">
        <v>#N/A</v>
      </c>
      <c r="UYO30" t="e">
        <v>#N/A</v>
      </c>
      <c r="UYP30" t="e">
        <v>#N/A</v>
      </c>
      <c r="UYQ30" t="e">
        <v>#N/A</v>
      </c>
      <c r="UYR30" t="e">
        <v>#N/A</v>
      </c>
      <c r="UYS30" t="e">
        <v>#N/A</v>
      </c>
      <c r="UYT30" t="e">
        <v>#N/A</v>
      </c>
      <c r="UYU30" t="e">
        <v>#N/A</v>
      </c>
      <c r="UYV30" t="e">
        <v>#N/A</v>
      </c>
      <c r="UYW30" t="e">
        <v>#N/A</v>
      </c>
      <c r="UYX30" t="e">
        <v>#N/A</v>
      </c>
      <c r="UYY30" t="e">
        <v>#N/A</v>
      </c>
      <c r="UYZ30" t="e">
        <v>#N/A</v>
      </c>
      <c r="UZA30" t="e">
        <v>#N/A</v>
      </c>
      <c r="UZB30" t="e">
        <v>#N/A</v>
      </c>
      <c r="UZC30" t="e">
        <v>#N/A</v>
      </c>
      <c r="UZD30" t="e">
        <v>#N/A</v>
      </c>
      <c r="UZE30" t="e">
        <v>#N/A</v>
      </c>
      <c r="UZF30" t="e">
        <v>#N/A</v>
      </c>
      <c r="UZG30" t="e">
        <v>#N/A</v>
      </c>
      <c r="UZH30" t="e">
        <v>#N/A</v>
      </c>
      <c r="UZI30" t="e">
        <v>#N/A</v>
      </c>
      <c r="UZJ30" t="e">
        <v>#N/A</v>
      </c>
      <c r="UZK30" t="e">
        <v>#N/A</v>
      </c>
      <c r="UZL30" t="e">
        <v>#N/A</v>
      </c>
      <c r="UZM30" t="e">
        <v>#N/A</v>
      </c>
      <c r="UZN30" t="e">
        <v>#N/A</v>
      </c>
      <c r="UZO30" t="e">
        <v>#N/A</v>
      </c>
      <c r="UZP30" t="e">
        <v>#N/A</v>
      </c>
      <c r="UZQ30" t="e">
        <v>#N/A</v>
      </c>
      <c r="UZR30" t="e">
        <v>#N/A</v>
      </c>
      <c r="UZS30" t="e">
        <v>#N/A</v>
      </c>
      <c r="UZT30" t="e">
        <v>#N/A</v>
      </c>
      <c r="UZU30" t="e">
        <v>#N/A</v>
      </c>
      <c r="UZV30" t="e">
        <v>#N/A</v>
      </c>
      <c r="UZW30" t="e">
        <v>#N/A</v>
      </c>
      <c r="UZX30" t="e">
        <v>#N/A</v>
      </c>
      <c r="UZY30" t="e">
        <v>#N/A</v>
      </c>
      <c r="UZZ30" t="e">
        <v>#N/A</v>
      </c>
      <c r="VAA30" t="e">
        <v>#N/A</v>
      </c>
      <c r="VAB30" t="e">
        <v>#N/A</v>
      </c>
      <c r="VAC30" t="e">
        <v>#N/A</v>
      </c>
      <c r="VAD30" t="e">
        <v>#N/A</v>
      </c>
      <c r="VAE30" t="e">
        <v>#N/A</v>
      </c>
      <c r="VAF30" t="e">
        <v>#N/A</v>
      </c>
      <c r="VAG30" t="e">
        <v>#N/A</v>
      </c>
      <c r="VAH30" t="e">
        <v>#N/A</v>
      </c>
      <c r="VAI30" t="e">
        <v>#N/A</v>
      </c>
      <c r="VAJ30" t="e">
        <v>#N/A</v>
      </c>
      <c r="VAK30" t="e">
        <v>#N/A</v>
      </c>
      <c r="VAL30" t="e">
        <v>#N/A</v>
      </c>
      <c r="VAM30" t="e">
        <v>#N/A</v>
      </c>
      <c r="VAN30" t="e">
        <v>#N/A</v>
      </c>
      <c r="VAO30" t="e">
        <v>#N/A</v>
      </c>
      <c r="VAP30" t="e">
        <v>#N/A</v>
      </c>
      <c r="VAQ30" t="e">
        <v>#N/A</v>
      </c>
      <c r="VAR30" t="e">
        <v>#N/A</v>
      </c>
      <c r="VAS30" t="e">
        <v>#N/A</v>
      </c>
      <c r="VAT30" t="e">
        <v>#N/A</v>
      </c>
      <c r="VAU30" t="e">
        <v>#N/A</v>
      </c>
      <c r="VAV30" t="e">
        <v>#N/A</v>
      </c>
      <c r="VAW30" t="e">
        <v>#N/A</v>
      </c>
      <c r="VAX30" t="e">
        <v>#N/A</v>
      </c>
      <c r="VAY30" t="e">
        <v>#N/A</v>
      </c>
      <c r="VAZ30" t="e">
        <v>#N/A</v>
      </c>
      <c r="VBA30" t="e">
        <v>#N/A</v>
      </c>
      <c r="VBB30" t="e">
        <v>#N/A</v>
      </c>
      <c r="VBC30" t="e">
        <v>#N/A</v>
      </c>
      <c r="VBD30" t="e">
        <v>#N/A</v>
      </c>
      <c r="VBE30" t="e">
        <v>#N/A</v>
      </c>
      <c r="VBF30" t="e">
        <v>#N/A</v>
      </c>
      <c r="VBG30" t="e">
        <v>#N/A</v>
      </c>
      <c r="VBH30" t="e">
        <v>#N/A</v>
      </c>
      <c r="VBI30" t="e">
        <v>#N/A</v>
      </c>
      <c r="VBJ30" t="e">
        <v>#N/A</v>
      </c>
      <c r="VBK30" t="e">
        <v>#N/A</v>
      </c>
      <c r="VBL30" t="e">
        <v>#N/A</v>
      </c>
      <c r="VBM30" t="e">
        <v>#N/A</v>
      </c>
      <c r="VBN30" t="e">
        <v>#N/A</v>
      </c>
      <c r="VBO30" t="e">
        <v>#N/A</v>
      </c>
      <c r="VBP30" t="e">
        <v>#N/A</v>
      </c>
      <c r="VBQ30" t="e">
        <v>#N/A</v>
      </c>
      <c r="VBR30" t="e">
        <v>#N/A</v>
      </c>
      <c r="VBS30" t="e">
        <v>#N/A</v>
      </c>
      <c r="VBT30" t="e">
        <v>#N/A</v>
      </c>
      <c r="VBU30" t="e">
        <v>#N/A</v>
      </c>
      <c r="VBV30" t="e">
        <v>#N/A</v>
      </c>
      <c r="VBW30" t="e">
        <v>#N/A</v>
      </c>
      <c r="VBX30" t="e">
        <v>#N/A</v>
      </c>
      <c r="VBY30" t="e">
        <v>#N/A</v>
      </c>
      <c r="VBZ30" t="e">
        <v>#N/A</v>
      </c>
      <c r="VCA30" t="e">
        <v>#N/A</v>
      </c>
      <c r="VCB30" t="e">
        <v>#N/A</v>
      </c>
      <c r="VCC30" t="e">
        <v>#N/A</v>
      </c>
      <c r="VCD30" t="e">
        <v>#N/A</v>
      </c>
      <c r="VCE30" t="e">
        <v>#N/A</v>
      </c>
      <c r="VCF30" t="e">
        <v>#N/A</v>
      </c>
      <c r="VCG30" t="e">
        <v>#N/A</v>
      </c>
      <c r="VCH30" t="e">
        <v>#N/A</v>
      </c>
      <c r="VCI30" t="e">
        <v>#N/A</v>
      </c>
      <c r="VCJ30" t="e">
        <v>#N/A</v>
      </c>
      <c r="VCK30" t="e">
        <v>#N/A</v>
      </c>
      <c r="VCL30" t="e">
        <v>#N/A</v>
      </c>
      <c r="VCM30" t="e">
        <v>#N/A</v>
      </c>
      <c r="VCN30" t="e">
        <v>#N/A</v>
      </c>
      <c r="VCO30" t="e">
        <v>#N/A</v>
      </c>
      <c r="VCP30" t="e">
        <v>#N/A</v>
      </c>
      <c r="VCQ30" t="e">
        <v>#N/A</v>
      </c>
      <c r="VCR30" t="e">
        <v>#N/A</v>
      </c>
      <c r="VCS30" t="e">
        <v>#N/A</v>
      </c>
      <c r="VCT30" t="e">
        <v>#N/A</v>
      </c>
      <c r="VCU30" t="e">
        <v>#N/A</v>
      </c>
      <c r="VCV30" t="e">
        <v>#N/A</v>
      </c>
      <c r="VCW30" t="e">
        <v>#N/A</v>
      </c>
      <c r="VCX30" t="e">
        <v>#N/A</v>
      </c>
      <c r="VCY30" t="e">
        <v>#N/A</v>
      </c>
      <c r="VCZ30" t="e">
        <v>#N/A</v>
      </c>
      <c r="VDA30" t="e">
        <v>#N/A</v>
      </c>
      <c r="VDB30" t="e">
        <v>#N/A</v>
      </c>
      <c r="VDC30" t="e">
        <v>#N/A</v>
      </c>
      <c r="VDD30" t="e">
        <v>#N/A</v>
      </c>
      <c r="VDE30" t="e">
        <v>#N/A</v>
      </c>
      <c r="VDF30" t="e">
        <v>#N/A</v>
      </c>
      <c r="VDG30" t="e">
        <v>#N/A</v>
      </c>
      <c r="VDH30" t="e">
        <v>#N/A</v>
      </c>
      <c r="VDI30" t="e">
        <v>#N/A</v>
      </c>
      <c r="VDJ30" t="e">
        <v>#N/A</v>
      </c>
      <c r="VDK30" t="e">
        <v>#N/A</v>
      </c>
      <c r="VDL30" t="e">
        <v>#N/A</v>
      </c>
      <c r="VDM30" t="e">
        <v>#N/A</v>
      </c>
      <c r="VDN30" t="e">
        <v>#N/A</v>
      </c>
      <c r="VDO30" t="e">
        <v>#N/A</v>
      </c>
      <c r="VDP30" t="e">
        <v>#N/A</v>
      </c>
      <c r="VDQ30" t="e">
        <v>#N/A</v>
      </c>
      <c r="VDR30" t="e">
        <v>#N/A</v>
      </c>
      <c r="VDS30" t="e">
        <v>#N/A</v>
      </c>
      <c r="VDT30" t="e">
        <v>#N/A</v>
      </c>
      <c r="VDU30" t="e">
        <v>#N/A</v>
      </c>
      <c r="VDV30" t="e">
        <v>#N/A</v>
      </c>
      <c r="VDW30" t="e">
        <v>#N/A</v>
      </c>
      <c r="VDX30" t="e">
        <v>#N/A</v>
      </c>
      <c r="VDY30" t="e">
        <v>#N/A</v>
      </c>
      <c r="VDZ30" t="e">
        <v>#N/A</v>
      </c>
      <c r="VEA30" t="e">
        <v>#N/A</v>
      </c>
      <c r="VEB30" t="e">
        <v>#N/A</v>
      </c>
      <c r="VEC30" t="e">
        <v>#N/A</v>
      </c>
      <c r="VED30" t="e">
        <v>#N/A</v>
      </c>
      <c r="VEE30" t="e">
        <v>#N/A</v>
      </c>
      <c r="VEF30" t="e">
        <v>#N/A</v>
      </c>
      <c r="VEG30" t="e">
        <v>#N/A</v>
      </c>
      <c r="VEH30" t="e">
        <v>#N/A</v>
      </c>
      <c r="VEI30" t="e">
        <v>#N/A</v>
      </c>
      <c r="VEJ30" t="e">
        <v>#N/A</v>
      </c>
      <c r="VEK30" t="e">
        <v>#N/A</v>
      </c>
      <c r="VEL30" t="e">
        <v>#N/A</v>
      </c>
      <c r="VEM30" t="e">
        <v>#N/A</v>
      </c>
      <c r="VEN30" t="e">
        <v>#N/A</v>
      </c>
      <c r="VEO30" t="e">
        <v>#N/A</v>
      </c>
      <c r="VEP30" t="e">
        <v>#N/A</v>
      </c>
      <c r="VEQ30" t="e">
        <v>#N/A</v>
      </c>
      <c r="VER30" t="e">
        <v>#N/A</v>
      </c>
      <c r="VES30" t="e">
        <v>#N/A</v>
      </c>
      <c r="VET30" t="e">
        <v>#N/A</v>
      </c>
      <c r="VEU30" t="e">
        <v>#N/A</v>
      </c>
      <c r="VEV30" t="e">
        <v>#N/A</v>
      </c>
      <c r="VEW30" t="e">
        <v>#N/A</v>
      </c>
      <c r="VEX30" t="e">
        <v>#N/A</v>
      </c>
      <c r="VEY30" t="e">
        <v>#N/A</v>
      </c>
      <c r="VEZ30" t="e">
        <v>#N/A</v>
      </c>
      <c r="VFA30" t="e">
        <v>#N/A</v>
      </c>
      <c r="VFB30" t="e">
        <v>#N/A</v>
      </c>
      <c r="VFC30" t="e">
        <v>#N/A</v>
      </c>
      <c r="VFD30" t="e">
        <v>#N/A</v>
      </c>
      <c r="VFE30" t="e">
        <v>#N/A</v>
      </c>
      <c r="VFF30" t="e">
        <v>#N/A</v>
      </c>
      <c r="VFG30" t="e">
        <v>#N/A</v>
      </c>
      <c r="VFH30" t="e">
        <v>#N/A</v>
      </c>
      <c r="VFI30" t="e">
        <v>#N/A</v>
      </c>
      <c r="VFJ30" t="e">
        <v>#N/A</v>
      </c>
      <c r="VFK30" t="e">
        <v>#N/A</v>
      </c>
      <c r="VFL30" t="e">
        <v>#N/A</v>
      </c>
      <c r="VFM30" t="e">
        <v>#N/A</v>
      </c>
      <c r="VFN30" t="e">
        <v>#N/A</v>
      </c>
      <c r="VFO30" t="e">
        <v>#N/A</v>
      </c>
      <c r="VFP30" t="e">
        <v>#N/A</v>
      </c>
      <c r="VFQ30" t="e">
        <v>#N/A</v>
      </c>
      <c r="VFR30" t="e">
        <v>#N/A</v>
      </c>
      <c r="VFS30" t="e">
        <v>#N/A</v>
      </c>
      <c r="VFT30" t="e">
        <v>#N/A</v>
      </c>
      <c r="VFU30" t="e">
        <v>#N/A</v>
      </c>
      <c r="VFV30" t="e">
        <v>#N/A</v>
      </c>
      <c r="VFW30" t="e">
        <v>#N/A</v>
      </c>
      <c r="VFX30" t="e">
        <v>#N/A</v>
      </c>
      <c r="VFY30" t="e">
        <v>#N/A</v>
      </c>
      <c r="VFZ30" t="e">
        <v>#N/A</v>
      </c>
      <c r="VGA30" t="e">
        <v>#N/A</v>
      </c>
      <c r="VGB30" t="e">
        <v>#N/A</v>
      </c>
      <c r="VGC30" t="e">
        <v>#N/A</v>
      </c>
      <c r="VGD30" t="e">
        <v>#N/A</v>
      </c>
      <c r="VGE30" t="e">
        <v>#N/A</v>
      </c>
      <c r="VGF30" t="e">
        <v>#N/A</v>
      </c>
      <c r="VGG30" t="e">
        <v>#N/A</v>
      </c>
      <c r="VGH30" t="e">
        <v>#N/A</v>
      </c>
      <c r="VGI30" t="e">
        <v>#N/A</v>
      </c>
      <c r="VGJ30" t="e">
        <v>#N/A</v>
      </c>
      <c r="VGK30" t="e">
        <v>#N/A</v>
      </c>
      <c r="VGL30" t="e">
        <v>#N/A</v>
      </c>
      <c r="VGM30" t="e">
        <v>#N/A</v>
      </c>
      <c r="VGN30" t="e">
        <v>#N/A</v>
      </c>
      <c r="VGO30" t="e">
        <v>#N/A</v>
      </c>
      <c r="VGP30" t="e">
        <v>#N/A</v>
      </c>
      <c r="VGQ30" t="e">
        <v>#N/A</v>
      </c>
      <c r="VGR30" t="e">
        <v>#N/A</v>
      </c>
      <c r="VGS30" t="e">
        <v>#N/A</v>
      </c>
      <c r="VGT30" t="e">
        <v>#N/A</v>
      </c>
      <c r="VGU30" t="e">
        <v>#N/A</v>
      </c>
      <c r="VGV30" t="e">
        <v>#N/A</v>
      </c>
      <c r="VGW30" t="e">
        <v>#N/A</v>
      </c>
      <c r="VGX30" t="e">
        <v>#N/A</v>
      </c>
      <c r="VGY30" t="e">
        <v>#N/A</v>
      </c>
      <c r="VGZ30" t="e">
        <v>#N/A</v>
      </c>
      <c r="VHA30" t="e">
        <v>#N/A</v>
      </c>
      <c r="VHB30" t="e">
        <v>#N/A</v>
      </c>
      <c r="VHC30" t="e">
        <v>#N/A</v>
      </c>
      <c r="VHD30" t="e">
        <v>#N/A</v>
      </c>
      <c r="VHE30" t="e">
        <v>#N/A</v>
      </c>
      <c r="VHF30" t="e">
        <v>#N/A</v>
      </c>
      <c r="VHG30" t="e">
        <v>#N/A</v>
      </c>
      <c r="VHH30" t="e">
        <v>#N/A</v>
      </c>
      <c r="VHI30" t="e">
        <v>#N/A</v>
      </c>
      <c r="VHJ30" t="e">
        <v>#N/A</v>
      </c>
      <c r="VHK30" t="e">
        <v>#N/A</v>
      </c>
      <c r="VHL30" t="e">
        <v>#N/A</v>
      </c>
      <c r="VHM30" t="e">
        <v>#N/A</v>
      </c>
      <c r="VHN30" t="e">
        <v>#N/A</v>
      </c>
      <c r="VHO30" t="e">
        <v>#N/A</v>
      </c>
      <c r="VHP30" t="e">
        <v>#N/A</v>
      </c>
      <c r="VHQ30" t="e">
        <v>#N/A</v>
      </c>
      <c r="VHR30" t="e">
        <v>#N/A</v>
      </c>
      <c r="VHS30" t="e">
        <v>#N/A</v>
      </c>
      <c r="VHT30" t="e">
        <v>#N/A</v>
      </c>
      <c r="VHU30" t="e">
        <v>#N/A</v>
      </c>
      <c r="VHV30" t="e">
        <v>#N/A</v>
      </c>
      <c r="VHW30" t="e">
        <v>#N/A</v>
      </c>
      <c r="VHX30" t="e">
        <v>#N/A</v>
      </c>
      <c r="VHY30" t="e">
        <v>#N/A</v>
      </c>
      <c r="VHZ30" t="e">
        <v>#N/A</v>
      </c>
      <c r="VIA30" t="e">
        <v>#N/A</v>
      </c>
      <c r="VIB30" t="e">
        <v>#N/A</v>
      </c>
      <c r="VIC30" t="e">
        <v>#N/A</v>
      </c>
      <c r="VID30" t="e">
        <v>#N/A</v>
      </c>
      <c r="VIE30" t="e">
        <v>#N/A</v>
      </c>
      <c r="VIF30" t="e">
        <v>#N/A</v>
      </c>
      <c r="VIG30" t="e">
        <v>#N/A</v>
      </c>
      <c r="VIH30" t="e">
        <v>#N/A</v>
      </c>
      <c r="VII30" t="e">
        <v>#N/A</v>
      </c>
      <c r="VIJ30" t="e">
        <v>#N/A</v>
      </c>
      <c r="VIK30" t="e">
        <v>#N/A</v>
      </c>
      <c r="VIL30" t="e">
        <v>#N/A</v>
      </c>
      <c r="VIM30" t="e">
        <v>#N/A</v>
      </c>
      <c r="VIN30" t="e">
        <v>#N/A</v>
      </c>
      <c r="VIO30" t="e">
        <v>#N/A</v>
      </c>
      <c r="VIP30" t="e">
        <v>#N/A</v>
      </c>
      <c r="VIQ30" t="e">
        <v>#N/A</v>
      </c>
      <c r="VIR30" t="e">
        <v>#N/A</v>
      </c>
      <c r="VIS30" t="e">
        <v>#N/A</v>
      </c>
      <c r="VIT30" t="e">
        <v>#N/A</v>
      </c>
      <c r="VIU30" t="e">
        <v>#N/A</v>
      </c>
      <c r="VIV30" t="e">
        <v>#N/A</v>
      </c>
      <c r="VIW30" t="e">
        <v>#N/A</v>
      </c>
      <c r="VIX30" t="e">
        <v>#N/A</v>
      </c>
      <c r="VIY30" t="e">
        <v>#N/A</v>
      </c>
      <c r="VIZ30" t="e">
        <v>#N/A</v>
      </c>
      <c r="VJA30" t="e">
        <v>#N/A</v>
      </c>
      <c r="VJB30" t="e">
        <v>#N/A</v>
      </c>
      <c r="VJC30" t="e">
        <v>#N/A</v>
      </c>
      <c r="VJD30" t="e">
        <v>#N/A</v>
      </c>
      <c r="VJE30" t="e">
        <v>#N/A</v>
      </c>
      <c r="VJF30" t="e">
        <v>#N/A</v>
      </c>
      <c r="VJG30" t="e">
        <v>#N/A</v>
      </c>
      <c r="VJH30" t="e">
        <v>#N/A</v>
      </c>
      <c r="VJI30" t="e">
        <v>#N/A</v>
      </c>
      <c r="VJJ30" t="e">
        <v>#N/A</v>
      </c>
      <c r="VJK30" t="e">
        <v>#N/A</v>
      </c>
      <c r="VJL30" t="e">
        <v>#N/A</v>
      </c>
      <c r="VJM30" t="e">
        <v>#N/A</v>
      </c>
      <c r="VJN30" t="e">
        <v>#N/A</v>
      </c>
      <c r="VJO30" t="e">
        <v>#N/A</v>
      </c>
      <c r="VJP30" t="e">
        <v>#N/A</v>
      </c>
      <c r="VJQ30" t="e">
        <v>#N/A</v>
      </c>
      <c r="VJR30" t="e">
        <v>#N/A</v>
      </c>
      <c r="VJS30" t="e">
        <v>#N/A</v>
      </c>
      <c r="VJT30" t="e">
        <v>#N/A</v>
      </c>
      <c r="VJU30" t="e">
        <v>#N/A</v>
      </c>
      <c r="VJV30" t="e">
        <v>#N/A</v>
      </c>
      <c r="VJW30" t="e">
        <v>#N/A</v>
      </c>
      <c r="VJX30" t="e">
        <v>#N/A</v>
      </c>
      <c r="VJY30" t="e">
        <v>#N/A</v>
      </c>
      <c r="VJZ30" t="e">
        <v>#N/A</v>
      </c>
      <c r="VKA30" t="e">
        <v>#N/A</v>
      </c>
      <c r="VKB30" t="e">
        <v>#N/A</v>
      </c>
      <c r="VKC30" t="e">
        <v>#N/A</v>
      </c>
      <c r="VKD30" t="e">
        <v>#N/A</v>
      </c>
      <c r="VKE30" t="e">
        <v>#N/A</v>
      </c>
      <c r="VKF30" t="e">
        <v>#N/A</v>
      </c>
      <c r="VKG30" t="e">
        <v>#N/A</v>
      </c>
      <c r="VKH30" t="e">
        <v>#N/A</v>
      </c>
      <c r="VKI30" t="e">
        <v>#N/A</v>
      </c>
      <c r="VKJ30" t="e">
        <v>#N/A</v>
      </c>
      <c r="VKK30" t="e">
        <v>#N/A</v>
      </c>
      <c r="VKL30" t="e">
        <v>#N/A</v>
      </c>
      <c r="VKM30" t="e">
        <v>#N/A</v>
      </c>
      <c r="VKN30" t="e">
        <v>#N/A</v>
      </c>
      <c r="VKO30" t="e">
        <v>#N/A</v>
      </c>
      <c r="VKP30" t="e">
        <v>#N/A</v>
      </c>
      <c r="VKQ30" t="e">
        <v>#N/A</v>
      </c>
      <c r="VKR30" t="e">
        <v>#N/A</v>
      </c>
      <c r="VKS30" t="e">
        <v>#N/A</v>
      </c>
      <c r="VKT30" t="e">
        <v>#N/A</v>
      </c>
      <c r="VKU30" t="e">
        <v>#N/A</v>
      </c>
      <c r="VKV30" t="e">
        <v>#N/A</v>
      </c>
      <c r="VKW30" t="e">
        <v>#N/A</v>
      </c>
      <c r="VKX30" t="e">
        <v>#N/A</v>
      </c>
      <c r="VKY30" t="e">
        <v>#N/A</v>
      </c>
      <c r="VKZ30" t="e">
        <v>#N/A</v>
      </c>
      <c r="VLA30" t="e">
        <v>#N/A</v>
      </c>
      <c r="VLB30" t="e">
        <v>#N/A</v>
      </c>
      <c r="VLC30" t="e">
        <v>#N/A</v>
      </c>
      <c r="VLD30" t="e">
        <v>#N/A</v>
      </c>
      <c r="VLE30" t="e">
        <v>#N/A</v>
      </c>
      <c r="VLF30" t="e">
        <v>#N/A</v>
      </c>
      <c r="VLG30" t="e">
        <v>#N/A</v>
      </c>
      <c r="VLH30" t="e">
        <v>#N/A</v>
      </c>
      <c r="VLI30" t="e">
        <v>#N/A</v>
      </c>
      <c r="VLJ30" t="e">
        <v>#N/A</v>
      </c>
      <c r="VLK30" t="e">
        <v>#N/A</v>
      </c>
      <c r="VLL30" t="e">
        <v>#N/A</v>
      </c>
      <c r="VLM30" t="e">
        <v>#N/A</v>
      </c>
      <c r="VLN30" t="e">
        <v>#N/A</v>
      </c>
      <c r="VLO30" t="e">
        <v>#N/A</v>
      </c>
      <c r="VLP30" t="e">
        <v>#N/A</v>
      </c>
      <c r="VLQ30" t="e">
        <v>#N/A</v>
      </c>
      <c r="VLR30" t="e">
        <v>#N/A</v>
      </c>
      <c r="VLS30" t="e">
        <v>#N/A</v>
      </c>
      <c r="VLT30" t="e">
        <v>#N/A</v>
      </c>
      <c r="VLU30" t="e">
        <v>#N/A</v>
      </c>
      <c r="VLV30" t="e">
        <v>#N/A</v>
      </c>
      <c r="VLW30" t="e">
        <v>#N/A</v>
      </c>
      <c r="VLX30" t="e">
        <v>#N/A</v>
      </c>
      <c r="VLY30" t="e">
        <v>#N/A</v>
      </c>
      <c r="VLZ30" t="e">
        <v>#N/A</v>
      </c>
      <c r="VMA30" t="e">
        <v>#N/A</v>
      </c>
      <c r="VMB30" t="e">
        <v>#N/A</v>
      </c>
      <c r="VMC30" t="e">
        <v>#N/A</v>
      </c>
      <c r="VMD30" t="e">
        <v>#N/A</v>
      </c>
      <c r="VME30" t="e">
        <v>#N/A</v>
      </c>
      <c r="VMF30" t="e">
        <v>#N/A</v>
      </c>
      <c r="VMG30" t="e">
        <v>#N/A</v>
      </c>
      <c r="VMH30" t="e">
        <v>#N/A</v>
      </c>
      <c r="VMI30" t="e">
        <v>#N/A</v>
      </c>
      <c r="VMJ30" t="e">
        <v>#N/A</v>
      </c>
      <c r="VMK30" t="e">
        <v>#N/A</v>
      </c>
      <c r="VML30" t="e">
        <v>#N/A</v>
      </c>
      <c r="VMM30" t="e">
        <v>#N/A</v>
      </c>
      <c r="VMN30" t="e">
        <v>#N/A</v>
      </c>
      <c r="VMO30" t="e">
        <v>#N/A</v>
      </c>
      <c r="VMP30" t="e">
        <v>#N/A</v>
      </c>
      <c r="VMQ30" t="e">
        <v>#N/A</v>
      </c>
      <c r="VMR30" t="e">
        <v>#N/A</v>
      </c>
      <c r="VMS30" t="e">
        <v>#N/A</v>
      </c>
      <c r="VMT30" t="e">
        <v>#N/A</v>
      </c>
      <c r="VMU30" t="e">
        <v>#N/A</v>
      </c>
      <c r="VMV30" t="e">
        <v>#N/A</v>
      </c>
      <c r="VMW30" t="e">
        <v>#N/A</v>
      </c>
      <c r="VMX30" t="e">
        <v>#N/A</v>
      </c>
      <c r="VMY30" t="e">
        <v>#N/A</v>
      </c>
      <c r="VMZ30" t="e">
        <v>#N/A</v>
      </c>
      <c r="VNA30" t="e">
        <v>#N/A</v>
      </c>
      <c r="VNB30" t="e">
        <v>#N/A</v>
      </c>
      <c r="VNC30" t="e">
        <v>#N/A</v>
      </c>
      <c r="VND30" t="e">
        <v>#N/A</v>
      </c>
      <c r="VNE30" t="e">
        <v>#N/A</v>
      </c>
      <c r="VNF30" t="e">
        <v>#N/A</v>
      </c>
      <c r="VNG30" t="e">
        <v>#N/A</v>
      </c>
      <c r="VNH30" t="e">
        <v>#N/A</v>
      </c>
      <c r="VNI30" t="e">
        <v>#N/A</v>
      </c>
      <c r="VNJ30" t="e">
        <v>#N/A</v>
      </c>
      <c r="VNK30" t="e">
        <v>#N/A</v>
      </c>
      <c r="VNL30" t="e">
        <v>#N/A</v>
      </c>
      <c r="VNM30" t="e">
        <v>#N/A</v>
      </c>
      <c r="VNN30" t="e">
        <v>#N/A</v>
      </c>
      <c r="VNO30" t="e">
        <v>#N/A</v>
      </c>
      <c r="VNP30" t="e">
        <v>#N/A</v>
      </c>
      <c r="VNQ30" t="e">
        <v>#N/A</v>
      </c>
      <c r="VNR30" t="e">
        <v>#N/A</v>
      </c>
      <c r="VNS30" t="e">
        <v>#N/A</v>
      </c>
      <c r="VNT30" t="e">
        <v>#N/A</v>
      </c>
      <c r="VNU30" t="e">
        <v>#N/A</v>
      </c>
      <c r="VNV30" t="e">
        <v>#N/A</v>
      </c>
      <c r="VNW30" t="e">
        <v>#N/A</v>
      </c>
      <c r="VNX30" t="e">
        <v>#N/A</v>
      </c>
      <c r="VNY30" t="e">
        <v>#N/A</v>
      </c>
      <c r="VNZ30" t="e">
        <v>#N/A</v>
      </c>
      <c r="VOA30" t="e">
        <v>#N/A</v>
      </c>
      <c r="VOB30" t="e">
        <v>#N/A</v>
      </c>
      <c r="VOC30" t="e">
        <v>#N/A</v>
      </c>
      <c r="VOD30" t="e">
        <v>#N/A</v>
      </c>
      <c r="VOE30" t="e">
        <v>#N/A</v>
      </c>
      <c r="VOF30" t="e">
        <v>#N/A</v>
      </c>
      <c r="VOG30" t="e">
        <v>#N/A</v>
      </c>
      <c r="VOH30" t="e">
        <v>#N/A</v>
      </c>
      <c r="VOI30" t="e">
        <v>#N/A</v>
      </c>
      <c r="VOJ30" t="e">
        <v>#N/A</v>
      </c>
      <c r="VOK30" t="e">
        <v>#N/A</v>
      </c>
      <c r="VOL30" t="e">
        <v>#N/A</v>
      </c>
      <c r="VOM30" t="e">
        <v>#N/A</v>
      </c>
      <c r="VON30" t="e">
        <v>#N/A</v>
      </c>
      <c r="VOO30" t="e">
        <v>#N/A</v>
      </c>
      <c r="VOP30" t="e">
        <v>#N/A</v>
      </c>
      <c r="VOQ30" t="e">
        <v>#N/A</v>
      </c>
      <c r="VOR30" t="e">
        <v>#N/A</v>
      </c>
      <c r="VOS30" t="e">
        <v>#N/A</v>
      </c>
      <c r="VOT30" t="e">
        <v>#N/A</v>
      </c>
      <c r="VOU30" t="e">
        <v>#N/A</v>
      </c>
      <c r="VOV30" t="e">
        <v>#N/A</v>
      </c>
      <c r="VOW30" t="e">
        <v>#N/A</v>
      </c>
      <c r="VOX30" t="e">
        <v>#N/A</v>
      </c>
      <c r="VOY30" t="e">
        <v>#N/A</v>
      </c>
      <c r="VOZ30" t="e">
        <v>#N/A</v>
      </c>
      <c r="VPA30" t="e">
        <v>#N/A</v>
      </c>
      <c r="VPB30" t="e">
        <v>#N/A</v>
      </c>
      <c r="VPC30" t="e">
        <v>#N/A</v>
      </c>
      <c r="VPD30" t="e">
        <v>#N/A</v>
      </c>
      <c r="VPE30" t="e">
        <v>#N/A</v>
      </c>
      <c r="VPF30" t="e">
        <v>#N/A</v>
      </c>
      <c r="VPG30" t="e">
        <v>#N/A</v>
      </c>
      <c r="VPH30" t="e">
        <v>#N/A</v>
      </c>
      <c r="VPI30" t="e">
        <v>#N/A</v>
      </c>
      <c r="VPJ30" t="e">
        <v>#N/A</v>
      </c>
      <c r="VPK30" t="e">
        <v>#N/A</v>
      </c>
      <c r="VPL30" t="e">
        <v>#N/A</v>
      </c>
      <c r="VPM30" t="e">
        <v>#N/A</v>
      </c>
      <c r="VPN30" t="e">
        <v>#N/A</v>
      </c>
      <c r="VPO30" t="e">
        <v>#N/A</v>
      </c>
      <c r="VPP30" t="e">
        <v>#N/A</v>
      </c>
      <c r="VPQ30" t="e">
        <v>#N/A</v>
      </c>
      <c r="VPR30" t="e">
        <v>#N/A</v>
      </c>
      <c r="VPS30" t="e">
        <v>#N/A</v>
      </c>
      <c r="VPT30" t="e">
        <v>#N/A</v>
      </c>
      <c r="VPU30" t="e">
        <v>#N/A</v>
      </c>
      <c r="VPV30" t="e">
        <v>#N/A</v>
      </c>
      <c r="VPW30" t="e">
        <v>#N/A</v>
      </c>
      <c r="VPX30" t="e">
        <v>#N/A</v>
      </c>
      <c r="VPY30" t="e">
        <v>#N/A</v>
      </c>
      <c r="VPZ30" t="e">
        <v>#N/A</v>
      </c>
      <c r="VQA30" t="e">
        <v>#N/A</v>
      </c>
      <c r="VQB30" t="e">
        <v>#N/A</v>
      </c>
      <c r="VQC30" t="e">
        <v>#N/A</v>
      </c>
      <c r="VQD30" t="e">
        <v>#N/A</v>
      </c>
      <c r="VQE30" t="e">
        <v>#N/A</v>
      </c>
      <c r="VQF30" t="e">
        <v>#N/A</v>
      </c>
      <c r="VQG30" t="e">
        <v>#N/A</v>
      </c>
      <c r="VQH30" t="e">
        <v>#N/A</v>
      </c>
      <c r="VQI30" t="e">
        <v>#N/A</v>
      </c>
      <c r="VQJ30" t="e">
        <v>#N/A</v>
      </c>
      <c r="VQK30" t="e">
        <v>#N/A</v>
      </c>
      <c r="VQL30" t="e">
        <v>#N/A</v>
      </c>
      <c r="VQM30" t="e">
        <v>#N/A</v>
      </c>
      <c r="VQN30" t="e">
        <v>#N/A</v>
      </c>
      <c r="VQO30" t="e">
        <v>#N/A</v>
      </c>
      <c r="VQP30" t="e">
        <v>#N/A</v>
      </c>
      <c r="VQQ30" t="e">
        <v>#N/A</v>
      </c>
      <c r="VQR30" t="e">
        <v>#N/A</v>
      </c>
      <c r="VQS30" t="e">
        <v>#N/A</v>
      </c>
      <c r="VQT30" t="e">
        <v>#N/A</v>
      </c>
      <c r="VQU30" t="e">
        <v>#N/A</v>
      </c>
      <c r="VQV30" t="e">
        <v>#N/A</v>
      </c>
      <c r="VQW30" t="e">
        <v>#N/A</v>
      </c>
      <c r="VQX30" t="e">
        <v>#N/A</v>
      </c>
      <c r="VQY30" t="e">
        <v>#N/A</v>
      </c>
      <c r="VQZ30" t="e">
        <v>#N/A</v>
      </c>
      <c r="VRA30" t="e">
        <v>#N/A</v>
      </c>
      <c r="VRB30" t="e">
        <v>#N/A</v>
      </c>
      <c r="VRC30" t="e">
        <v>#N/A</v>
      </c>
      <c r="VRD30" t="e">
        <v>#N/A</v>
      </c>
      <c r="VRE30" t="e">
        <v>#N/A</v>
      </c>
      <c r="VRF30" t="e">
        <v>#N/A</v>
      </c>
      <c r="VRG30" t="e">
        <v>#N/A</v>
      </c>
      <c r="VRH30" t="e">
        <v>#N/A</v>
      </c>
      <c r="VRI30" t="e">
        <v>#N/A</v>
      </c>
      <c r="VRJ30" t="e">
        <v>#N/A</v>
      </c>
      <c r="VRK30" t="e">
        <v>#N/A</v>
      </c>
      <c r="VRL30" t="e">
        <v>#N/A</v>
      </c>
      <c r="VRM30" t="e">
        <v>#N/A</v>
      </c>
      <c r="VRN30" t="e">
        <v>#N/A</v>
      </c>
      <c r="VRO30" t="e">
        <v>#N/A</v>
      </c>
      <c r="VRP30" t="e">
        <v>#N/A</v>
      </c>
      <c r="VRQ30" t="e">
        <v>#N/A</v>
      </c>
      <c r="VRR30" t="e">
        <v>#N/A</v>
      </c>
      <c r="VRS30" t="e">
        <v>#N/A</v>
      </c>
      <c r="VRT30" t="e">
        <v>#N/A</v>
      </c>
      <c r="VRU30" t="e">
        <v>#N/A</v>
      </c>
      <c r="VRV30" t="e">
        <v>#N/A</v>
      </c>
      <c r="VRW30" t="e">
        <v>#N/A</v>
      </c>
      <c r="VRX30" t="e">
        <v>#N/A</v>
      </c>
      <c r="VRY30" t="e">
        <v>#N/A</v>
      </c>
      <c r="VRZ30" t="e">
        <v>#N/A</v>
      </c>
      <c r="VSA30" t="e">
        <v>#N/A</v>
      </c>
      <c r="VSB30" t="e">
        <v>#N/A</v>
      </c>
      <c r="VSC30" t="e">
        <v>#N/A</v>
      </c>
      <c r="VSD30" t="e">
        <v>#N/A</v>
      </c>
      <c r="VSE30" t="e">
        <v>#N/A</v>
      </c>
      <c r="VSF30" t="e">
        <v>#N/A</v>
      </c>
      <c r="VSG30" t="e">
        <v>#N/A</v>
      </c>
      <c r="VSH30" t="e">
        <v>#N/A</v>
      </c>
      <c r="VSI30" t="e">
        <v>#N/A</v>
      </c>
      <c r="VSJ30" t="e">
        <v>#N/A</v>
      </c>
      <c r="VSK30" t="e">
        <v>#N/A</v>
      </c>
      <c r="VSL30" t="e">
        <v>#N/A</v>
      </c>
      <c r="VSM30" t="e">
        <v>#N/A</v>
      </c>
      <c r="VSN30" t="e">
        <v>#N/A</v>
      </c>
      <c r="VSO30" t="e">
        <v>#N/A</v>
      </c>
      <c r="VSP30" t="e">
        <v>#N/A</v>
      </c>
      <c r="VSQ30" t="e">
        <v>#N/A</v>
      </c>
      <c r="VSR30" t="e">
        <v>#N/A</v>
      </c>
      <c r="VSS30" t="e">
        <v>#N/A</v>
      </c>
      <c r="VST30" t="e">
        <v>#N/A</v>
      </c>
      <c r="VSU30" t="e">
        <v>#N/A</v>
      </c>
      <c r="VSV30" t="e">
        <v>#N/A</v>
      </c>
      <c r="VSW30" t="e">
        <v>#N/A</v>
      </c>
      <c r="VSX30" t="e">
        <v>#N/A</v>
      </c>
      <c r="VSY30" t="e">
        <v>#N/A</v>
      </c>
      <c r="VSZ30" t="e">
        <v>#N/A</v>
      </c>
      <c r="VTA30" t="e">
        <v>#N/A</v>
      </c>
      <c r="VTB30" t="e">
        <v>#N/A</v>
      </c>
      <c r="VTC30" t="e">
        <v>#N/A</v>
      </c>
      <c r="VTD30" t="e">
        <v>#N/A</v>
      </c>
      <c r="VTE30" t="e">
        <v>#N/A</v>
      </c>
      <c r="VTF30" t="e">
        <v>#N/A</v>
      </c>
      <c r="VTG30" t="e">
        <v>#N/A</v>
      </c>
      <c r="VTH30" t="e">
        <v>#N/A</v>
      </c>
      <c r="VTI30" t="e">
        <v>#N/A</v>
      </c>
      <c r="VTJ30" t="e">
        <v>#N/A</v>
      </c>
      <c r="VTK30" t="e">
        <v>#N/A</v>
      </c>
      <c r="VTL30" t="e">
        <v>#N/A</v>
      </c>
      <c r="VTM30" t="e">
        <v>#N/A</v>
      </c>
      <c r="VTN30" t="e">
        <v>#N/A</v>
      </c>
      <c r="VTO30" t="e">
        <v>#N/A</v>
      </c>
      <c r="VTP30" t="e">
        <v>#N/A</v>
      </c>
      <c r="VTQ30" t="e">
        <v>#N/A</v>
      </c>
      <c r="VTR30" t="e">
        <v>#N/A</v>
      </c>
      <c r="VTS30" t="e">
        <v>#N/A</v>
      </c>
      <c r="VTT30" t="e">
        <v>#N/A</v>
      </c>
      <c r="VTU30" t="e">
        <v>#N/A</v>
      </c>
      <c r="VTV30" t="e">
        <v>#N/A</v>
      </c>
      <c r="VTW30" t="e">
        <v>#N/A</v>
      </c>
      <c r="VTX30" t="e">
        <v>#N/A</v>
      </c>
      <c r="VTY30" t="e">
        <v>#N/A</v>
      </c>
      <c r="VTZ30" t="e">
        <v>#N/A</v>
      </c>
      <c r="VUA30" t="e">
        <v>#N/A</v>
      </c>
      <c r="VUB30" t="e">
        <v>#N/A</v>
      </c>
      <c r="VUC30" t="e">
        <v>#N/A</v>
      </c>
      <c r="VUD30" t="e">
        <v>#N/A</v>
      </c>
      <c r="VUE30" t="e">
        <v>#N/A</v>
      </c>
      <c r="VUF30" t="e">
        <v>#N/A</v>
      </c>
      <c r="VUG30" t="e">
        <v>#N/A</v>
      </c>
      <c r="VUH30" t="e">
        <v>#N/A</v>
      </c>
      <c r="VUI30" t="e">
        <v>#N/A</v>
      </c>
      <c r="VUJ30" t="e">
        <v>#N/A</v>
      </c>
      <c r="VUK30" t="e">
        <v>#N/A</v>
      </c>
      <c r="VUL30" t="e">
        <v>#N/A</v>
      </c>
      <c r="VUM30" t="e">
        <v>#N/A</v>
      </c>
      <c r="VUN30" t="e">
        <v>#N/A</v>
      </c>
      <c r="VUO30" t="e">
        <v>#N/A</v>
      </c>
      <c r="VUP30" t="e">
        <v>#N/A</v>
      </c>
      <c r="VUQ30" t="e">
        <v>#N/A</v>
      </c>
      <c r="VUR30" t="e">
        <v>#N/A</v>
      </c>
      <c r="VUS30" t="e">
        <v>#N/A</v>
      </c>
      <c r="VUT30" t="e">
        <v>#N/A</v>
      </c>
      <c r="VUU30" t="e">
        <v>#N/A</v>
      </c>
      <c r="VUV30" t="e">
        <v>#N/A</v>
      </c>
      <c r="VUW30" t="e">
        <v>#N/A</v>
      </c>
      <c r="VUX30" t="e">
        <v>#N/A</v>
      </c>
      <c r="VUY30" t="e">
        <v>#N/A</v>
      </c>
      <c r="VUZ30" t="e">
        <v>#N/A</v>
      </c>
      <c r="VVA30" t="e">
        <v>#N/A</v>
      </c>
      <c r="VVB30" t="e">
        <v>#N/A</v>
      </c>
      <c r="VVC30" t="e">
        <v>#N/A</v>
      </c>
      <c r="VVD30" t="e">
        <v>#N/A</v>
      </c>
      <c r="VVE30" t="e">
        <v>#N/A</v>
      </c>
      <c r="VVF30" t="e">
        <v>#N/A</v>
      </c>
      <c r="VVG30" t="e">
        <v>#N/A</v>
      </c>
      <c r="VVH30" t="e">
        <v>#N/A</v>
      </c>
      <c r="VVI30" t="e">
        <v>#N/A</v>
      </c>
      <c r="VVJ30" t="e">
        <v>#N/A</v>
      </c>
      <c r="VVK30" t="e">
        <v>#N/A</v>
      </c>
      <c r="VVL30" t="e">
        <v>#N/A</v>
      </c>
      <c r="VVM30" t="e">
        <v>#N/A</v>
      </c>
      <c r="VVN30" t="e">
        <v>#N/A</v>
      </c>
      <c r="VVO30" t="e">
        <v>#N/A</v>
      </c>
      <c r="VVP30" t="e">
        <v>#N/A</v>
      </c>
      <c r="VVQ30" t="e">
        <v>#N/A</v>
      </c>
      <c r="VVR30" t="e">
        <v>#N/A</v>
      </c>
      <c r="VVS30" t="e">
        <v>#N/A</v>
      </c>
      <c r="VVT30" t="e">
        <v>#N/A</v>
      </c>
      <c r="VVU30" t="e">
        <v>#N/A</v>
      </c>
      <c r="VVV30" t="e">
        <v>#N/A</v>
      </c>
      <c r="VVW30" t="e">
        <v>#N/A</v>
      </c>
      <c r="VVX30" t="e">
        <v>#N/A</v>
      </c>
      <c r="VVY30" t="e">
        <v>#N/A</v>
      </c>
      <c r="VVZ30" t="e">
        <v>#N/A</v>
      </c>
      <c r="VWA30" t="e">
        <v>#N/A</v>
      </c>
      <c r="VWB30" t="e">
        <v>#N/A</v>
      </c>
      <c r="VWC30" t="e">
        <v>#N/A</v>
      </c>
      <c r="VWD30" t="e">
        <v>#N/A</v>
      </c>
      <c r="VWE30" t="e">
        <v>#N/A</v>
      </c>
      <c r="VWF30" t="e">
        <v>#N/A</v>
      </c>
      <c r="VWG30" t="e">
        <v>#N/A</v>
      </c>
      <c r="VWH30" t="e">
        <v>#N/A</v>
      </c>
      <c r="VWI30" t="e">
        <v>#N/A</v>
      </c>
      <c r="VWJ30" t="e">
        <v>#N/A</v>
      </c>
      <c r="VWK30" t="e">
        <v>#N/A</v>
      </c>
      <c r="VWL30" t="e">
        <v>#N/A</v>
      </c>
      <c r="VWM30" t="e">
        <v>#N/A</v>
      </c>
      <c r="VWN30" t="e">
        <v>#N/A</v>
      </c>
      <c r="VWO30" t="e">
        <v>#N/A</v>
      </c>
      <c r="VWP30" t="e">
        <v>#N/A</v>
      </c>
      <c r="VWQ30" t="e">
        <v>#N/A</v>
      </c>
      <c r="VWR30" t="e">
        <v>#N/A</v>
      </c>
      <c r="VWS30" t="e">
        <v>#N/A</v>
      </c>
      <c r="VWT30" t="e">
        <v>#N/A</v>
      </c>
      <c r="VWU30" t="e">
        <v>#N/A</v>
      </c>
      <c r="VWV30" t="e">
        <v>#N/A</v>
      </c>
      <c r="VWW30" t="e">
        <v>#N/A</v>
      </c>
      <c r="VWX30" t="e">
        <v>#N/A</v>
      </c>
      <c r="VWY30" t="e">
        <v>#N/A</v>
      </c>
      <c r="VWZ30" t="e">
        <v>#N/A</v>
      </c>
      <c r="VXA30" t="e">
        <v>#N/A</v>
      </c>
      <c r="VXB30" t="e">
        <v>#N/A</v>
      </c>
      <c r="VXC30" t="e">
        <v>#N/A</v>
      </c>
      <c r="VXD30" t="e">
        <v>#N/A</v>
      </c>
      <c r="VXE30" t="e">
        <v>#N/A</v>
      </c>
      <c r="VXF30" t="e">
        <v>#N/A</v>
      </c>
      <c r="VXG30" t="e">
        <v>#N/A</v>
      </c>
      <c r="VXH30" t="e">
        <v>#N/A</v>
      </c>
      <c r="VXI30" t="e">
        <v>#N/A</v>
      </c>
      <c r="VXJ30" t="e">
        <v>#N/A</v>
      </c>
      <c r="VXK30" t="e">
        <v>#N/A</v>
      </c>
      <c r="VXL30" t="e">
        <v>#N/A</v>
      </c>
      <c r="VXM30" t="e">
        <v>#N/A</v>
      </c>
      <c r="VXN30" t="e">
        <v>#N/A</v>
      </c>
      <c r="VXO30" t="e">
        <v>#N/A</v>
      </c>
      <c r="VXP30" t="e">
        <v>#N/A</v>
      </c>
      <c r="VXQ30" t="e">
        <v>#N/A</v>
      </c>
      <c r="VXR30" t="e">
        <v>#N/A</v>
      </c>
      <c r="VXS30" t="e">
        <v>#N/A</v>
      </c>
      <c r="VXT30" t="e">
        <v>#N/A</v>
      </c>
      <c r="VXU30" t="e">
        <v>#N/A</v>
      </c>
      <c r="VXV30" t="e">
        <v>#N/A</v>
      </c>
      <c r="VXW30" t="e">
        <v>#N/A</v>
      </c>
      <c r="VXX30" t="e">
        <v>#N/A</v>
      </c>
      <c r="VXY30" t="e">
        <v>#N/A</v>
      </c>
      <c r="VXZ30" t="e">
        <v>#N/A</v>
      </c>
      <c r="VYA30" t="e">
        <v>#N/A</v>
      </c>
      <c r="VYB30" t="e">
        <v>#N/A</v>
      </c>
      <c r="VYC30" t="e">
        <v>#N/A</v>
      </c>
      <c r="VYD30" t="e">
        <v>#N/A</v>
      </c>
      <c r="VYE30" t="e">
        <v>#N/A</v>
      </c>
      <c r="VYF30" t="e">
        <v>#N/A</v>
      </c>
      <c r="VYG30" t="e">
        <v>#N/A</v>
      </c>
      <c r="VYH30" t="e">
        <v>#N/A</v>
      </c>
      <c r="VYI30" t="e">
        <v>#N/A</v>
      </c>
      <c r="VYJ30" t="e">
        <v>#N/A</v>
      </c>
      <c r="VYK30" t="e">
        <v>#N/A</v>
      </c>
      <c r="VYL30" t="e">
        <v>#N/A</v>
      </c>
      <c r="VYM30" t="e">
        <v>#N/A</v>
      </c>
      <c r="VYN30" t="e">
        <v>#N/A</v>
      </c>
      <c r="VYO30" t="e">
        <v>#N/A</v>
      </c>
      <c r="VYP30" t="e">
        <v>#N/A</v>
      </c>
      <c r="VYQ30" t="e">
        <v>#N/A</v>
      </c>
      <c r="VYR30" t="e">
        <v>#N/A</v>
      </c>
      <c r="VYS30" t="e">
        <v>#N/A</v>
      </c>
      <c r="VYT30" t="e">
        <v>#N/A</v>
      </c>
      <c r="VYU30" t="e">
        <v>#N/A</v>
      </c>
      <c r="VYV30" t="e">
        <v>#N/A</v>
      </c>
      <c r="VYW30" t="e">
        <v>#N/A</v>
      </c>
      <c r="VYX30" t="e">
        <v>#N/A</v>
      </c>
      <c r="VYY30" t="e">
        <v>#N/A</v>
      </c>
      <c r="VYZ30" t="e">
        <v>#N/A</v>
      </c>
      <c r="VZA30" t="e">
        <v>#N/A</v>
      </c>
      <c r="VZB30" t="e">
        <v>#N/A</v>
      </c>
      <c r="VZC30" t="e">
        <v>#N/A</v>
      </c>
      <c r="VZD30" t="e">
        <v>#N/A</v>
      </c>
      <c r="VZE30" t="e">
        <v>#N/A</v>
      </c>
      <c r="VZF30" t="e">
        <v>#N/A</v>
      </c>
      <c r="VZG30" t="e">
        <v>#N/A</v>
      </c>
      <c r="VZH30" t="e">
        <v>#N/A</v>
      </c>
      <c r="VZI30" t="e">
        <v>#N/A</v>
      </c>
      <c r="VZJ30" t="e">
        <v>#N/A</v>
      </c>
      <c r="VZK30" t="e">
        <v>#N/A</v>
      </c>
      <c r="VZL30" t="e">
        <v>#N/A</v>
      </c>
      <c r="VZM30" t="e">
        <v>#N/A</v>
      </c>
      <c r="VZN30" t="e">
        <v>#N/A</v>
      </c>
      <c r="VZO30" t="e">
        <v>#N/A</v>
      </c>
      <c r="VZP30" t="e">
        <v>#N/A</v>
      </c>
      <c r="VZQ30" t="e">
        <v>#N/A</v>
      </c>
      <c r="VZR30" t="e">
        <v>#N/A</v>
      </c>
      <c r="VZS30" t="e">
        <v>#N/A</v>
      </c>
      <c r="VZT30" t="e">
        <v>#N/A</v>
      </c>
      <c r="VZU30" t="e">
        <v>#N/A</v>
      </c>
      <c r="VZV30" t="e">
        <v>#N/A</v>
      </c>
      <c r="VZW30" t="e">
        <v>#N/A</v>
      </c>
      <c r="VZX30" t="e">
        <v>#N/A</v>
      </c>
      <c r="VZY30" t="e">
        <v>#N/A</v>
      </c>
      <c r="VZZ30" t="e">
        <v>#N/A</v>
      </c>
      <c r="WAA30" t="e">
        <v>#N/A</v>
      </c>
      <c r="WAB30" t="e">
        <v>#N/A</v>
      </c>
      <c r="WAC30" t="e">
        <v>#N/A</v>
      </c>
      <c r="WAD30" t="e">
        <v>#N/A</v>
      </c>
      <c r="WAE30" t="e">
        <v>#N/A</v>
      </c>
      <c r="WAF30" t="e">
        <v>#N/A</v>
      </c>
      <c r="WAG30" t="e">
        <v>#N/A</v>
      </c>
      <c r="WAH30" t="e">
        <v>#N/A</v>
      </c>
      <c r="WAI30" t="e">
        <v>#N/A</v>
      </c>
      <c r="WAJ30" t="e">
        <v>#N/A</v>
      </c>
      <c r="WAK30" t="e">
        <v>#N/A</v>
      </c>
      <c r="WAL30" t="e">
        <v>#N/A</v>
      </c>
      <c r="WAM30" t="e">
        <v>#N/A</v>
      </c>
      <c r="WAN30" t="e">
        <v>#N/A</v>
      </c>
      <c r="WAO30" t="e">
        <v>#N/A</v>
      </c>
      <c r="WAP30" t="e">
        <v>#N/A</v>
      </c>
      <c r="WAQ30" t="e">
        <v>#N/A</v>
      </c>
      <c r="WAR30" t="e">
        <v>#N/A</v>
      </c>
      <c r="WAS30" t="e">
        <v>#N/A</v>
      </c>
      <c r="WAT30" t="e">
        <v>#N/A</v>
      </c>
      <c r="WAU30" t="e">
        <v>#N/A</v>
      </c>
      <c r="WAV30" t="e">
        <v>#N/A</v>
      </c>
      <c r="WAW30" t="e">
        <v>#N/A</v>
      </c>
      <c r="WAX30" t="e">
        <v>#N/A</v>
      </c>
      <c r="WAY30" t="e">
        <v>#N/A</v>
      </c>
      <c r="WAZ30" t="e">
        <v>#N/A</v>
      </c>
      <c r="WBA30" t="e">
        <v>#N/A</v>
      </c>
      <c r="WBB30" t="e">
        <v>#N/A</v>
      </c>
      <c r="WBC30" t="e">
        <v>#N/A</v>
      </c>
      <c r="WBD30" t="e">
        <v>#N/A</v>
      </c>
      <c r="WBE30" t="e">
        <v>#N/A</v>
      </c>
      <c r="WBF30" t="e">
        <v>#N/A</v>
      </c>
      <c r="WBG30" t="e">
        <v>#N/A</v>
      </c>
      <c r="WBH30" t="e">
        <v>#N/A</v>
      </c>
      <c r="WBI30" t="e">
        <v>#N/A</v>
      </c>
      <c r="WBJ30" t="e">
        <v>#N/A</v>
      </c>
      <c r="WBK30" t="e">
        <v>#N/A</v>
      </c>
      <c r="WBL30" t="e">
        <v>#N/A</v>
      </c>
      <c r="WBM30" t="e">
        <v>#N/A</v>
      </c>
      <c r="WBN30" t="e">
        <v>#N/A</v>
      </c>
      <c r="WBO30" t="e">
        <v>#N/A</v>
      </c>
      <c r="WBP30" t="e">
        <v>#N/A</v>
      </c>
      <c r="WBQ30" t="e">
        <v>#N/A</v>
      </c>
      <c r="WBR30" t="e">
        <v>#N/A</v>
      </c>
      <c r="WBS30" t="e">
        <v>#N/A</v>
      </c>
      <c r="WBT30" t="e">
        <v>#N/A</v>
      </c>
      <c r="WBU30" t="e">
        <v>#N/A</v>
      </c>
      <c r="WBV30" t="e">
        <v>#N/A</v>
      </c>
      <c r="WBW30" t="e">
        <v>#N/A</v>
      </c>
      <c r="WBX30" t="e">
        <v>#N/A</v>
      </c>
      <c r="WBY30" t="e">
        <v>#N/A</v>
      </c>
      <c r="WBZ30" t="e">
        <v>#N/A</v>
      </c>
      <c r="WCA30" t="e">
        <v>#N/A</v>
      </c>
      <c r="WCB30" t="e">
        <v>#N/A</v>
      </c>
      <c r="WCC30" t="e">
        <v>#N/A</v>
      </c>
      <c r="WCD30" t="e">
        <v>#N/A</v>
      </c>
      <c r="WCE30" t="e">
        <v>#N/A</v>
      </c>
      <c r="WCF30" t="e">
        <v>#N/A</v>
      </c>
      <c r="WCG30" t="e">
        <v>#N/A</v>
      </c>
      <c r="WCH30" t="e">
        <v>#N/A</v>
      </c>
      <c r="WCI30" t="e">
        <v>#N/A</v>
      </c>
      <c r="WCJ30" t="e">
        <v>#N/A</v>
      </c>
      <c r="WCK30" t="e">
        <v>#N/A</v>
      </c>
      <c r="WCL30" t="e">
        <v>#N/A</v>
      </c>
      <c r="WCM30" t="e">
        <v>#N/A</v>
      </c>
      <c r="WCN30" t="e">
        <v>#N/A</v>
      </c>
      <c r="WCO30" t="e">
        <v>#N/A</v>
      </c>
      <c r="WCP30" t="e">
        <v>#N/A</v>
      </c>
      <c r="WCQ30" t="e">
        <v>#N/A</v>
      </c>
      <c r="WCR30" t="e">
        <v>#N/A</v>
      </c>
      <c r="WCS30" t="e">
        <v>#N/A</v>
      </c>
      <c r="WCT30" t="e">
        <v>#N/A</v>
      </c>
      <c r="WCU30" t="e">
        <v>#N/A</v>
      </c>
      <c r="WCV30" t="e">
        <v>#N/A</v>
      </c>
      <c r="WCW30" t="e">
        <v>#N/A</v>
      </c>
      <c r="WCX30" t="e">
        <v>#N/A</v>
      </c>
      <c r="WCY30" t="e">
        <v>#N/A</v>
      </c>
      <c r="WCZ30" t="e">
        <v>#N/A</v>
      </c>
      <c r="WDA30" t="e">
        <v>#N/A</v>
      </c>
      <c r="WDB30" t="e">
        <v>#N/A</v>
      </c>
      <c r="WDC30" t="e">
        <v>#N/A</v>
      </c>
      <c r="WDD30" t="e">
        <v>#N/A</v>
      </c>
      <c r="WDE30" t="e">
        <v>#N/A</v>
      </c>
      <c r="WDF30" t="e">
        <v>#N/A</v>
      </c>
      <c r="WDG30" t="e">
        <v>#N/A</v>
      </c>
      <c r="WDH30" t="e">
        <v>#N/A</v>
      </c>
      <c r="WDI30" t="e">
        <v>#N/A</v>
      </c>
      <c r="WDJ30" t="e">
        <v>#N/A</v>
      </c>
      <c r="WDK30" t="e">
        <v>#N/A</v>
      </c>
      <c r="WDL30" t="e">
        <v>#N/A</v>
      </c>
      <c r="WDM30" t="e">
        <v>#N/A</v>
      </c>
      <c r="WDN30" t="e">
        <v>#N/A</v>
      </c>
      <c r="WDO30" t="e">
        <v>#N/A</v>
      </c>
      <c r="WDP30" t="e">
        <v>#N/A</v>
      </c>
      <c r="WDQ30" t="e">
        <v>#N/A</v>
      </c>
      <c r="WDR30" t="e">
        <v>#N/A</v>
      </c>
      <c r="WDS30" t="e">
        <v>#N/A</v>
      </c>
      <c r="WDT30" t="e">
        <v>#N/A</v>
      </c>
      <c r="WDU30" t="e">
        <v>#N/A</v>
      </c>
      <c r="WDV30" t="e">
        <v>#N/A</v>
      </c>
      <c r="WDW30" t="e">
        <v>#N/A</v>
      </c>
      <c r="WDX30" t="e">
        <v>#N/A</v>
      </c>
      <c r="WDY30" t="e">
        <v>#N/A</v>
      </c>
      <c r="WDZ30" t="e">
        <v>#N/A</v>
      </c>
      <c r="WEA30" t="e">
        <v>#N/A</v>
      </c>
      <c r="WEB30" t="e">
        <v>#N/A</v>
      </c>
      <c r="WEC30" t="e">
        <v>#N/A</v>
      </c>
      <c r="WED30" t="e">
        <v>#N/A</v>
      </c>
      <c r="WEE30" t="e">
        <v>#N/A</v>
      </c>
      <c r="WEF30" t="e">
        <v>#N/A</v>
      </c>
      <c r="WEG30" t="e">
        <v>#N/A</v>
      </c>
      <c r="WEH30" t="e">
        <v>#N/A</v>
      </c>
      <c r="WEI30" t="e">
        <v>#N/A</v>
      </c>
      <c r="WEJ30" t="e">
        <v>#N/A</v>
      </c>
      <c r="WEK30" t="e">
        <v>#N/A</v>
      </c>
      <c r="WEL30" t="e">
        <v>#N/A</v>
      </c>
      <c r="WEM30" t="e">
        <v>#N/A</v>
      </c>
      <c r="WEN30" t="e">
        <v>#N/A</v>
      </c>
      <c r="WEO30" t="e">
        <v>#N/A</v>
      </c>
      <c r="WEP30" t="e">
        <v>#N/A</v>
      </c>
      <c r="WEQ30" t="e">
        <v>#N/A</v>
      </c>
      <c r="WER30" t="e">
        <v>#N/A</v>
      </c>
      <c r="WES30" t="e">
        <v>#N/A</v>
      </c>
      <c r="WET30" t="e">
        <v>#N/A</v>
      </c>
      <c r="WEU30" t="e">
        <v>#N/A</v>
      </c>
      <c r="WEV30" t="e">
        <v>#N/A</v>
      </c>
      <c r="WEW30" t="e">
        <v>#N/A</v>
      </c>
      <c r="WEX30" t="e">
        <v>#N/A</v>
      </c>
      <c r="WEY30" t="e">
        <v>#N/A</v>
      </c>
      <c r="WEZ30" t="e">
        <v>#N/A</v>
      </c>
      <c r="WFA30" t="e">
        <v>#N/A</v>
      </c>
      <c r="WFB30" t="e">
        <v>#N/A</v>
      </c>
      <c r="WFC30" t="e">
        <v>#N/A</v>
      </c>
      <c r="WFD30" t="e">
        <v>#N/A</v>
      </c>
      <c r="WFE30" t="e">
        <v>#N/A</v>
      </c>
      <c r="WFF30" t="e">
        <v>#N/A</v>
      </c>
      <c r="WFG30" t="e">
        <v>#N/A</v>
      </c>
      <c r="WFH30" t="e">
        <v>#N/A</v>
      </c>
      <c r="WFI30" t="e">
        <v>#N/A</v>
      </c>
      <c r="WFJ30" t="e">
        <v>#N/A</v>
      </c>
      <c r="WFK30" t="e">
        <v>#N/A</v>
      </c>
      <c r="WFL30" t="e">
        <v>#N/A</v>
      </c>
      <c r="WFM30" t="e">
        <v>#N/A</v>
      </c>
      <c r="WFN30" t="e">
        <v>#N/A</v>
      </c>
      <c r="WFO30" t="e">
        <v>#N/A</v>
      </c>
      <c r="WFP30" t="e">
        <v>#N/A</v>
      </c>
      <c r="WFQ30" t="e">
        <v>#N/A</v>
      </c>
      <c r="WFR30" t="e">
        <v>#N/A</v>
      </c>
      <c r="WFS30" t="e">
        <v>#N/A</v>
      </c>
      <c r="WFT30" t="e">
        <v>#N/A</v>
      </c>
      <c r="WFU30" t="e">
        <v>#N/A</v>
      </c>
      <c r="WFV30" t="e">
        <v>#N/A</v>
      </c>
      <c r="WFW30" t="e">
        <v>#N/A</v>
      </c>
      <c r="WFX30" t="e">
        <v>#N/A</v>
      </c>
      <c r="WFY30" t="e">
        <v>#N/A</v>
      </c>
      <c r="WFZ30" t="e">
        <v>#N/A</v>
      </c>
      <c r="WGA30" t="e">
        <v>#N/A</v>
      </c>
      <c r="WGB30" t="e">
        <v>#N/A</v>
      </c>
      <c r="WGC30" t="e">
        <v>#N/A</v>
      </c>
      <c r="WGD30" t="e">
        <v>#N/A</v>
      </c>
      <c r="WGE30" t="e">
        <v>#N/A</v>
      </c>
      <c r="WGF30" t="e">
        <v>#N/A</v>
      </c>
      <c r="WGG30" t="e">
        <v>#N/A</v>
      </c>
      <c r="WGH30" t="e">
        <v>#N/A</v>
      </c>
      <c r="WGI30" t="e">
        <v>#N/A</v>
      </c>
      <c r="WGJ30" t="e">
        <v>#N/A</v>
      </c>
      <c r="WGK30" t="e">
        <v>#N/A</v>
      </c>
      <c r="WGL30" t="e">
        <v>#N/A</v>
      </c>
      <c r="WGM30" t="e">
        <v>#N/A</v>
      </c>
      <c r="WGN30" t="e">
        <v>#N/A</v>
      </c>
      <c r="WGO30" t="e">
        <v>#N/A</v>
      </c>
      <c r="WGP30" t="e">
        <v>#N/A</v>
      </c>
      <c r="WGQ30" t="e">
        <v>#N/A</v>
      </c>
      <c r="WGR30" t="e">
        <v>#N/A</v>
      </c>
      <c r="WGS30" t="e">
        <v>#N/A</v>
      </c>
      <c r="WGT30" t="e">
        <v>#N/A</v>
      </c>
      <c r="WGU30" t="e">
        <v>#N/A</v>
      </c>
      <c r="WGV30" t="e">
        <v>#N/A</v>
      </c>
      <c r="WGW30" t="e">
        <v>#N/A</v>
      </c>
      <c r="WGX30" t="e">
        <v>#N/A</v>
      </c>
      <c r="WGY30" t="e">
        <v>#N/A</v>
      </c>
      <c r="WGZ30" t="e">
        <v>#N/A</v>
      </c>
      <c r="WHA30" t="e">
        <v>#N/A</v>
      </c>
      <c r="WHB30" t="e">
        <v>#N/A</v>
      </c>
      <c r="WHC30" t="e">
        <v>#N/A</v>
      </c>
      <c r="WHD30" t="e">
        <v>#N/A</v>
      </c>
      <c r="WHE30" t="e">
        <v>#N/A</v>
      </c>
      <c r="WHF30" t="e">
        <v>#N/A</v>
      </c>
      <c r="WHG30" t="e">
        <v>#N/A</v>
      </c>
      <c r="WHH30" t="e">
        <v>#N/A</v>
      </c>
      <c r="WHI30" t="e">
        <v>#N/A</v>
      </c>
      <c r="WHJ30" t="e">
        <v>#N/A</v>
      </c>
      <c r="WHK30" t="e">
        <v>#N/A</v>
      </c>
      <c r="WHL30" t="e">
        <v>#N/A</v>
      </c>
      <c r="WHM30" t="e">
        <v>#N/A</v>
      </c>
      <c r="WHN30" t="e">
        <v>#N/A</v>
      </c>
      <c r="WHO30" t="e">
        <v>#N/A</v>
      </c>
      <c r="WHP30" t="e">
        <v>#N/A</v>
      </c>
      <c r="WHQ30" t="e">
        <v>#N/A</v>
      </c>
      <c r="WHR30" t="e">
        <v>#N/A</v>
      </c>
      <c r="WHS30" t="e">
        <v>#N/A</v>
      </c>
      <c r="WHT30" t="e">
        <v>#N/A</v>
      </c>
      <c r="WHU30" t="e">
        <v>#N/A</v>
      </c>
      <c r="WHV30" t="e">
        <v>#N/A</v>
      </c>
      <c r="WHW30" t="e">
        <v>#N/A</v>
      </c>
      <c r="WHX30" t="e">
        <v>#N/A</v>
      </c>
      <c r="WHY30" t="e">
        <v>#N/A</v>
      </c>
      <c r="WHZ30" t="e">
        <v>#N/A</v>
      </c>
      <c r="WIA30" t="e">
        <v>#N/A</v>
      </c>
      <c r="WIB30" t="e">
        <v>#N/A</v>
      </c>
      <c r="WIC30" t="e">
        <v>#N/A</v>
      </c>
      <c r="WID30" t="e">
        <v>#N/A</v>
      </c>
      <c r="WIE30" t="e">
        <v>#N/A</v>
      </c>
      <c r="WIF30" t="e">
        <v>#N/A</v>
      </c>
      <c r="WIG30" t="e">
        <v>#N/A</v>
      </c>
      <c r="WIH30" t="e">
        <v>#N/A</v>
      </c>
      <c r="WII30" t="e">
        <v>#N/A</v>
      </c>
      <c r="WIJ30" t="e">
        <v>#N/A</v>
      </c>
      <c r="WIK30" t="e">
        <v>#N/A</v>
      </c>
      <c r="WIL30" t="e">
        <v>#N/A</v>
      </c>
      <c r="WIM30" t="e">
        <v>#N/A</v>
      </c>
      <c r="WIN30" t="e">
        <v>#N/A</v>
      </c>
      <c r="WIO30" t="e">
        <v>#N/A</v>
      </c>
      <c r="WIP30" t="e">
        <v>#N/A</v>
      </c>
      <c r="WIQ30" t="e">
        <v>#N/A</v>
      </c>
      <c r="WIR30" t="e">
        <v>#N/A</v>
      </c>
      <c r="WIS30" t="e">
        <v>#N/A</v>
      </c>
      <c r="WIT30" t="e">
        <v>#N/A</v>
      </c>
      <c r="WIU30" t="e">
        <v>#N/A</v>
      </c>
      <c r="WIV30" t="e">
        <v>#N/A</v>
      </c>
      <c r="WIW30" t="e">
        <v>#N/A</v>
      </c>
      <c r="WIX30" t="e">
        <v>#N/A</v>
      </c>
      <c r="WIY30" t="e">
        <v>#N/A</v>
      </c>
      <c r="WIZ30" t="e">
        <v>#N/A</v>
      </c>
      <c r="WJA30" t="e">
        <v>#N/A</v>
      </c>
      <c r="WJB30" t="e">
        <v>#N/A</v>
      </c>
      <c r="WJC30" t="e">
        <v>#N/A</v>
      </c>
      <c r="WJD30" t="e">
        <v>#N/A</v>
      </c>
      <c r="WJE30" t="e">
        <v>#N/A</v>
      </c>
      <c r="WJF30" t="e">
        <v>#N/A</v>
      </c>
      <c r="WJG30" t="e">
        <v>#N/A</v>
      </c>
      <c r="WJH30" t="e">
        <v>#N/A</v>
      </c>
      <c r="WJI30" t="e">
        <v>#N/A</v>
      </c>
      <c r="WJJ30" t="e">
        <v>#N/A</v>
      </c>
      <c r="WJK30" t="e">
        <v>#N/A</v>
      </c>
      <c r="WJL30" t="e">
        <v>#N/A</v>
      </c>
      <c r="WJM30" t="e">
        <v>#N/A</v>
      </c>
      <c r="WJN30" t="e">
        <v>#N/A</v>
      </c>
      <c r="WJO30" t="e">
        <v>#N/A</v>
      </c>
      <c r="WJP30" t="e">
        <v>#N/A</v>
      </c>
      <c r="WJQ30" t="e">
        <v>#N/A</v>
      </c>
      <c r="WJR30" t="e">
        <v>#N/A</v>
      </c>
      <c r="WJS30" t="e">
        <v>#N/A</v>
      </c>
      <c r="WJT30" t="e">
        <v>#N/A</v>
      </c>
      <c r="WJU30" t="e">
        <v>#N/A</v>
      </c>
      <c r="WJV30" t="e">
        <v>#N/A</v>
      </c>
      <c r="WJW30" t="e">
        <v>#N/A</v>
      </c>
      <c r="WJX30" t="e">
        <v>#N/A</v>
      </c>
      <c r="WJY30" t="e">
        <v>#N/A</v>
      </c>
      <c r="WJZ30" t="e">
        <v>#N/A</v>
      </c>
      <c r="WKA30" t="e">
        <v>#N/A</v>
      </c>
      <c r="WKB30" t="e">
        <v>#N/A</v>
      </c>
      <c r="WKC30" t="e">
        <v>#N/A</v>
      </c>
      <c r="WKD30" t="e">
        <v>#N/A</v>
      </c>
      <c r="WKE30" t="e">
        <v>#N/A</v>
      </c>
      <c r="WKF30" t="e">
        <v>#N/A</v>
      </c>
      <c r="WKG30" t="e">
        <v>#N/A</v>
      </c>
      <c r="WKH30" t="e">
        <v>#N/A</v>
      </c>
      <c r="WKI30" t="e">
        <v>#N/A</v>
      </c>
      <c r="WKJ30" t="e">
        <v>#N/A</v>
      </c>
      <c r="WKK30" t="e">
        <v>#N/A</v>
      </c>
      <c r="WKL30" t="e">
        <v>#N/A</v>
      </c>
      <c r="WKM30" t="e">
        <v>#N/A</v>
      </c>
      <c r="WKN30" t="e">
        <v>#N/A</v>
      </c>
      <c r="WKO30" t="e">
        <v>#N/A</v>
      </c>
      <c r="WKP30" t="e">
        <v>#N/A</v>
      </c>
      <c r="WKQ30" t="e">
        <v>#N/A</v>
      </c>
      <c r="WKR30" t="e">
        <v>#N/A</v>
      </c>
      <c r="WKS30" t="e">
        <v>#N/A</v>
      </c>
      <c r="WKT30" t="e">
        <v>#N/A</v>
      </c>
      <c r="WKU30" t="e">
        <v>#N/A</v>
      </c>
      <c r="WKV30" t="e">
        <v>#N/A</v>
      </c>
      <c r="WKW30" t="e">
        <v>#N/A</v>
      </c>
      <c r="WKX30" t="e">
        <v>#N/A</v>
      </c>
      <c r="WKY30" t="e">
        <v>#N/A</v>
      </c>
      <c r="WKZ30" t="e">
        <v>#N/A</v>
      </c>
      <c r="WLA30" t="e">
        <v>#N/A</v>
      </c>
      <c r="WLB30" t="e">
        <v>#N/A</v>
      </c>
      <c r="WLC30" t="e">
        <v>#N/A</v>
      </c>
      <c r="WLD30" t="e">
        <v>#N/A</v>
      </c>
      <c r="WLE30" t="e">
        <v>#N/A</v>
      </c>
      <c r="WLF30" t="e">
        <v>#N/A</v>
      </c>
      <c r="WLG30" t="e">
        <v>#N/A</v>
      </c>
      <c r="WLH30" t="e">
        <v>#N/A</v>
      </c>
      <c r="WLI30" t="e">
        <v>#N/A</v>
      </c>
      <c r="WLJ30" t="e">
        <v>#N/A</v>
      </c>
      <c r="WLK30" t="e">
        <v>#N/A</v>
      </c>
      <c r="WLL30" t="e">
        <v>#N/A</v>
      </c>
      <c r="WLM30" t="e">
        <v>#N/A</v>
      </c>
      <c r="WLN30" t="e">
        <v>#N/A</v>
      </c>
      <c r="WLO30" t="e">
        <v>#N/A</v>
      </c>
      <c r="WLP30" t="e">
        <v>#N/A</v>
      </c>
      <c r="WLQ30" t="e">
        <v>#N/A</v>
      </c>
      <c r="WLR30" t="e">
        <v>#N/A</v>
      </c>
      <c r="WLS30" t="e">
        <v>#N/A</v>
      </c>
      <c r="WLT30" t="e">
        <v>#N/A</v>
      </c>
      <c r="WLU30" t="e">
        <v>#N/A</v>
      </c>
      <c r="WLV30" t="e">
        <v>#N/A</v>
      </c>
      <c r="WLW30" t="e">
        <v>#N/A</v>
      </c>
      <c r="WLX30" t="e">
        <v>#N/A</v>
      </c>
      <c r="WLY30" t="e">
        <v>#N/A</v>
      </c>
      <c r="WLZ30" t="e">
        <v>#N/A</v>
      </c>
      <c r="WMA30" t="e">
        <v>#N/A</v>
      </c>
      <c r="WMB30" t="e">
        <v>#N/A</v>
      </c>
      <c r="WMC30" t="e">
        <v>#N/A</v>
      </c>
      <c r="WMD30" t="e">
        <v>#N/A</v>
      </c>
      <c r="WME30" t="e">
        <v>#N/A</v>
      </c>
      <c r="WMF30" t="e">
        <v>#N/A</v>
      </c>
      <c r="WMG30" t="e">
        <v>#N/A</v>
      </c>
      <c r="WMH30" t="e">
        <v>#N/A</v>
      </c>
      <c r="WMI30" t="e">
        <v>#N/A</v>
      </c>
      <c r="WMJ30" t="e">
        <v>#N/A</v>
      </c>
      <c r="WMK30" t="e">
        <v>#N/A</v>
      </c>
      <c r="WML30" t="e">
        <v>#N/A</v>
      </c>
      <c r="WMM30" t="e">
        <v>#N/A</v>
      </c>
      <c r="WMN30" t="e">
        <v>#N/A</v>
      </c>
      <c r="WMO30" t="e">
        <v>#N/A</v>
      </c>
      <c r="WMP30" t="e">
        <v>#N/A</v>
      </c>
      <c r="WMQ30" t="e">
        <v>#N/A</v>
      </c>
      <c r="WMR30" t="e">
        <v>#N/A</v>
      </c>
      <c r="WMS30" t="e">
        <v>#N/A</v>
      </c>
      <c r="WMT30" t="e">
        <v>#N/A</v>
      </c>
      <c r="WMU30" t="e">
        <v>#N/A</v>
      </c>
      <c r="WMV30" t="e">
        <v>#N/A</v>
      </c>
      <c r="WMW30" t="e">
        <v>#N/A</v>
      </c>
      <c r="WMX30" t="e">
        <v>#N/A</v>
      </c>
      <c r="WMY30" t="e">
        <v>#N/A</v>
      </c>
      <c r="WMZ30" t="e">
        <v>#N/A</v>
      </c>
      <c r="WNA30" t="e">
        <v>#N/A</v>
      </c>
      <c r="WNB30" t="e">
        <v>#N/A</v>
      </c>
      <c r="WNC30" t="e">
        <v>#N/A</v>
      </c>
      <c r="WND30" t="e">
        <v>#N/A</v>
      </c>
      <c r="WNE30" t="e">
        <v>#N/A</v>
      </c>
      <c r="WNF30" t="e">
        <v>#N/A</v>
      </c>
      <c r="WNG30" t="e">
        <v>#N/A</v>
      </c>
      <c r="WNH30" t="e">
        <v>#N/A</v>
      </c>
      <c r="WNI30" t="e">
        <v>#N/A</v>
      </c>
      <c r="WNJ30" t="e">
        <v>#N/A</v>
      </c>
      <c r="WNK30" t="e">
        <v>#N/A</v>
      </c>
      <c r="WNL30" t="e">
        <v>#N/A</v>
      </c>
      <c r="WNM30" t="e">
        <v>#N/A</v>
      </c>
      <c r="WNN30" t="e">
        <v>#N/A</v>
      </c>
      <c r="WNO30" t="e">
        <v>#N/A</v>
      </c>
      <c r="WNP30" t="e">
        <v>#N/A</v>
      </c>
      <c r="WNQ30" t="e">
        <v>#N/A</v>
      </c>
      <c r="WNR30" t="e">
        <v>#N/A</v>
      </c>
      <c r="WNS30" t="e">
        <v>#N/A</v>
      </c>
      <c r="WNT30" t="e">
        <v>#N/A</v>
      </c>
      <c r="WNU30" t="e">
        <v>#N/A</v>
      </c>
      <c r="WNV30" t="e">
        <v>#N/A</v>
      </c>
      <c r="WNW30" t="e">
        <v>#N/A</v>
      </c>
      <c r="WNX30" t="e">
        <v>#N/A</v>
      </c>
      <c r="WNY30" t="e">
        <v>#N/A</v>
      </c>
      <c r="WNZ30" t="e">
        <v>#N/A</v>
      </c>
      <c r="WOA30" t="e">
        <v>#N/A</v>
      </c>
      <c r="WOB30" t="e">
        <v>#N/A</v>
      </c>
      <c r="WOC30" t="e">
        <v>#N/A</v>
      </c>
      <c r="WOD30" t="e">
        <v>#N/A</v>
      </c>
      <c r="WOE30" t="e">
        <v>#N/A</v>
      </c>
      <c r="WOF30" t="e">
        <v>#N/A</v>
      </c>
      <c r="WOG30" t="e">
        <v>#N/A</v>
      </c>
      <c r="WOH30" t="e">
        <v>#N/A</v>
      </c>
      <c r="WOI30" t="e">
        <v>#N/A</v>
      </c>
      <c r="WOJ30" t="e">
        <v>#N/A</v>
      </c>
      <c r="WOK30" t="e">
        <v>#N/A</v>
      </c>
      <c r="WOL30" t="e">
        <v>#N/A</v>
      </c>
      <c r="WOM30" t="e">
        <v>#N/A</v>
      </c>
      <c r="WON30" t="e">
        <v>#N/A</v>
      </c>
      <c r="WOO30" t="e">
        <v>#N/A</v>
      </c>
      <c r="WOP30" t="e">
        <v>#N/A</v>
      </c>
      <c r="WOQ30" t="e">
        <v>#N/A</v>
      </c>
      <c r="WOR30" t="e">
        <v>#N/A</v>
      </c>
      <c r="WOS30" t="e">
        <v>#N/A</v>
      </c>
      <c r="WOT30" t="e">
        <v>#N/A</v>
      </c>
      <c r="WOU30" t="e">
        <v>#N/A</v>
      </c>
      <c r="WOV30" t="e">
        <v>#N/A</v>
      </c>
      <c r="WOW30" t="e">
        <v>#N/A</v>
      </c>
      <c r="WOX30" t="e">
        <v>#N/A</v>
      </c>
      <c r="WOY30" t="e">
        <v>#N/A</v>
      </c>
      <c r="WOZ30" t="e">
        <v>#N/A</v>
      </c>
      <c r="WPA30" t="e">
        <v>#N/A</v>
      </c>
      <c r="WPB30" t="e">
        <v>#N/A</v>
      </c>
      <c r="WPC30" t="e">
        <v>#N/A</v>
      </c>
      <c r="WPD30" t="e">
        <v>#N/A</v>
      </c>
      <c r="WPE30" t="e">
        <v>#N/A</v>
      </c>
      <c r="WPF30" t="e">
        <v>#N/A</v>
      </c>
      <c r="WPG30" t="e">
        <v>#N/A</v>
      </c>
      <c r="WPH30" t="e">
        <v>#N/A</v>
      </c>
      <c r="WPI30" t="e">
        <v>#N/A</v>
      </c>
      <c r="WPJ30" t="e">
        <v>#N/A</v>
      </c>
      <c r="WPK30" t="e">
        <v>#N/A</v>
      </c>
      <c r="WPL30" t="e">
        <v>#N/A</v>
      </c>
      <c r="WPM30" t="e">
        <v>#N/A</v>
      </c>
      <c r="WPN30" t="e">
        <v>#N/A</v>
      </c>
      <c r="WPO30" t="e">
        <v>#N/A</v>
      </c>
      <c r="WPP30" t="e">
        <v>#N/A</v>
      </c>
      <c r="WPQ30" t="e">
        <v>#N/A</v>
      </c>
      <c r="WPR30" t="e">
        <v>#N/A</v>
      </c>
      <c r="WPS30" t="e">
        <v>#N/A</v>
      </c>
      <c r="WPT30" t="e">
        <v>#N/A</v>
      </c>
      <c r="WPU30" t="e">
        <v>#N/A</v>
      </c>
      <c r="WPV30" t="e">
        <v>#N/A</v>
      </c>
      <c r="WPW30" t="e">
        <v>#N/A</v>
      </c>
      <c r="WPX30" t="e">
        <v>#N/A</v>
      </c>
      <c r="WPY30" t="e">
        <v>#N/A</v>
      </c>
      <c r="WPZ30" t="e">
        <v>#N/A</v>
      </c>
      <c r="WQA30" t="e">
        <v>#N/A</v>
      </c>
      <c r="WQB30" t="e">
        <v>#N/A</v>
      </c>
      <c r="WQC30" t="e">
        <v>#N/A</v>
      </c>
      <c r="WQD30" t="e">
        <v>#N/A</v>
      </c>
      <c r="WQE30" t="e">
        <v>#N/A</v>
      </c>
      <c r="WQF30" t="e">
        <v>#N/A</v>
      </c>
      <c r="WQG30" t="e">
        <v>#N/A</v>
      </c>
      <c r="WQH30" t="e">
        <v>#N/A</v>
      </c>
      <c r="WQI30" t="e">
        <v>#N/A</v>
      </c>
      <c r="WQJ30" t="e">
        <v>#N/A</v>
      </c>
      <c r="WQK30" t="e">
        <v>#N/A</v>
      </c>
      <c r="WQL30" t="e">
        <v>#N/A</v>
      </c>
      <c r="WQM30" t="e">
        <v>#N/A</v>
      </c>
      <c r="WQN30" t="e">
        <v>#N/A</v>
      </c>
      <c r="WQO30" t="e">
        <v>#N/A</v>
      </c>
      <c r="WQP30" t="e">
        <v>#N/A</v>
      </c>
      <c r="WQQ30" t="e">
        <v>#N/A</v>
      </c>
      <c r="WQR30" t="e">
        <v>#N/A</v>
      </c>
      <c r="WQS30" t="e">
        <v>#N/A</v>
      </c>
      <c r="WQT30" t="e">
        <v>#N/A</v>
      </c>
      <c r="WQU30" t="e">
        <v>#N/A</v>
      </c>
      <c r="WQV30" t="e">
        <v>#N/A</v>
      </c>
      <c r="WQW30" t="e">
        <v>#N/A</v>
      </c>
      <c r="WQX30" t="e">
        <v>#N/A</v>
      </c>
      <c r="WQY30" t="e">
        <v>#N/A</v>
      </c>
      <c r="WQZ30" t="e">
        <v>#N/A</v>
      </c>
      <c r="WRA30" t="e">
        <v>#N/A</v>
      </c>
      <c r="WRB30" t="e">
        <v>#N/A</v>
      </c>
      <c r="WRC30" t="e">
        <v>#N/A</v>
      </c>
      <c r="WRD30" t="e">
        <v>#N/A</v>
      </c>
      <c r="WRE30" t="e">
        <v>#N/A</v>
      </c>
      <c r="WRF30" t="e">
        <v>#N/A</v>
      </c>
      <c r="WRG30" t="e">
        <v>#N/A</v>
      </c>
      <c r="WRH30" t="e">
        <v>#N/A</v>
      </c>
      <c r="WRI30" t="e">
        <v>#N/A</v>
      </c>
      <c r="WRJ30" t="e">
        <v>#N/A</v>
      </c>
      <c r="WRK30" t="e">
        <v>#N/A</v>
      </c>
      <c r="WRL30" t="e">
        <v>#N/A</v>
      </c>
      <c r="WRM30" t="e">
        <v>#N/A</v>
      </c>
      <c r="WRN30" t="e">
        <v>#N/A</v>
      </c>
      <c r="WRO30" t="e">
        <v>#N/A</v>
      </c>
      <c r="WRP30" t="e">
        <v>#N/A</v>
      </c>
      <c r="WRQ30" t="e">
        <v>#N/A</v>
      </c>
      <c r="WRR30" t="e">
        <v>#N/A</v>
      </c>
      <c r="WRS30" t="e">
        <v>#N/A</v>
      </c>
      <c r="WRT30" t="e">
        <v>#N/A</v>
      </c>
      <c r="WRU30" t="e">
        <v>#N/A</v>
      </c>
      <c r="WRV30" t="e">
        <v>#N/A</v>
      </c>
      <c r="WRW30" t="e">
        <v>#N/A</v>
      </c>
      <c r="WRX30" t="e">
        <v>#N/A</v>
      </c>
      <c r="WRY30" t="e">
        <v>#N/A</v>
      </c>
      <c r="WRZ30" t="e">
        <v>#N/A</v>
      </c>
      <c r="WSA30" t="e">
        <v>#N/A</v>
      </c>
      <c r="WSB30" t="e">
        <v>#N/A</v>
      </c>
      <c r="WSC30" t="e">
        <v>#N/A</v>
      </c>
      <c r="WSD30" t="e">
        <v>#N/A</v>
      </c>
      <c r="WSE30" t="e">
        <v>#N/A</v>
      </c>
      <c r="WSF30" t="e">
        <v>#N/A</v>
      </c>
      <c r="WSG30" t="e">
        <v>#N/A</v>
      </c>
      <c r="WSH30" t="e">
        <v>#N/A</v>
      </c>
      <c r="WSI30" t="e">
        <v>#N/A</v>
      </c>
      <c r="WSJ30" t="e">
        <v>#N/A</v>
      </c>
      <c r="WSK30" t="e">
        <v>#N/A</v>
      </c>
      <c r="WSL30" t="e">
        <v>#N/A</v>
      </c>
      <c r="WSM30" t="e">
        <v>#N/A</v>
      </c>
      <c r="WSN30" t="e">
        <v>#N/A</v>
      </c>
      <c r="WSO30" t="e">
        <v>#N/A</v>
      </c>
      <c r="WSP30" t="e">
        <v>#N/A</v>
      </c>
      <c r="WSQ30" t="e">
        <v>#N/A</v>
      </c>
      <c r="WSR30" t="e">
        <v>#N/A</v>
      </c>
      <c r="WSS30" t="e">
        <v>#N/A</v>
      </c>
      <c r="WST30" t="e">
        <v>#N/A</v>
      </c>
      <c r="WSU30" t="e">
        <v>#N/A</v>
      </c>
      <c r="WSV30" t="e">
        <v>#N/A</v>
      </c>
      <c r="WSW30" t="e">
        <v>#N/A</v>
      </c>
      <c r="WSX30" t="e">
        <v>#N/A</v>
      </c>
      <c r="WSY30" t="e">
        <v>#N/A</v>
      </c>
      <c r="WSZ30" t="e">
        <v>#N/A</v>
      </c>
      <c r="WTA30" t="e">
        <v>#N/A</v>
      </c>
      <c r="WTB30" t="e">
        <v>#N/A</v>
      </c>
      <c r="WTC30" t="e">
        <v>#N/A</v>
      </c>
      <c r="WTD30" t="e">
        <v>#N/A</v>
      </c>
      <c r="WTE30" t="e">
        <v>#N/A</v>
      </c>
      <c r="WTF30" t="e">
        <v>#N/A</v>
      </c>
      <c r="WTG30" t="e">
        <v>#N/A</v>
      </c>
      <c r="WTH30" t="e">
        <v>#N/A</v>
      </c>
      <c r="WTI30" t="e">
        <v>#N/A</v>
      </c>
      <c r="WTJ30" t="e">
        <v>#N/A</v>
      </c>
      <c r="WTK30" t="e">
        <v>#N/A</v>
      </c>
      <c r="WTL30" t="e">
        <v>#N/A</v>
      </c>
      <c r="WTM30" t="e">
        <v>#N/A</v>
      </c>
      <c r="WTN30" t="e">
        <v>#N/A</v>
      </c>
      <c r="WTO30" t="e">
        <v>#N/A</v>
      </c>
      <c r="WTP30" t="e">
        <v>#N/A</v>
      </c>
      <c r="WTQ30" t="e">
        <v>#N/A</v>
      </c>
      <c r="WTR30" t="e">
        <v>#N/A</v>
      </c>
      <c r="WTS30" t="e">
        <v>#N/A</v>
      </c>
      <c r="WTT30" t="e">
        <v>#N/A</v>
      </c>
      <c r="WTU30" t="e">
        <v>#N/A</v>
      </c>
      <c r="WTV30" t="e">
        <v>#N/A</v>
      </c>
      <c r="WTW30" t="e">
        <v>#N/A</v>
      </c>
      <c r="WTX30" t="e">
        <v>#N/A</v>
      </c>
      <c r="WTY30" t="e">
        <v>#N/A</v>
      </c>
      <c r="WTZ30" t="e">
        <v>#N/A</v>
      </c>
      <c r="WUA30" t="e">
        <v>#N/A</v>
      </c>
      <c r="WUB30" t="e">
        <v>#N/A</v>
      </c>
      <c r="WUC30" t="e">
        <v>#N/A</v>
      </c>
      <c r="WUD30" t="e">
        <v>#N/A</v>
      </c>
      <c r="WUE30" t="e">
        <v>#N/A</v>
      </c>
      <c r="WUF30" t="e">
        <v>#N/A</v>
      </c>
      <c r="WUG30" t="e">
        <v>#N/A</v>
      </c>
      <c r="WUH30" t="e">
        <v>#N/A</v>
      </c>
      <c r="WUI30" t="e">
        <v>#N/A</v>
      </c>
      <c r="WUJ30" t="e">
        <v>#N/A</v>
      </c>
      <c r="WUK30" t="e">
        <v>#N/A</v>
      </c>
      <c r="WUL30" t="e">
        <v>#N/A</v>
      </c>
      <c r="WUM30" t="e">
        <v>#N/A</v>
      </c>
      <c r="WUN30" t="e">
        <v>#N/A</v>
      </c>
      <c r="WUO30" t="e">
        <v>#N/A</v>
      </c>
      <c r="WUP30" t="e">
        <v>#N/A</v>
      </c>
      <c r="WUQ30" t="e">
        <v>#N/A</v>
      </c>
      <c r="WUR30" t="e">
        <v>#N/A</v>
      </c>
      <c r="WUS30" t="e">
        <v>#N/A</v>
      </c>
      <c r="WUT30" t="e">
        <v>#N/A</v>
      </c>
      <c r="WUU30" t="e">
        <v>#N/A</v>
      </c>
      <c r="WUV30" t="e">
        <v>#N/A</v>
      </c>
      <c r="WUW30" t="e">
        <v>#N/A</v>
      </c>
      <c r="WUX30" t="e">
        <v>#N/A</v>
      </c>
      <c r="WUY30" t="e">
        <v>#N/A</v>
      </c>
      <c r="WUZ30" t="e">
        <v>#N/A</v>
      </c>
      <c r="WVA30" t="e">
        <v>#N/A</v>
      </c>
      <c r="WVB30" t="e">
        <v>#N/A</v>
      </c>
      <c r="WVC30" t="e">
        <v>#N/A</v>
      </c>
      <c r="WVD30" t="e">
        <v>#N/A</v>
      </c>
      <c r="WVE30" t="e">
        <v>#N/A</v>
      </c>
      <c r="WVF30" t="e">
        <v>#N/A</v>
      </c>
      <c r="WVG30" t="e">
        <v>#N/A</v>
      </c>
      <c r="WVH30" t="e">
        <v>#N/A</v>
      </c>
      <c r="WVI30" t="e">
        <v>#N/A</v>
      </c>
      <c r="WVJ30" t="e">
        <v>#N/A</v>
      </c>
      <c r="WVK30" t="e">
        <v>#N/A</v>
      </c>
      <c r="WVL30" t="e">
        <v>#N/A</v>
      </c>
      <c r="WVM30" t="e">
        <v>#N/A</v>
      </c>
      <c r="WVN30" t="e">
        <v>#N/A</v>
      </c>
      <c r="WVO30" t="e">
        <v>#N/A</v>
      </c>
      <c r="WVP30" t="e">
        <v>#N/A</v>
      </c>
      <c r="WVQ30" t="e">
        <v>#N/A</v>
      </c>
      <c r="WVR30" t="e">
        <v>#N/A</v>
      </c>
      <c r="WVS30" t="e">
        <v>#N/A</v>
      </c>
      <c r="WVT30" t="e">
        <v>#N/A</v>
      </c>
      <c r="WVU30" t="e">
        <v>#N/A</v>
      </c>
      <c r="WVV30" t="e">
        <v>#N/A</v>
      </c>
      <c r="WVW30" t="e">
        <v>#N/A</v>
      </c>
      <c r="WVX30" t="e">
        <v>#N/A</v>
      </c>
      <c r="WVY30" t="e">
        <v>#N/A</v>
      </c>
      <c r="WVZ30" t="e">
        <v>#N/A</v>
      </c>
      <c r="WWA30" t="e">
        <v>#N/A</v>
      </c>
      <c r="WWB30" t="e">
        <v>#N/A</v>
      </c>
      <c r="WWC30" t="e">
        <v>#N/A</v>
      </c>
      <c r="WWD30" t="e">
        <v>#N/A</v>
      </c>
      <c r="WWE30" t="e">
        <v>#N/A</v>
      </c>
      <c r="WWF30" t="e">
        <v>#N/A</v>
      </c>
      <c r="WWG30" t="e">
        <v>#N/A</v>
      </c>
      <c r="WWH30" t="e">
        <v>#N/A</v>
      </c>
      <c r="WWI30" t="e">
        <v>#N/A</v>
      </c>
      <c r="WWJ30" t="e">
        <v>#N/A</v>
      </c>
      <c r="WWK30" t="e">
        <v>#N/A</v>
      </c>
      <c r="WWL30" t="e">
        <v>#N/A</v>
      </c>
      <c r="WWM30" t="e">
        <v>#N/A</v>
      </c>
      <c r="WWN30" t="e">
        <v>#N/A</v>
      </c>
      <c r="WWO30" t="e">
        <v>#N/A</v>
      </c>
      <c r="WWP30" t="e">
        <v>#N/A</v>
      </c>
      <c r="WWQ30" t="e">
        <v>#N/A</v>
      </c>
      <c r="WWR30" t="e">
        <v>#N/A</v>
      </c>
      <c r="WWS30" t="e">
        <v>#N/A</v>
      </c>
      <c r="WWT30" t="e">
        <v>#N/A</v>
      </c>
      <c r="WWU30" t="e">
        <v>#N/A</v>
      </c>
      <c r="WWV30" t="e">
        <v>#N/A</v>
      </c>
      <c r="WWW30" t="e">
        <v>#N/A</v>
      </c>
      <c r="WWX30" t="e">
        <v>#N/A</v>
      </c>
      <c r="WWY30" t="e">
        <v>#N/A</v>
      </c>
      <c r="WWZ30" t="e">
        <v>#N/A</v>
      </c>
      <c r="WXA30" t="e">
        <v>#N/A</v>
      </c>
      <c r="WXB30" t="e">
        <v>#N/A</v>
      </c>
      <c r="WXC30" t="e">
        <v>#N/A</v>
      </c>
      <c r="WXD30" t="e">
        <v>#N/A</v>
      </c>
      <c r="WXE30" t="e">
        <v>#N/A</v>
      </c>
      <c r="WXF30" t="e">
        <v>#N/A</v>
      </c>
      <c r="WXG30" t="e">
        <v>#N/A</v>
      </c>
      <c r="WXH30" t="e">
        <v>#N/A</v>
      </c>
      <c r="WXI30" t="e">
        <v>#N/A</v>
      </c>
      <c r="WXJ30" t="e">
        <v>#N/A</v>
      </c>
      <c r="WXK30" t="e">
        <v>#N/A</v>
      </c>
      <c r="WXL30" t="e">
        <v>#N/A</v>
      </c>
      <c r="WXM30" t="e">
        <v>#N/A</v>
      </c>
      <c r="WXN30" t="e">
        <v>#N/A</v>
      </c>
      <c r="WXO30" t="e">
        <v>#N/A</v>
      </c>
      <c r="WXP30" t="e">
        <v>#N/A</v>
      </c>
      <c r="WXQ30" t="e">
        <v>#N/A</v>
      </c>
      <c r="WXR30" t="e">
        <v>#N/A</v>
      </c>
      <c r="WXS30" t="e">
        <v>#N/A</v>
      </c>
      <c r="WXT30" t="e">
        <v>#N/A</v>
      </c>
      <c r="WXU30" t="e">
        <v>#N/A</v>
      </c>
      <c r="WXV30" t="e">
        <v>#N/A</v>
      </c>
      <c r="WXW30" t="e">
        <v>#N/A</v>
      </c>
      <c r="WXX30" t="e">
        <v>#N/A</v>
      </c>
      <c r="WXY30" t="e">
        <v>#N/A</v>
      </c>
      <c r="WXZ30" t="e">
        <v>#N/A</v>
      </c>
      <c r="WYA30" t="e">
        <v>#N/A</v>
      </c>
      <c r="WYB30" t="e">
        <v>#N/A</v>
      </c>
      <c r="WYC30" t="e">
        <v>#N/A</v>
      </c>
      <c r="WYD30" t="e">
        <v>#N/A</v>
      </c>
      <c r="WYE30" t="e">
        <v>#N/A</v>
      </c>
      <c r="WYF30" t="e">
        <v>#N/A</v>
      </c>
      <c r="WYG30" t="e">
        <v>#N/A</v>
      </c>
      <c r="WYH30" t="e">
        <v>#N/A</v>
      </c>
      <c r="WYI30" t="e">
        <v>#N/A</v>
      </c>
      <c r="WYJ30" t="e">
        <v>#N/A</v>
      </c>
      <c r="WYK30" t="e">
        <v>#N/A</v>
      </c>
      <c r="WYL30" t="e">
        <v>#N/A</v>
      </c>
      <c r="WYM30" t="e">
        <v>#N/A</v>
      </c>
      <c r="WYN30" t="e">
        <v>#N/A</v>
      </c>
      <c r="WYO30" t="e">
        <v>#N/A</v>
      </c>
      <c r="WYP30" t="e">
        <v>#N/A</v>
      </c>
      <c r="WYQ30" t="e">
        <v>#N/A</v>
      </c>
      <c r="WYR30" t="e">
        <v>#N/A</v>
      </c>
      <c r="WYS30" t="e">
        <v>#N/A</v>
      </c>
      <c r="WYT30" t="e">
        <v>#N/A</v>
      </c>
      <c r="WYU30" t="e">
        <v>#N/A</v>
      </c>
      <c r="WYV30" t="e">
        <v>#N/A</v>
      </c>
      <c r="WYW30" t="e">
        <v>#N/A</v>
      </c>
      <c r="WYX30" t="e">
        <v>#N/A</v>
      </c>
      <c r="WYY30" t="e">
        <v>#N/A</v>
      </c>
      <c r="WYZ30" t="e">
        <v>#N/A</v>
      </c>
      <c r="WZA30" t="e">
        <v>#N/A</v>
      </c>
      <c r="WZB30" t="e">
        <v>#N/A</v>
      </c>
      <c r="WZC30" t="e">
        <v>#N/A</v>
      </c>
      <c r="WZD30" t="e">
        <v>#N/A</v>
      </c>
      <c r="WZE30" t="e">
        <v>#N/A</v>
      </c>
      <c r="WZF30" t="e">
        <v>#N/A</v>
      </c>
      <c r="WZG30" t="e">
        <v>#N/A</v>
      </c>
      <c r="WZH30" t="e">
        <v>#N/A</v>
      </c>
      <c r="WZI30" t="e">
        <v>#N/A</v>
      </c>
      <c r="WZJ30" t="e">
        <v>#N/A</v>
      </c>
      <c r="WZK30" t="e">
        <v>#N/A</v>
      </c>
      <c r="WZL30" t="e">
        <v>#N/A</v>
      </c>
      <c r="WZM30" t="e">
        <v>#N/A</v>
      </c>
      <c r="WZN30" t="e">
        <v>#N/A</v>
      </c>
      <c r="WZO30" t="e">
        <v>#N/A</v>
      </c>
      <c r="WZP30" t="e">
        <v>#N/A</v>
      </c>
      <c r="WZQ30" t="e">
        <v>#N/A</v>
      </c>
      <c r="WZR30" t="e">
        <v>#N/A</v>
      </c>
      <c r="WZS30" t="e">
        <v>#N/A</v>
      </c>
      <c r="WZT30" t="e">
        <v>#N/A</v>
      </c>
      <c r="WZU30" t="e">
        <v>#N/A</v>
      </c>
      <c r="WZV30" t="e">
        <v>#N/A</v>
      </c>
      <c r="WZW30" t="e">
        <v>#N/A</v>
      </c>
      <c r="WZX30" t="e">
        <v>#N/A</v>
      </c>
      <c r="WZY30" t="e">
        <v>#N/A</v>
      </c>
      <c r="WZZ30" t="e">
        <v>#N/A</v>
      </c>
      <c r="XAA30" t="e">
        <v>#N/A</v>
      </c>
      <c r="XAB30" t="e">
        <v>#N/A</v>
      </c>
      <c r="XAC30" t="e">
        <v>#N/A</v>
      </c>
      <c r="XAD30" t="e">
        <v>#N/A</v>
      </c>
      <c r="XAE30" t="e">
        <v>#N/A</v>
      </c>
      <c r="XAF30" t="e">
        <v>#N/A</v>
      </c>
      <c r="XAG30" t="e">
        <v>#N/A</v>
      </c>
      <c r="XAH30" t="e">
        <v>#N/A</v>
      </c>
      <c r="XAI30" t="e">
        <v>#N/A</v>
      </c>
      <c r="XAJ30" t="e">
        <v>#N/A</v>
      </c>
      <c r="XAK30" t="e">
        <v>#N/A</v>
      </c>
      <c r="XAL30" t="e">
        <v>#N/A</v>
      </c>
      <c r="XAM30" t="e">
        <v>#N/A</v>
      </c>
      <c r="XAN30" t="e">
        <v>#N/A</v>
      </c>
      <c r="XAO30" t="e">
        <v>#N/A</v>
      </c>
      <c r="XAP30" t="e">
        <v>#N/A</v>
      </c>
      <c r="XAQ30" t="e">
        <v>#N/A</v>
      </c>
      <c r="XAR30" t="e">
        <v>#N/A</v>
      </c>
      <c r="XAS30" t="e">
        <v>#N/A</v>
      </c>
      <c r="XAT30" t="e">
        <v>#N/A</v>
      </c>
      <c r="XAU30" t="e">
        <v>#N/A</v>
      </c>
      <c r="XAV30" t="e">
        <v>#N/A</v>
      </c>
      <c r="XAW30" t="e">
        <v>#N/A</v>
      </c>
      <c r="XAX30" t="e">
        <v>#N/A</v>
      </c>
      <c r="XAY30" t="e">
        <v>#N/A</v>
      </c>
      <c r="XAZ30" t="e">
        <v>#N/A</v>
      </c>
      <c r="XBA30" t="e">
        <v>#N/A</v>
      </c>
      <c r="XBB30" t="e">
        <v>#N/A</v>
      </c>
      <c r="XBC30" t="e">
        <v>#N/A</v>
      </c>
      <c r="XBD30" t="e">
        <v>#N/A</v>
      </c>
      <c r="XBE30" t="e">
        <v>#N/A</v>
      </c>
      <c r="XBF30" t="e">
        <v>#N/A</v>
      </c>
      <c r="XBG30" t="e">
        <v>#N/A</v>
      </c>
      <c r="XBH30" t="e">
        <v>#N/A</v>
      </c>
      <c r="XBI30" t="e">
        <v>#N/A</v>
      </c>
      <c r="XBJ30" t="e">
        <v>#N/A</v>
      </c>
      <c r="XBK30" t="e">
        <v>#N/A</v>
      </c>
      <c r="XBL30" t="e">
        <v>#N/A</v>
      </c>
      <c r="XBM30" t="e">
        <v>#N/A</v>
      </c>
      <c r="XBN30" t="e">
        <v>#N/A</v>
      </c>
      <c r="XBO30" t="e">
        <v>#N/A</v>
      </c>
      <c r="XBP30" t="e">
        <v>#N/A</v>
      </c>
      <c r="XBQ30" t="e">
        <v>#N/A</v>
      </c>
      <c r="XBR30" t="e">
        <v>#N/A</v>
      </c>
      <c r="XBS30" t="e">
        <v>#N/A</v>
      </c>
      <c r="XBT30" t="e">
        <v>#N/A</v>
      </c>
      <c r="XBU30" t="e">
        <v>#N/A</v>
      </c>
      <c r="XBV30" t="e">
        <v>#N/A</v>
      </c>
      <c r="XBW30" t="e">
        <v>#N/A</v>
      </c>
      <c r="XBX30" t="e">
        <v>#N/A</v>
      </c>
      <c r="XBY30" t="e">
        <v>#N/A</v>
      </c>
      <c r="XBZ30" t="e">
        <v>#N/A</v>
      </c>
      <c r="XCA30" t="e">
        <v>#N/A</v>
      </c>
      <c r="XCB30" t="e">
        <v>#N/A</v>
      </c>
      <c r="XCC30" t="e">
        <v>#N/A</v>
      </c>
      <c r="XCD30" t="e">
        <v>#N/A</v>
      </c>
      <c r="XCE30" t="e">
        <v>#N/A</v>
      </c>
      <c r="XCF30" t="e">
        <v>#N/A</v>
      </c>
      <c r="XCG30" t="e">
        <v>#N/A</v>
      </c>
      <c r="XCH30" t="e">
        <v>#N/A</v>
      </c>
      <c r="XCI30" t="e">
        <v>#N/A</v>
      </c>
      <c r="XCJ30" t="e">
        <v>#N/A</v>
      </c>
      <c r="XCK30" t="e">
        <v>#N/A</v>
      </c>
      <c r="XCL30" t="e">
        <v>#N/A</v>
      </c>
      <c r="XCM30" t="e">
        <v>#N/A</v>
      </c>
      <c r="XCN30" t="e">
        <v>#N/A</v>
      </c>
      <c r="XCO30" t="e">
        <v>#N/A</v>
      </c>
      <c r="XCP30" t="e">
        <v>#N/A</v>
      </c>
      <c r="XCQ30" t="e">
        <v>#N/A</v>
      </c>
      <c r="XCR30" t="e">
        <v>#N/A</v>
      </c>
      <c r="XCS30" t="e">
        <v>#N/A</v>
      </c>
      <c r="XCT30" t="e">
        <v>#N/A</v>
      </c>
      <c r="XCU30" t="e">
        <v>#N/A</v>
      </c>
      <c r="XCV30" t="e">
        <v>#N/A</v>
      </c>
      <c r="XCW30" t="e">
        <v>#N/A</v>
      </c>
      <c r="XCX30" t="e">
        <v>#N/A</v>
      </c>
      <c r="XCY30" t="e">
        <v>#N/A</v>
      </c>
      <c r="XCZ30" t="e">
        <v>#N/A</v>
      </c>
      <c r="XDA30" t="e">
        <v>#N/A</v>
      </c>
      <c r="XDB30" t="e">
        <v>#N/A</v>
      </c>
      <c r="XDC30" t="e">
        <v>#N/A</v>
      </c>
      <c r="XDD30" t="e">
        <v>#N/A</v>
      </c>
      <c r="XDE30" t="e">
        <v>#N/A</v>
      </c>
      <c r="XDF30" t="e">
        <v>#N/A</v>
      </c>
      <c r="XDG30" t="e">
        <v>#N/A</v>
      </c>
      <c r="XDH30" t="e">
        <v>#N/A</v>
      </c>
      <c r="XDI30" t="e">
        <v>#N/A</v>
      </c>
      <c r="XDJ30" t="e">
        <v>#N/A</v>
      </c>
      <c r="XDK30" t="e">
        <v>#N/A</v>
      </c>
      <c r="XDL30" t="e">
        <v>#N/A</v>
      </c>
      <c r="XDM30" t="e">
        <v>#N/A</v>
      </c>
      <c r="XDN30" t="e">
        <v>#N/A</v>
      </c>
      <c r="XDO30" t="e">
        <v>#N/A</v>
      </c>
      <c r="XDP30" t="e">
        <v>#N/A</v>
      </c>
      <c r="XDQ30" t="e">
        <v>#N/A</v>
      </c>
      <c r="XDR30" t="e">
        <v>#N/A</v>
      </c>
      <c r="XDS30" t="e">
        <v>#N/A</v>
      </c>
      <c r="XDT30" t="e">
        <v>#N/A</v>
      </c>
      <c r="XDU30" t="e">
        <v>#N/A</v>
      </c>
      <c r="XDV30" t="e">
        <v>#N/A</v>
      </c>
      <c r="XDW30" t="e">
        <v>#N/A</v>
      </c>
      <c r="XDX30" t="e">
        <v>#N/A</v>
      </c>
      <c r="XDY30" t="e">
        <v>#N/A</v>
      </c>
      <c r="XDZ30" t="e">
        <v>#N/A</v>
      </c>
      <c r="XEA30" t="e">
        <v>#N/A</v>
      </c>
      <c r="XEB30" t="e">
        <v>#N/A</v>
      </c>
      <c r="XEC30" t="e">
        <v>#N/A</v>
      </c>
      <c r="XED30" t="e">
        <v>#N/A</v>
      </c>
      <c r="XEE30" t="e">
        <v>#N/A</v>
      </c>
      <c r="XEF30" t="e">
        <v>#N/A</v>
      </c>
      <c r="XEG30" t="e">
        <v>#N/A</v>
      </c>
      <c r="XEH30" t="e">
        <v>#N/A</v>
      </c>
      <c r="XEI30" t="e">
        <v>#N/A</v>
      </c>
      <c r="XEJ30" t="e">
        <v>#N/A</v>
      </c>
      <c r="XEK30" t="e">
        <v>#N/A</v>
      </c>
      <c r="XEL30" t="e">
        <v>#N/A</v>
      </c>
      <c r="XEM30" t="e">
        <v>#N/A</v>
      </c>
      <c r="XEN30" t="e">
        <v>#N/A</v>
      </c>
      <c r="XEO30" t="e">
        <v>#N/A</v>
      </c>
      <c r="XEP30" t="e">
        <v>#N/A</v>
      </c>
      <c r="XEQ30" t="e">
        <v>#N/A</v>
      </c>
      <c r="XER30" t="e">
        <v>#N/A</v>
      </c>
      <c r="XES30" t="e">
        <v>#N/A</v>
      </c>
      <c r="XET30" t="e">
        <v>#N/A</v>
      </c>
      <c r="XEU30" t="e">
        <v>#N/A</v>
      </c>
      <c r="XEV30" t="e">
        <v>#N/A</v>
      </c>
      <c r="XEW30" t="e">
        <v>#N/A</v>
      </c>
      <c r="XEX30" t="e">
        <v>#N/A</v>
      </c>
      <c r="XEY30" t="e">
        <v>#N/A</v>
      </c>
      <c r="XEZ30" t="e">
        <v>#N/A</v>
      </c>
      <c r="XFA30" t="e">
        <v>#N/A</v>
      </c>
      <c r="XFB30" t="e">
        <v>#N/A</v>
      </c>
      <c r="XFC30" t="e">
        <v>#N/A</v>
      </c>
      <c r="XFD30" t="e">
        <v>#N/A</v>
      </c>
    </row>
    <row r="31" spans="1:16384" ht="19.5" customHeight="1" x14ac:dyDescent="0.25">
      <c r="CE31" t="e">
        <v>#N/A</v>
      </c>
      <c r="CF31" t="e">
        <v>#N/A</v>
      </c>
      <c r="CG31" t="e">
        <v>#N/A</v>
      </c>
      <c r="CH31" t="e">
        <v>#N/A</v>
      </c>
      <c r="CI31" t="e">
        <v>#N/A</v>
      </c>
      <c r="CJ31" t="e">
        <v>#N/A</v>
      </c>
      <c r="CK31" t="e">
        <v>#N/A</v>
      </c>
      <c r="CL31" t="e">
        <v>#N/A</v>
      </c>
      <c r="CM31" t="e">
        <v>#N/A</v>
      </c>
      <c r="CN31" t="e">
        <v>#N/A</v>
      </c>
      <c r="CO31" t="e">
        <v>#N/A</v>
      </c>
      <c r="CP31" t="e">
        <v>#N/A</v>
      </c>
      <c r="CQ31" t="e">
        <v>#N/A</v>
      </c>
      <c r="CR31" t="e">
        <v>#N/A</v>
      </c>
      <c r="CS31" t="e">
        <v>#N/A</v>
      </c>
      <c r="CT31" t="e">
        <v>#N/A</v>
      </c>
      <c r="CU31" t="e">
        <v>#N/A</v>
      </c>
      <c r="CV31" t="e">
        <v>#N/A</v>
      </c>
      <c r="CW31" t="e">
        <v>#N/A</v>
      </c>
      <c r="CX31" t="e">
        <v>#N/A</v>
      </c>
      <c r="CY31" t="e">
        <v>#N/A</v>
      </c>
      <c r="CZ31" t="e">
        <v>#N/A</v>
      </c>
      <c r="DA31" t="e">
        <v>#N/A</v>
      </c>
      <c r="DB31" t="e">
        <v>#N/A</v>
      </c>
      <c r="DC31" t="e">
        <v>#N/A</v>
      </c>
      <c r="DD31" t="e">
        <v>#N/A</v>
      </c>
      <c r="DE31" t="e">
        <v>#N/A</v>
      </c>
      <c r="DF31" t="e">
        <v>#N/A</v>
      </c>
      <c r="DG31" t="e">
        <v>#N/A</v>
      </c>
      <c r="DH31" t="e">
        <v>#N/A</v>
      </c>
      <c r="DI31" t="e">
        <v>#N/A</v>
      </c>
      <c r="DJ31" t="e">
        <v>#N/A</v>
      </c>
      <c r="DK31" t="e">
        <v>#N/A</v>
      </c>
      <c r="DL31" t="e">
        <v>#N/A</v>
      </c>
      <c r="DM31" t="e">
        <v>#N/A</v>
      </c>
      <c r="DN31" t="e">
        <v>#N/A</v>
      </c>
      <c r="DO31" t="e">
        <v>#N/A</v>
      </c>
      <c r="DP31" t="e">
        <v>#N/A</v>
      </c>
      <c r="DQ31" t="e">
        <v>#N/A</v>
      </c>
      <c r="DR31" t="e">
        <v>#N/A</v>
      </c>
      <c r="DS31" t="e">
        <v>#N/A</v>
      </c>
      <c r="DT31" t="e">
        <v>#N/A</v>
      </c>
      <c r="DU31" t="e">
        <v>#N/A</v>
      </c>
      <c r="DV31" t="e">
        <v>#N/A</v>
      </c>
      <c r="DW31" t="e">
        <v>#N/A</v>
      </c>
      <c r="DX31" t="e">
        <v>#N/A</v>
      </c>
      <c r="DY31" t="e">
        <v>#N/A</v>
      </c>
      <c r="DZ31" t="e">
        <v>#N/A</v>
      </c>
      <c r="EA31" t="e">
        <v>#N/A</v>
      </c>
      <c r="EB31" t="e">
        <v>#N/A</v>
      </c>
      <c r="EC31" t="e">
        <v>#N/A</v>
      </c>
      <c r="ED31" t="e">
        <v>#N/A</v>
      </c>
      <c r="EE31" t="e">
        <v>#N/A</v>
      </c>
      <c r="EF31" t="e">
        <v>#N/A</v>
      </c>
      <c r="EG31" t="e">
        <v>#N/A</v>
      </c>
      <c r="EH31" t="e">
        <v>#N/A</v>
      </c>
      <c r="EI31" t="e">
        <v>#N/A</v>
      </c>
      <c r="EJ31" t="e">
        <v>#N/A</v>
      </c>
      <c r="EK31" t="e">
        <v>#N/A</v>
      </c>
      <c r="EL31" t="e">
        <v>#N/A</v>
      </c>
      <c r="EM31" t="e">
        <v>#N/A</v>
      </c>
      <c r="EN31" t="e">
        <v>#N/A</v>
      </c>
      <c r="EO31" t="e">
        <v>#N/A</v>
      </c>
      <c r="EP31" t="e">
        <v>#N/A</v>
      </c>
      <c r="EQ31" t="e">
        <v>#N/A</v>
      </c>
      <c r="ER31" t="e">
        <v>#N/A</v>
      </c>
      <c r="ES31" t="e">
        <v>#N/A</v>
      </c>
      <c r="ET31" t="e">
        <v>#N/A</v>
      </c>
      <c r="EU31" t="e">
        <v>#N/A</v>
      </c>
      <c r="EV31" t="e">
        <v>#N/A</v>
      </c>
      <c r="EW31" t="e">
        <v>#N/A</v>
      </c>
      <c r="EX31" t="e">
        <v>#N/A</v>
      </c>
      <c r="EY31" t="e">
        <v>#N/A</v>
      </c>
      <c r="EZ31" t="e">
        <v>#N/A</v>
      </c>
      <c r="FA31" t="e">
        <v>#N/A</v>
      </c>
      <c r="FB31" t="e">
        <v>#N/A</v>
      </c>
      <c r="FC31" t="e">
        <v>#N/A</v>
      </c>
      <c r="FD31" t="e">
        <v>#N/A</v>
      </c>
      <c r="FE31" t="e">
        <v>#N/A</v>
      </c>
      <c r="FF31" t="e">
        <v>#N/A</v>
      </c>
      <c r="FG31" t="e">
        <v>#N/A</v>
      </c>
      <c r="FH31" t="e">
        <v>#N/A</v>
      </c>
      <c r="FI31" t="e">
        <v>#N/A</v>
      </c>
      <c r="FJ31" t="e">
        <v>#N/A</v>
      </c>
      <c r="FK31" t="e">
        <v>#N/A</v>
      </c>
      <c r="FL31" t="e">
        <v>#N/A</v>
      </c>
      <c r="FM31" t="e">
        <v>#N/A</v>
      </c>
      <c r="FN31" t="e">
        <v>#N/A</v>
      </c>
      <c r="FO31" t="e">
        <v>#N/A</v>
      </c>
      <c r="FP31" t="e">
        <v>#N/A</v>
      </c>
      <c r="FQ31" t="e">
        <v>#N/A</v>
      </c>
      <c r="FR31" t="e">
        <v>#N/A</v>
      </c>
      <c r="FS31" t="e">
        <v>#N/A</v>
      </c>
      <c r="FT31" t="e">
        <v>#N/A</v>
      </c>
      <c r="FU31" t="e">
        <v>#N/A</v>
      </c>
      <c r="FV31" t="e">
        <v>#N/A</v>
      </c>
      <c r="FW31" t="e">
        <v>#N/A</v>
      </c>
      <c r="FX31" t="e">
        <v>#N/A</v>
      </c>
      <c r="FY31" t="e">
        <v>#N/A</v>
      </c>
      <c r="FZ31" t="e">
        <v>#N/A</v>
      </c>
      <c r="GA31" t="e">
        <v>#N/A</v>
      </c>
      <c r="GB31" t="e">
        <v>#N/A</v>
      </c>
      <c r="GC31" t="e">
        <v>#N/A</v>
      </c>
      <c r="GD31" t="e">
        <v>#N/A</v>
      </c>
      <c r="GE31" t="e">
        <v>#N/A</v>
      </c>
      <c r="GF31" t="e">
        <v>#N/A</v>
      </c>
      <c r="GG31" t="e">
        <v>#N/A</v>
      </c>
      <c r="GH31" t="e">
        <v>#N/A</v>
      </c>
      <c r="GI31" t="e">
        <v>#N/A</v>
      </c>
      <c r="GJ31" t="e">
        <v>#N/A</v>
      </c>
      <c r="GK31" t="e">
        <v>#N/A</v>
      </c>
      <c r="GL31" t="e">
        <v>#N/A</v>
      </c>
      <c r="GM31" t="e">
        <v>#N/A</v>
      </c>
      <c r="GN31" t="e">
        <v>#N/A</v>
      </c>
      <c r="GO31" t="e">
        <v>#N/A</v>
      </c>
      <c r="GP31" t="e">
        <v>#N/A</v>
      </c>
      <c r="GQ31" t="e">
        <v>#N/A</v>
      </c>
      <c r="GR31" t="e">
        <v>#N/A</v>
      </c>
      <c r="GS31" t="e">
        <v>#N/A</v>
      </c>
      <c r="GT31" t="e">
        <v>#N/A</v>
      </c>
      <c r="GU31" t="e">
        <v>#N/A</v>
      </c>
      <c r="GV31" t="e">
        <v>#N/A</v>
      </c>
      <c r="GW31" t="e">
        <v>#N/A</v>
      </c>
      <c r="GX31" t="e">
        <v>#N/A</v>
      </c>
      <c r="GY31" t="e">
        <v>#N/A</v>
      </c>
      <c r="GZ31" t="e">
        <v>#N/A</v>
      </c>
      <c r="HA31" t="e">
        <v>#N/A</v>
      </c>
      <c r="HB31" t="e">
        <v>#N/A</v>
      </c>
      <c r="HC31" t="e">
        <v>#N/A</v>
      </c>
      <c r="HD31" t="e">
        <v>#N/A</v>
      </c>
      <c r="HE31" t="e">
        <v>#N/A</v>
      </c>
      <c r="HF31" t="e">
        <v>#N/A</v>
      </c>
      <c r="HG31" t="e">
        <v>#N/A</v>
      </c>
      <c r="HH31" t="e">
        <v>#N/A</v>
      </c>
      <c r="HI31" t="e">
        <v>#N/A</v>
      </c>
      <c r="HJ31" t="e">
        <v>#N/A</v>
      </c>
      <c r="HK31" t="e">
        <v>#N/A</v>
      </c>
      <c r="HL31" t="e">
        <v>#N/A</v>
      </c>
      <c r="HM31" t="e">
        <v>#N/A</v>
      </c>
      <c r="HN31" t="e">
        <v>#N/A</v>
      </c>
      <c r="HO31" t="e">
        <v>#N/A</v>
      </c>
      <c r="HP31" t="e">
        <v>#N/A</v>
      </c>
      <c r="HQ31" t="e">
        <v>#N/A</v>
      </c>
      <c r="HR31" t="e">
        <v>#N/A</v>
      </c>
      <c r="HS31" t="e">
        <v>#N/A</v>
      </c>
      <c r="HT31" t="e">
        <v>#N/A</v>
      </c>
      <c r="HU31" t="e">
        <v>#N/A</v>
      </c>
      <c r="HV31" t="e">
        <v>#N/A</v>
      </c>
      <c r="HW31" t="e">
        <v>#N/A</v>
      </c>
      <c r="HX31" t="e">
        <v>#N/A</v>
      </c>
      <c r="HY31" t="e">
        <v>#N/A</v>
      </c>
      <c r="HZ31" t="e">
        <v>#N/A</v>
      </c>
      <c r="IA31" t="e">
        <v>#N/A</v>
      </c>
      <c r="IB31" t="e">
        <v>#N/A</v>
      </c>
      <c r="IC31" t="e">
        <v>#N/A</v>
      </c>
      <c r="ID31" t="e">
        <v>#N/A</v>
      </c>
      <c r="IE31" t="e">
        <v>#N/A</v>
      </c>
      <c r="IF31" t="e">
        <v>#N/A</v>
      </c>
      <c r="IG31" t="e">
        <v>#N/A</v>
      </c>
      <c r="IH31" t="e">
        <v>#N/A</v>
      </c>
      <c r="II31" t="e">
        <v>#N/A</v>
      </c>
      <c r="IJ31" t="e">
        <v>#N/A</v>
      </c>
      <c r="IK31" t="e">
        <v>#N/A</v>
      </c>
      <c r="IL31" t="e">
        <v>#N/A</v>
      </c>
      <c r="IM31" t="e">
        <v>#N/A</v>
      </c>
      <c r="IN31" t="e">
        <v>#N/A</v>
      </c>
      <c r="IO31" t="e">
        <v>#N/A</v>
      </c>
      <c r="IP31" t="e">
        <v>#N/A</v>
      </c>
      <c r="IQ31" t="e">
        <v>#N/A</v>
      </c>
      <c r="IR31" t="e">
        <v>#N/A</v>
      </c>
      <c r="IS31" t="e">
        <v>#N/A</v>
      </c>
      <c r="IT31" t="e">
        <v>#N/A</v>
      </c>
      <c r="IU31" t="e">
        <v>#N/A</v>
      </c>
      <c r="IV31" t="e">
        <v>#N/A</v>
      </c>
      <c r="IW31" t="e">
        <v>#N/A</v>
      </c>
      <c r="IX31" t="e">
        <v>#N/A</v>
      </c>
      <c r="IY31" t="e">
        <v>#N/A</v>
      </c>
      <c r="IZ31" t="e">
        <v>#N/A</v>
      </c>
      <c r="JA31" t="e">
        <v>#N/A</v>
      </c>
      <c r="JB31" t="e">
        <v>#N/A</v>
      </c>
      <c r="JC31" t="e">
        <v>#N/A</v>
      </c>
      <c r="JD31" t="e">
        <v>#N/A</v>
      </c>
      <c r="JE31" t="e">
        <v>#N/A</v>
      </c>
      <c r="JF31" t="e">
        <v>#N/A</v>
      </c>
      <c r="JG31" t="e">
        <v>#N/A</v>
      </c>
      <c r="JH31" t="e">
        <v>#N/A</v>
      </c>
      <c r="JI31" t="e">
        <v>#N/A</v>
      </c>
      <c r="JJ31" t="e">
        <v>#N/A</v>
      </c>
      <c r="JK31" t="e">
        <v>#N/A</v>
      </c>
      <c r="JL31" t="e">
        <v>#N/A</v>
      </c>
      <c r="JM31" t="e">
        <v>#N/A</v>
      </c>
      <c r="JN31" t="e">
        <v>#N/A</v>
      </c>
      <c r="JO31" t="e">
        <v>#N/A</v>
      </c>
      <c r="JP31" t="e">
        <v>#N/A</v>
      </c>
      <c r="JQ31" t="e">
        <v>#N/A</v>
      </c>
      <c r="JR31" t="e">
        <v>#N/A</v>
      </c>
      <c r="JS31" t="e">
        <v>#N/A</v>
      </c>
      <c r="JT31" t="e">
        <v>#N/A</v>
      </c>
      <c r="JU31" t="e">
        <v>#N/A</v>
      </c>
      <c r="JV31" t="e">
        <v>#N/A</v>
      </c>
      <c r="JW31" t="e">
        <v>#N/A</v>
      </c>
      <c r="JX31" t="e">
        <v>#N/A</v>
      </c>
      <c r="JY31" t="e">
        <v>#N/A</v>
      </c>
      <c r="JZ31" t="e">
        <v>#N/A</v>
      </c>
      <c r="KA31" t="e">
        <v>#N/A</v>
      </c>
      <c r="KB31" t="e">
        <v>#N/A</v>
      </c>
      <c r="KC31" t="e">
        <v>#N/A</v>
      </c>
      <c r="KD31" t="e">
        <v>#N/A</v>
      </c>
      <c r="KE31" t="e">
        <v>#N/A</v>
      </c>
      <c r="KF31" t="e">
        <v>#N/A</v>
      </c>
      <c r="KG31" t="e">
        <v>#N/A</v>
      </c>
      <c r="KH31" t="e">
        <v>#N/A</v>
      </c>
      <c r="KI31" t="e">
        <v>#N/A</v>
      </c>
      <c r="KJ31" t="e">
        <v>#N/A</v>
      </c>
      <c r="KK31" t="e">
        <v>#N/A</v>
      </c>
      <c r="KL31" t="e">
        <v>#N/A</v>
      </c>
      <c r="KM31" t="e">
        <v>#N/A</v>
      </c>
      <c r="KN31" t="e">
        <v>#N/A</v>
      </c>
      <c r="KO31" t="e">
        <v>#N/A</v>
      </c>
      <c r="KP31" t="e">
        <v>#N/A</v>
      </c>
      <c r="KQ31" t="e">
        <v>#N/A</v>
      </c>
      <c r="KR31" t="e">
        <v>#N/A</v>
      </c>
      <c r="KS31" t="e">
        <v>#N/A</v>
      </c>
      <c r="KT31" t="e">
        <v>#N/A</v>
      </c>
      <c r="KU31" t="e">
        <v>#N/A</v>
      </c>
      <c r="KV31" t="e">
        <v>#N/A</v>
      </c>
      <c r="KW31" t="e">
        <v>#N/A</v>
      </c>
      <c r="KX31" t="e">
        <v>#N/A</v>
      </c>
      <c r="KY31" t="e">
        <v>#N/A</v>
      </c>
      <c r="KZ31" t="e">
        <v>#N/A</v>
      </c>
      <c r="LA31" t="e">
        <v>#N/A</v>
      </c>
      <c r="LB31" t="e">
        <v>#N/A</v>
      </c>
      <c r="LC31" t="e">
        <v>#N/A</v>
      </c>
      <c r="LD31" t="e">
        <v>#N/A</v>
      </c>
      <c r="LE31" t="e">
        <v>#N/A</v>
      </c>
      <c r="LF31" t="e">
        <v>#N/A</v>
      </c>
      <c r="LG31" t="e">
        <v>#N/A</v>
      </c>
      <c r="LH31" t="e">
        <v>#N/A</v>
      </c>
      <c r="LI31" t="e">
        <v>#N/A</v>
      </c>
      <c r="LJ31" t="e">
        <v>#N/A</v>
      </c>
      <c r="LK31" t="e">
        <v>#N/A</v>
      </c>
      <c r="LL31" t="e">
        <v>#N/A</v>
      </c>
      <c r="LM31" t="e">
        <v>#N/A</v>
      </c>
      <c r="LN31" t="e">
        <v>#N/A</v>
      </c>
      <c r="LO31" t="e">
        <v>#N/A</v>
      </c>
      <c r="LP31" t="e">
        <v>#N/A</v>
      </c>
      <c r="LQ31" t="e">
        <v>#N/A</v>
      </c>
      <c r="LR31" t="e">
        <v>#N/A</v>
      </c>
      <c r="LS31" t="e">
        <v>#N/A</v>
      </c>
      <c r="LT31" t="e">
        <v>#N/A</v>
      </c>
      <c r="LU31" t="e">
        <v>#N/A</v>
      </c>
      <c r="LV31" t="e">
        <v>#N/A</v>
      </c>
      <c r="LW31" t="e">
        <v>#N/A</v>
      </c>
      <c r="LX31" t="e">
        <v>#N/A</v>
      </c>
      <c r="LY31" t="e">
        <v>#N/A</v>
      </c>
      <c r="LZ31" t="e">
        <v>#N/A</v>
      </c>
      <c r="MA31" t="e">
        <v>#N/A</v>
      </c>
      <c r="MB31" t="e">
        <v>#N/A</v>
      </c>
      <c r="MC31" t="e">
        <v>#N/A</v>
      </c>
      <c r="MD31" t="e">
        <v>#N/A</v>
      </c>
      <c r="ME31" t="e">
        <v>#N/A</v>
      </c>
      <c r="MF31" t="e">
        <v>#N/A</v>
      </c>
      <c r="MG31" t="e">
        <v>#N/A</v>
      </c>
      <c r="MH31" t="e">
        <v>#N/A</v>
      </c>
      <c r="MI31" t="e">
        <v>#N/A</v>
      </c>
      <c r="MJ31" t="e">
        <v>#N/A</v>
      </c>
      <c r="MK31" t="e">
        <v>#N/A</v>
      </c>
      <c r="ML31" t="e">
        <v>#N/A</v>
      </c>
      <c r="MM31" t="e">
        <v>#N/A</v>
      </c>
      <c r="MN31" t="e">
        <v>#N/A</v>
      </c>
      <c r="MO31" t="e">
        <v>#N/A</v>
      </c>
      <c r="MP31" t="e">
        <v>#N/A</v>
      </c>
      <c r="MQ31" t="e">
        <v>#N/A</v>
      </c>
      <c r="MR31" t="e">
        <v>#N/A</v>
      </c>
      <c r="MS31" t="e">
        <v>#N/A</v>
      </c>
      <c r="MT31" t="e">
        <v>#N/A</v>
      </c>
      <c r="MU31" t="e">
        <v>#N/A</v>
      </c>
      <c r="MV31" t="e">
        <v>#N/A</v>
      </c>
      <c r="MW31" t="e">
        <v>#N/A</v>
      </c>
      <c r="MX31" t="e">
        <v>#N/A</v>
      </c>
      <c r="MY31" t="e">
        <v>#N/A</v>
      </c>
      <c r="MZ31" t="e">
        <v>#N/A</v>
      </c>
      <c r="NA31" t="e">
        <v>#N/A</v>
      </c>
      <c r="NB31" t="e">
        <v>#N/A</v>
      </c>
      <c r="NC31" t="e">
        <v>#N/A</v>
      </c>
      <c r="ND31" t="e">
        <v>#N/A</v>
      </c>
      <c r="NE31" t="e">
        <v>#N/A</v>
      </c>
      <c r="NF31" t="e">
        <v>#N/A</v>
      </c>
      <c r="NG31" t="e">
        <v>#N/A</v>
      </c>
      <c r="NH31" t="e">
        <v>#N/A</v>
      </c>
      <c r="NI31" t="e">
        <v>#N/A</v>
      </c>
      <c r="NJ31" t="e">
        <v>#N/A</v>
      </c>
      <c r="NK31" t="e">
        <v>#N/A</v>
      </c>
      <c r="NL31" t="e">
        <v>#N/A</v>
      </c>
      <c r="NM31" t="e">
        <v>#N/A</v>
      </c>
      <c r="NN31" t="e">
        <v>#N/A</v>
      </c>
      <c r="NO31" t="e">
        <v>#N/A</v>
      </c>
      <c r="NP31" t="e">
        <v>#N/A</v>
      </c>
      <c r="NQ31" t="e">
        <v>#N/A</v>
      </c>
      <c r="NR31" t="e">
        <v>#N/A</v>
      </c>
      <c r="NS31" t="e">
        <v>#N/A</v>
      </c>
      <c r="NT31" t="e">
        <v>#N/A</v>
      </c>
      <c r="NU31" t="e">
        <v>#N/A</v>
      </c>
      <c r="NV31" t="e">
        <v>#N/A</v>
      </c>
      <c r="NW31" t="e">
        <v>#N/A</v>
      </c>
      <c r="NX31" t="e">
        <v>#N/A</v>
      </c>
      <c r="NY31" t="e">
        <v>#N/A</v>
      </c>
      <c r="NZ31" t="e">
        <v>#N/A</v>
      </c>
      <c r="OA31" t="e">
        <v>#N/A</v>
      </c>
      <c r="OB31" t="e">
        <v>#N/A</v>
      </c>
      <c r="OC31" t="e">
        <v>#N/A</v>
      </c>
      <c r="OD31" t="e">
        <v>#N/A</v>
      </c>
      <c r="OE31" t="e">
        <v>#N/A</v>
      </c>
      <c r="OF31" t="e">
        <v>#N/A</v>
      </c>
      <c r="OG31" t="e">
        <v>#N/A</v>
      </c>
      <c r="OH31" t="e">
        <v>#N/A</v>
      </c>
      <c r="OI31" t="e">
        <v>#N/A</v>
      </c>
      <c r="OJ31" t="e">
        <v>#N/A</v>
      </c>
      <c r="OK31" t="e">
        <v>#N/A</v>
      </c>
      <c r="OL31" t="e">
        <v>#N/A</v>
      </c>
      <c r="OM31" t="e">
        <v>#N/A</v>
      </c>
      <c r="ON31" t="e">
        <v>#N/A</v>
      </c>
      <c r="OO31" t="e">
        <v>#N/A</v>
      </c>
      <c r="OP31" t="e">
        <v>#N/A</v>
      </c>
      <c r="OQ31" t="e">
        <v>#N/A</v>
      </c>
      <c r="OR31" t="e">
        <v>#N/A</v>
      </c>
      <c r="OS31" t="e">
        <v>#N/A</v>
      </c>
      <c r="OT31" t="e">
        <v>#N/A</v>
      </c>
      <c r="OU31" t="e">
        <v>#N/A</v>
      </c>
      <c r="OV31" t="e">
        <v>#N/A</v>
      </c>
      <c r="OW31" t="e">
        <v>#N/A</v>
      </c>
      <c r="OX31" t="e">
        <v>#N/A</v>
      </c>
      <c r="OY31" t="e">
        <v>#N/A</v>
      </c>
      <c r="OZ31" t="e">
        <v>#N/A</v>
      </c>
      <c r="PA31" t="e">
        <v>#N/A</v>
      </c>
      <c r="PB31" t="e">
        <v>#N/A</v>
      </c>
      <c r="PC31" t="e">
        <v>#N/A</v>
      </c>
      <c r="PD31" t="e">
        <v>#N/A</v>
      </c>
      <c r="PE31" t="e">
        <v>#N/A</v>
      </c>
      <c r="PF31" t="e">
        <v>#N/A</v>
      </c>
      <c r="PG31" t="e">
        <v>#N/A</v>
      </c>
      <c r="PH31" t="e">
        <v>#N/A</v>
      </c>
      <c r="PI31" t="e">
        <v>#N/A</v>
      </c>
      <c r="PJ31" t="e">
        <v>#N/A</v>
      </c>
      <c r="PK31" t="e">
        <v>#N/A</v>
      </c>
      <c r="PL31" t="e">
        <v>#N/A</v>
      </c>
      <c r="PM31" t="e">
        <v>#N/A</v>
      </c>
      <c r="PN31" t="e">
        <v>#N/A</v>
      </c>
      <c r="PO31" t="e">
        <v>#N/A</v>
      </c>
      <c r="PP31" t="e">
        <v>#N/A</v>
      </c>
      <c r="PQ31" t="e">
        <v>#N/A</v>
      </c>
      <c r="PR31" t="e">
        <v>#N/A</v>
      </c>
      <c r="PS31" t="e">
        <v>#N/A</v>
      </c>
      <c r="PT31" t="e">
        <v>#N/A</v>
      </c>
      <c r="PU31" t="e">
        <v>#N/A</v>
      </c>
      <c r="PV31" t="e">
        <v>#N/A</v>
      </c>
      <c r="PW31" t="e">
        <v>#N/A</v>
      </c>
      <c r="PX31" t="e">
        <v>#N/A</v>
      </c>
      <c r="PY31" t="e">
        <v>#N/A</v>
      </c>
      <c r="PZ31" t="e">
        <v>#N/A</v>
      </c>
      <c r="QA31" t="e">
        <v>#N/A</v>
      </c>
      <c r="QB31" t="e">
        <v>#N/A</v>
      </c>
      <c r="QC31" t="e">
        <v>#N/A</v>
      </c>
      <c r="QD31" t="e">
        <v>#N/A</v>
      </c>
      <c r="QE31" t="e">
        <v>#N/A</v>
      </c>
      <c r="QF31" t="e">
        <v>#N/A</v>
      </c>
      <c r="QG31" t="e">
        <v>#N/A</v>
      </c>
      <c r="QH31" t="e">
        <v>#N/A</v>
      </c>
      <c r="QI31" t="e">
        <v>#N/A</v>
      </c>
      <c r="QJ31" t="e">
        <v>#N/A</v>
      </c>
      <c r="QK31" t="e">
        <v>#N/A</v>
      </c>
      <c r="QL31" t="e">
        <v>#N/A</v>
      </c>
      <c r="QM31" t="e">
        <v>#N/A</v>
      </c>
      <c r="QN31" t="e">
        <v>#N/A</v>
      </c>
      <c r="QO31" t="e">
        <v>#N/A</v>
      </c>
      <c r="QP31" t="e">
        <v>#N/A</v>
      </c>
      <c r="QQ31" t="e">
        <v>#N/A</v>
      </c>
      <c r="QR31" t="e">
        <v>#N/A</v>
      </c>
      <c r="QS31" t="e">
        <v>#N/A</v>
      </c>
      <c r="QT31" t="e">
        <v>#N/A</v>
      </c>
      <c r="QU31" t="e">
        <v>#N/A</v>
      </c>
      <c r="QV31" t="e">
        <v>#N/A</v>
      </c>
      <c r="QW31" t="e">
        <v>#N/A</v>
      </c>
      <c r="QX31" t="e">
        <v>#N/A</v>
      </c>
      <c r="QY31" t="e">
        <v>#N/A</v>
      </c>
      <c r="QZ31" t="e">
        <v>#N/A</v>
      </c>
      <c r="RA31" t="e">
        <v>#N/A</v>
      </c>
      <c r="RB31" t="e">
        <v>#N/A</v>
      </c>
      <c r="RC31" t="e">
        <v>#N/A</v>
      </c>
      <c r="RD31" t="e">
        <v>#N/A</v>
      </c>
      <c r="RE31" t="e">
        <v>#N/A</v>
      </c>
      <c r="RF31" t="e">
        <v>#N/A</v>
      </c>
      <c r="RG31" t="e">
        <v>#N/A</v>
      </c>
      <c r="RH31" t="e">
        <v>#N/A</v>
      </c>
      <c r="RI31" t="e">
        <v>#N/A</v>
      </c>
      <c r="RJ31" t="e">
        <v>#N/A</v>
      </c>
      <c r="RK31" t="e">
        <v>#N/A</v>
      </c>
      <c r="RL31" t="e">
        <v>#N/A</v>
      </c>
      <c r="RM31" t="e">
        <v>#N/A</v>
      </c>
      <c r="RN31" t="e">
        <v>#N/A</v>
      </c>
      <c r="RO31" t="e">
        <v>#N/A</v>
      </c>
      <c r="RP31" t="e">
        <v>#N/A</v>
      </c>
      <c r="RQ31" t="e">
        <v>#N/A</v>
      </c>
      <c r="RR31" t="e">
        <v>#N/A</v>
      </c>
      <c r="RS31" t="e">
        <v>#N/A</v>
      </c>
      <c r="RT31" t="e">
        <v>#N/A</v>
      </c>
      <c r="RU31" t="e">
        <v>#N/A</v>
      </c>
      <c r="RV31" t="e">
        <v>#N/A</v>
      </c>
      <c r="RW31" t="e">
        <v>#N/A</v>
      </c>
      <c r="RX31" t="e">
        <v>#N/A</v>
      </c>
      <c r="RY31" t="e">
        <v>#N/A</v>
      </c>
      <c r="RZ31" t="e">
        <v>#N/A</v>
      </c>
      <c r="SA31" t="e">
        <v>#N/A</v>
      </c>
      <c r="SB31" t="e">
        <v>#N/A</v>
      </c>
      <c r="SC31" t="e">
        <v>#N/A</v>
      </c>
      <c r="SD31" t="e">
        <v>#N/A</v>
      </c>
      <c r="SE31" t="e">
        <v>#N/A</v>
      </c>
      <c r="SF31" t="e">
        <v>#N/A</v>
      </c>
      <c r="SG31" t="e">
        <v>#N/A</v>
      </c>
      <c r="SH31" t="e">
        <v>#N/A</v>
      </c>
      <c r="SI31" t="e">
        <v>#N/A</v>
      </c>
      <c r="SJ31" t="e">
        <v>#N/A</v>
      </c>
      <c r="SK31" t="e">
        <v>#N/A</v>
      </c>
      <c r="SL31" t="e">
        <v>#N/A</v>
      </c>
      <c r="SM31" t="e">
        <v>#N/A</v>
      </c>
      <c r="SN31" t="e">
        <v>#N/A</v>
      </c>
      <c r="SO31" t="e">
        <v>#N/A</v>
      </c>
      <c r="SP31" t="e">
        <v>#N/A</v>
      </c>
      <c r="SQ31" t="e">
        <v>#N/A</v>
      </c>
      <c r="SR31" t="e">
        <v>#N/A</v>
      </c>
      <c r="SS31" t="e">
        <v>#N/A</v>
      </c>
      <c r="ST31" t="e">
        <v>#N/A</v>
      </c>
      <c r="SU31" t="e">
        <v>#N/A</v>
      </c>
      <c r="SV31" t="e">
        <v>#N/A</v>
      </c>
      <c r="SW31" t="e">
        <v>#N/A</v>
      </c>
      <c r="SX31" t="e">
        <v>#N/A</v>
      </c>
      <c r="SY31" t="e">
        <v>#N/A</v>
      </c>
      <c r="SZ31" t="e">
        <v>#N/A</v>
      </c>
      <c r="TA31" t="e">
        <v>#N/A</v>
      </c>
      <c r="TB31" t="e">
        <v>#N/A</v>
      </c>
      <c r="TC31" t="e">
        <v>#N/A</v>
      </c>
      <c r="TD31" t="e">
        <v>#N/A</v>
      </c>
      <c r="TE31" t="e">
        <v>#N/A</v>
      </c>
      <c r="TF31" t="e">
        <v>#N/A</v>
      </c>
      <c r="TG31" t="e">
        <v>#N/A</v>
      </c>
      <c r="TH31" t="e">
        <v>#N/A</v>
      </c>
      <c r="TI31" t="e">
        <v>#N/A</v>
      </c>
      <c r="TJ31" t="e">
        <v>#N/A</v>
      </c>
      <c r="TK31" t="e">
        <v>#N/A</v>
      </c>
      <c r="TL31" t="e">
        <v>#N/A</v>
      </c>
      <c r="TM31" t="e">
        <v>#N/A</v>
      </c>
      <c r="TN31" t="e">
        <v>#N/A</v>
      </c>
      <c r="TO31" t="e">
        <v>#N/A</v>
      </c>
      <c r="TP31" t="e">
        <v>#N/A</v>
      </c>
      <c r="TQ31" t="e">
        <v>#N/A</v>
      </c>
      <c r="TR31" t="e">
        <v>#N/A</v>
      </c>
      <c r="TS31" t="e">
        <v>#N/A</v>
      </c>
      <c r="TT31" t="e">
        <v>#N/A</v>
      </c>
      <c r="TU31" t="e">
        <v>#N/A</v>
      </c>
      <c r="TV31" t="e">
        <v>#N/A</v>
      </c>
      <c r="TW31" t="e">
        <v>#N/A</v>
      </c>
      <c r="TX31" t="e">
        <v>#N/A</v>
      </c>
      <c r="TY31" t="e">
        <v>#N/A</v>
      </c>
      <c r="TZ31" t="e">
        <v>#N/A</v>
      </c>
      <c r="UA31" t="e">
        <v>#N/A</v>
      </c>
      <c r="UB31" t="e">
        <v>#N/A</v>
      </c>
      <c r="UC31" t="e">
        <v>#N/A</v>
      </c>
      <c r="UD31" t="e">
        <v>#N/A</v>
      </c>
      <c r="UE31" t="e">
        <v>#N/A</v>
      </c>
      <c r="UF31" t="e">
        <v>#N/A</v>
      </c>
      <c r="UG31" t="e">
        <v>#N/A</v>
      </c>
      <c r="UH31" t="e">
        <v>#N/A</v>
      </c>
      <c r="UI31" t="e">
        <v>#N/A</v>
      </c>
      <c r="UJ31" t="e">
        <v>#N/A</v>
      </c>
      <c r="UK31" t="e">
        <v>#N/A</v>
      </c>
      <c r="UL31" t="e">
        <v>#N/A</v>
      </c>
      <c r="UM31" t="e">
        <v>#N/A</v>
      </c>
      <c r="UN31" t="e">
        <v>#N/A</v>
      </c>
      <c r="UO31" t="e">
        <v>#N/A</v>
      </c>
      <c r="UP31" t="e">
        <v>#N/A</v>
      </c>
      <c r="UQ31" t="e">
        <v>#N/A</v>
      </c>
      <c r="UR31" t="e">
        <v>#N/A</v>
      </c>
      <c r="US31" t="e">
        <v>#N/A</v>
      </c>
      <c r="UT31" t="e">
        <v>#N/A</v>
      </c>
      <c r="UU31" t="e">
        <v>#N/A</v>
      </c>
      <c r="UV31" t="e">
        <v>#N/A</v>
      </c>
      <c r="UW31" t="e">
        <v>#N/A</v>
      </c>
      <c r="UX31" t="e">
        <v>#N/A</v>
      </c>
      <c r="UY31" t="e">
        <v>#N/A</v>
      </c>
      <c r="UZ31" t="e">
        <v>#N/A</v>
      </c>
      <c r="VA31" t="e">
        <v>#N/A</v>
      </c>
      <c r="VB31" t="e">
        <v>#N/A</v>
      </c>
      <c r="VC31" t="e">
        <v>#N/A</v>
      </c>
      <c r="VD31" t="e">
        <v>#N/A</v>
      </c>
      <c r="VE31" t="e">
        <v>#N/A</v>
      </c>
      <c r="VF31" t="e">
        <v>#N/A</v>
      </c>
      <c r="VG31" t="e">
        <v>#N/A</v>
      </c>
      <c r="VH31" t="e">
        <v>#N/A</v>
      </c>
      <c r="VI31" t="e">
        <v>#N/A</v>
      </c>
      <c r="VJ31" t="e">
        <v>#N/A</v>
      </c>
      <c r="VK31" t="e">
        <v>#N/A</v>
      </c>
      <c r="VL31" t="e">
        <v>#N/A</v>
      </c>
      <c r="VM31" t="e">
        <v>#N/A</v>
      </c>
      <c r="VN31" t="e">
        <v>#N/A</v>
      </c>
      <c r="VO31" t="e">
        <v>#N/A</v>
      </c>
      <c r="VP31" t="e">
        <v>#N/A</v>
      </c>
      <c r="VQ31" t="e">
        <v>#N/A</v>
      </c>
      <c r="VR31" t="e">
        <v>#N/A</v>
      </c>
      <c r="VS31" t="e">
        <v>#N/A</v>
      </c>
      <c r="VT31" t="e">
        <v>#N/A</v>
      </c>
      <c r="VU31" t="e">
        <v>#N/A</v>
      </c>
      <c r="VV31" t="e">
        <v>#N/A</v>
      </c>
      <c r="VW31" t="e">
        <v>#N/A</v>
      </c>
      <c r="VX31" t="e">
        <v>#N/A</v>
      </c>
      <c r="VY31" t="e">
        <v>#N/A</v>
      </c>
      <c r="VZ31" t="e">
        <v>#N/A</v>
      </c>
      <c r="WA31" t="e">
        <v>#N/A</v>
      </c>
      <c r="WB31" t="e">
        <v>#N/A</v>
      </c>
      <c r="WC31" t="e">
        <v>#N/A</v>
      </c>
      <c r="WD31" t="e">
        <v>#N/A</v>
      </c>
      <c r="WE31" t="e">
        <v>#N/A</v>
      </c>
      <c r="WF31" t="e">
        <v>#N/A</v>
      </c>
      <c r="WG31" t="e">
        <v>#N/A</v>
      </c>
      <c r="WH31" t="e">
        <v>#N/A</v>
      </c>
      <c r="WI31" t="e">
        <v>#N/A</v>
      </c>
      <c r="WJ31" t="e">
        <v>#N/A</v>
      </c>
      <c r="WK31" t="e">
        <v>#N/A</v>
      </c>
      <c r="WL31" t="e">
        <v>#N/A</v>
      </c>
      <c r="WM31" t="e">
        <v>#N/A</v>
      </c>
      <c r="WN31" t="e">
        <v>#N/A</v>
      </c>
      <c r="WO31" t="e">
        <v>#N/A</v>
      </c>
      <c r="WP31" t="e">
        <v>#N/A</v>
      </c>
      <c r="WQ31" t="e">
        <v>#N/A</v>
      </c>
      <c r="WR31" t="e">
        <v>#N/A</v>
      </c>
      <c r="WS31" t="e">
        <v>#N/A</v>
      </c>
      <c r="WT31" t="e">
        <v>#N/A</v>
      </c>
      <c r="WU31" t="e">
        <v>#N/A</v>
      </c>
      <c r="WV31" t="e">
        <v>#N/A</v>
      </c>
      <c r="WW31" t="e">
        <v>#N/A</v>
      </c>
      <c r="WX31" t="e">
        <v>#N/A</v>
      </c>
      <c r="WY31" t="e">
        <v>#N/A</v>
      </c>
      <c r="WZ31" t="e">
        <v>#N/A</v>
      </c>
      <c r="XA31" t="e">
        <v>#N/A</v>
      </c>
      <c r="XB31" t="e">
        <v>#N/A</v>
      </c>
      <c r="XC31" t="e">
        <v>#N/A</v>
      </c>
      <c r="XD31" t="e">
        <v>#N/A</v>
      </c>
      <c r="XE31" t="e">
        <v>#N/A</v>
      </c>
      <c r="XF31" t="e">
        <v>#N/A</v>
      </c>
      <c r="XG31" t="e">
        <v>#N/A</v>
      </c>
      <c r="XH31" t="e">
        <v>#N/A</v>
      </c>
      <c r="XI31" t="e">
        <v>#N/A</v>
      </c>
      <c r="XJ31" t="e">
        <v>#N/A</v>
      </c>
      <c r="XK31" t="e">
        <v>#N/A</v>
      </c>
      <c r="XL31" t="e">
        <v>#N/A</v>
      </c>
      <c r="XM31" t="e">
        <v>#N/A</v>
      </c>
      <c r="XN31" t="e">
        <v>#N/A</v>
      </c>
      <c r="XO31" t="e">
        <v>#N/A</v>
      </c>
      <c r="XP31" t="e">
        <v>#N/A</v>
      </c>
      <c r="XQ31" t="e">
        <v>#N/A</v>
      </c>
      <c r="XR31" t="e">
        <v>#N/A</v>
      </c>
      <c r="XS31" t="e">
        <v>#N/A</v>
      </c>
      <c r="XT31" t="e">
        <v>#N/A</v>
      </c>
      <c r="XU31" t="e">
        <v>#N/A</v>
      </c>
      <c r="XV31" t="e">
        <v>#N/A</v>
      </c>
      <c r="XW31" t="e">
        <v>#N/A</v>
      </c>
      <c r="XX31" t="e">
        <v>#N/A</v>
      </c>
      <c r="XY31" t="e">
        <v>#N/A</v>
      </c>
      <c r="XZ31" t="e">
        <v>#N/A</v>
      </c>
      <c r="YA31" t="e">
        <v>#N/A</v>
      </c>
      <c r="YB31" t="e">
        <v>#N/A</v>
      </c>
      <c r="YC31" t="e">
        <v>#N/A</v>
      </c>
      <c r="YD31" t="e">
        <v>#N/A</v>
      </c>
      <c r="YE31" t="e">
        <v>#N/A</v>
      </c>
      <c r="YF31" t="e">
        <v>#N/A</v>
      </c>
      <c r="YG31" t="e">
        <v>#N/A</v>
      </c>
      <c r="YH31" t="e">
        <v>#N/A</v>
      </c>
      <c r="YI31" t="e">
        <v>#N/A</v>
      </c>
      <c r="YJ31" t="e">
        <v>#N/A</v>
      </c>
      <c r="YK31" t="e">
        <v>#N/A</v>
      </c>
      <c r="YL31" t="e">
        <v>#N/A</v>
      </c>
      <c r="YM31" t="e">
        <v>#N/A</v>
      </c>
      <c r="YN31" t="e">
        <v>#N/A</v>
      </c>
      <c r="YO31" t="e">
        <v>#N/A</v>
      </c>
      <c r="YP31" t="e">
        <v>#N/A</v>
      </c>
      <c r="YQ31" t="e">
        <v>#N/A</v>
      </c>
      <c r="YR31" t="e">
        <v>#N/A</v>
      </c>
      <c r="YS31" t="e">
        <v>#N/A</v>
      </c>
      <c r="YT31" t="e">
        <v>#N/A</v>
      </c>
      <c r="YU31" t="e">
        <v>#N/A</v>
      </c>
      <c r="YV31" t="e">
        <v>#N/A</v>
      </c>
      <c r="YW31" t="e">
        <v>#N/A</v>
      </c>
      <c r="YX31" t="e">
        <v>#N/A</v>
      </c>
      <c r="YY31" t="e">
        <v>#N/A</v>
      </c>
      <c r="YZ31" t="e">
        <v>#N/A</v>
      </c>
      <c r="ZA31" t="e">
        <v>#N/A</v>
      </c>
      <c r="ZB31" t="e">
        <v>#N/A</v>
      </c>
      <c r="ZC31" t="e">
        <v>#N/A</v>
      </c>
      <c r="ZD31" t="e">
        <v>#N/A</v>
      </c>
      <c r="ZE31" t="e">
        <v>#N/A</v>
      </c>
      <c r="ZF31" t="e">
        <v>#N/A</v>
      </c>
      <c r="ZG31" t="e">
        <v>#N/A</v>
      </c>
      <c r="ZH31" t="e">
        <v>#N/A</v>
      </c>
      <c r="ZI31" t="e">
        <v>#N/A</v>
      </c>
      <c r="ZJ31" t="e">
        <v>#N/A</v>
      </c>
      <c r="ZK31" t="e">
        <v>#N/A</v>
      </c>
      <c r="ZL31" t="e">
        <v>#N/A</v>
      </c>
      <c r="ZM31" t="e">
        <v>#N/A</v>
      </c>
      <c r="ZN31" t="e">
        <v>#N/A</v>
      </c>
      <c r="ZO31" t="e">
        <v>#N/A</v>
      </c>
      <c r="ZP31" t="e">
        <v>#N/A</v>
      </c>
      <c r="ZQ31" t="e">
        <v>#N/A</v>
      </c>
      <c r="ZR31" t="e">
        <v>#N/A</v>
      </c>
      <c r="ZS31" t="e">
        <v>#N/A</v>
      </c>
      <c r="ZT31" t="e">
        <v>#N/A</v>
      </c>
      <c r="ZU31" t="e">
        <v>#N/A</v>
      </c>
      <c r="ZV31" t="e">
        <v>#N/A</v>
      </c>
      <c r="ZW31" t="e">
        <v>#N/A</v>
      </c>
      <c r="ZX31" t="e">
        <v>#N/A</v>
      </c>
      <c r="ZY31" t="e">
        <v>#N/A</v>
      </c>
      <c r="ZZ31" t="e">
        <v>#N/A</v>
      </c>
      <c r="AAA31" t="e">
        <v>#N/A</v>
      </c>
      <c r="AAB31" t="e">
        <v>#N/A</v>
      </c>
      <c r="AAC31" t="e">
        <v>#N/A</v>
      </c>
      <c r="AAD31" t="e">
        <v>#N/A</v>
      </c>
      <c r="AAE31" t="e">
        <v>#N/A</v>
      </c>
      <c r="AAF31" t="e">
        <v>#N/A</v>
      </c>
      <c r="AAG31" t="e">
        <v>#N/A</v>
      </c>
      <c r="AAH31" t="e">
        <v>#N/A</v>
      </c>
      <c r="AAI31" t="e">
        <v>#N/A</v>
      </c>
      <c r="AAJ31" t="e">
        <v>#N/A</v>
      </c>
      <c r="AAK31" t="e">
        <v>#N/A</v>
      </c>
      <c r="AAL31" t="e">
        <v>#N/A</v>
      </c>
      <c r="AAM31" t="e">
        <v>#N/A</v>
      </c>
      <c r="AAN31" t="e">
        <v>#N/A</v>
      </c>
      <c r="AAO31" t="e">
        <v>#N/A</v>
      </c>
      <c r="AAP31" t="e">
        <v>#N/A</v>
      </c>
      <c r="AAQ31" t="e">
        <v>#N/A</v>
      </c>
      <c r="AAR31" t="e">
        <v>#N/A</v>
      </c>
      <c r="AAS31" t="e">
        <v>#N/A</v>
      </c>
      <c r="AAT31" t="e">
        <v>#N/A</v>
      </c>
      <c r="AAU31" t="e">
        <v>#N/A</v>
      </c>
      <c r="AAV31" t="e">
        <v>#N/A</v>
      </c>
      <c r="AAW31" t="e">
        <v>#N/A</v>
      </c>
      <c r="AAX31" t="e">
        <v>#N/A</v>
      </c>
      <c r="AAY31" t="e">
        <v>#N/A</v>
      </c>
      <c r="AAZ31" t="e">
        <v>#N/A</v>
      </c>
      <c r="ABA31" t="e">
        <v>#N/A</v>
      </c>
      <c r="ABB31" t="e">
        <v>#N/A</v>
      </c>
      <c r="ABC31" t="e">
        <v>#N/A</v>
      </c>
      <c r="ABD31" t="e">
        <v>#N/A</v>
      </c>
      <c r="ABE31" t="e">
        <v>#N/A</v>
      </c>
      <c r="ABF31" t="e">
        <v>#N/A</v>
      </c>
      <c r="ABG31" t="e">
        <v>#N/A</v>
      </c>
      <c r="ABH31" t="e">
        <v>#N/A</v>
      </c>
      <c r="ABI31" t="e">
        <v>#N/A</v>
      </c>
      <c r="ABJ31" t="e">
        <v>#N/A</v>
      </c>
      <c r="ABK31" t="e">
        <v>#N/A</v>
      </c>
      <c r="ABL31" t="e">
        <v>#N/A</v>
      </c>
      <c r="ABM31" t="e">
        <v>#N/A</v>
      </c>
      <c r="ABN31" t="e">
        <v>#N/A</v>
      </c>
      <c r="ABO31" t="e">
        <v>#N/A</v>
      </c>
      <c r="ABP31" t="e">
        <v>#N/A</v>
      </c>
      <c r="ABQ31" t="e">
        <v>#N/A</v>
      </c>
      <c r="ABR31" t="e">
        <v>#N/A</v>
      </c>
      <c r="ABS31" t="e">
        <v>#N/A</v>
      </c>
      <c r="ABT31" t="e">
        <v>#N/A</v>
      </c>
      <c r="ABU31" t="e">
        <v>#N/A</v>
      </c>
      <c r="ABV31" t="e">
        <v>#N/A</v>
      </c>
      <c r="ABW31" t="e">
        <v>#N/A</v>
      </c>
      <c r="ABX31" t="e">
        <v>#N/A</v>
      </c>
      <c r="ABY31" t="e">
        <v>#N/A</v>
      </c>
      <c r="ABZ31" t="e">
        <v>#N/A</v>
      </c>
      <c r="ACA31" t="e">
        <v>#N/A</v>
      </c>
      <c r="ACB31" t="e">
        <v>#N/A</v>
      </c>
      <c r="ACC31" t="e">
        <v>#N/A</v>
      </c>
      <c r="ACD31" t="e">
        <v>#N/A</v>
      </c>
      <c r="ACE31" t="e">
        <v>#N/A</v>
      </c>
      <c r="ACF31" t="e">
        <v>#N/A</v>
      </c>
      <c r="ACG31" t="e">
        <v>#N/A</v>
      </c>
      <c r="ACH31" t="e">
        <v>#N/A</v>
      </c>
      <c r="ACI31" t="e">
        <v>#N/A</v>
      </c>
      <c r="ACJ31" t="e">
        <v>#N/A</v>
      </c>
      <c r="ACK31" t="e">
        <v>#N/A</v>
      </c>
      <c r="ACL31" t="e">
        <v>#N/A</v>
      </c>
      <c r="ACM31" t="e">
        <v>#N/A</v>
      </c>
      <c r="ACN31" t="e">
        <v>#N/A</v>
      </c>
      <c r="ACO31" t="e">
        <v>#N/A</v>
      </c>
      <c r="ACP31" t="e">
        <v>#N/A</v>
      </c>
      <c r="ACQ31" t="e">
        <v>#N/A</v>
      </c>
      <c r="ACR31" t="e">
        <v>#N/A</v>
      </c>
      <c r="ACS31" t="e">
        <v>#N/A</v>
      </c>
      <c r="ACT31" t="e">
        <v>#N/A</v>
      </c>
      <c r="ACU31" t="e">
        <v>#N/A</v>
      </c>
      <c r="ACV31" t="e">
        <v>#N/A</v>
      </c>
      <c r="ACW31" t="e">
        <v>#N/A</v>
      </c>
      <c r="ACX31" t="e">
        <v>#N/A</v>
      </c>
      <c r="ACY31" t="e">
        <v>#N/A</v>
      </c>
      <c r="ACZ31" t="e">
        <v>#N/A</v>
      </c>
      <c r="ADA31" t="e">
        <v>#N/A</v>
      </c>
      <c r="ADB31" t="e">
        <v>#N/A</v>
      </c>
      <c r="ADC31" t="e">
        <v>#N/A</v>
      </c>
      <c r="ADD31" t="e">
        <v>#N/A</v>
      </c>
      <c r="ADE31" t="e">
        <v>#N/A</v>
      </c>
      <c r="ADF31" t="e">
        <v>#N/A</v>
      </c>
      <c r="ADG31" t="e">
        <v>#N/A</v>
      </c>
      <c r="ADH31" t="e">
        <v>#N/A</v>
      </c>
      <c r="ADI31" t="e">
        <v>#N/A</v>
      </c>
      <c r="ADJ31" t="e">
        <v>#N/A</v>
      </c>
      <c r="ADK31" t="e">
        <v>#N/A</v>
      </c>
      <c r="ADL31" t="e">
        <v>#N/A</v>
      </c>
      <c r="ADM31" t="e">
        <v>#N/A</v>
      </c>
      <c r="ADN31" t="e">
        <v>#N/A</v>
      </c>
      <c r="ADO31" t="e">
        <v>#N/A</v>
      </c>
      <c r="ADP31" t="e">
        <v>#N/A</v>
      </c>
      <c r="ADQ31" t="e">
        <v>#N/A</v>
      </c>
      <c r="ADR31" t="e">
        <v>#N/A</v>
      </c>
      <c r="ADS31" t="e">
        <v>#N/A</v>
      </c>
      <c r="ADT31" t="e">
        <v>#N/A</v>
      </c>
      <c r="ADU31" t="e">
        <v>#N/A</v>
      </c>
      <c r="ADV31" t="e">
        <v>#N/A</v>
      </c>
      <c r="ADW31" t="e">
        <v>#N/A</v>
      </c>
      <c r="ADX31" t="e">
        <v>#N/A</v>
      </c>
      <c r="ADY31" t="e">
        <v>#N/A</v>
      </c>
      <c r="ADZ31" t="e">
        <v>#N/A</v>
      </c>
      <c r="AEA31" t="e">
        <v>#N/A</v>
      </c>
      <c r="AEB31" t="e">
        <v>#N/A</v>
      </c>
      <c r="AEC31" t="e">
        <v>#N/A</v>
      </c>
      <c r="AED31" t="e">
        <v>#N/A</v>
      </c>
      <c r="AEE31" t="e">
        <v>#N/A</v>
      </c>
      <c r="AEF31" t="e">
        <v>#N/A</v>
      </c>
      <c r="AEG31" t="e">
        <v>#N/A</v>
      </c>
      <c r="AEH31" t="e">
        <v>#N/A</v>
      </c>
      <c r="AEI31" t="e">
        <v>#N/A</v>
      </c>
      <c r="AEJ31" t="e">
        <v>#N/A</v>
      </c>
      <c r="AEK31" t="e">
        <v>#N/A</v>
      </c>
      <c r="AEL31" t="e">
        <v>#N/A</v>
      </c>
      <c r="AEM31" t="e">
        <v>#N/A</v>
      </c>
      <c r="AEN31" t="e">
        <v>#N/A</v>
      </c>
      <c r="AEO31" t="e">
        <v>#N/A</v>
      </c>
      <c r="AEP31" t="e">
        <v>#N/A</v>
      </c>
      <c r="AEQ31" t="e">
        <v>#N/A</v>
      </c>
      <c r="AER31" t="e">
        <v>#N/A</v>
      </c>
      <c r="AES31" t="e">
        <v>#N/A</v>
      </c>
      <c r="AET31" t="e">
        <v>#N/A</v>
      </c>
      <c r="AEU31" t="e">
        <v>#N/A</v>
      </c>
      <c r="AEV31" t="e">
        <v>#N/A</v>
      </c>
      <c r="AEW31" t="e">
        <v>#N/A</v>
      </c>
      <c r="AEX31" t="e">
        <v>#N/A</v>
      </c>
      <c r="AEY31" t="e">
        <v>#N/A</v>
      </c>
      <c r="AEZ31" t="e">
        <v>#N/A</v>
      </c>
      <c r="AFA31" t="e">
        <v>#N/A</v>
      </c>
      <c r="AFB31" t="e">
        <v>#N/A</v>
      </c>
      <c r="AFC31" t="e">
        <v>#N/A</v>
      </c>
      <c r="AFD31" t="e">
        <v>#N/A</v>
      </c>
      <c r="AFE31" t="e">
        <v>#N/A</v>
      </c>
      <c r="AFF31" t="e">
        <v>#N/A</v>
      </c>
      <c r="AFG31" t="e">
        <v>#N/A</v>
      </c>
      <c r="AFH31" t="e">
        <v>#N/A</v>
      </c>
      <c r="AFI31" t="e">
        <v>#N/A</v>
      </c>
      <c r="AFJ31" t="e">
        <v>#N/A</v>
      </c>
      <c r="AFK31" t="e">
        <v>#N/A</v>
      </c>
      <c r="AFL31" t="e">
        <v>#N/A</v>
      </c>
      <c r="AFM31" t="e">
        <v>#N/A</v>
      </c>
      <c r="AFN31" t="e">
        <v>#N/A</v>
      </c>
      <c r="AFO31" t="e">
        <v>#N/A</v>
      </c>
      <c r="AFP31" t="e">
        <v>#N/A</v>
      </c>
      <c r="AFQ31" t="e">
        <v>#N/A</v>
      </c>
      <c r="AFR31" t="e">
        <v>#N/A</v>
      </c>
      <c r="AFS31" t="e">
        <v>#N/A</v>
      </c>
      <c r="AFT31" t="e">
        <v>#N/A</v>
      </c>
      <c r="AFU31" t="e">
        <v>#N/A</v>
      </c>
      <c r="AFV31" t="e">
        <v>#N/A</v>
      </c>
      <c r="AFW31" t="e">
        <v>#N/A</v>
      </c>
      <c r="AFX31" t="e">
        <v>#N/A</v>
      </c>
      <c r="AFY31" t="e">
        <v>#N/A</v>
      </c>
      <c r="AFZ31" t="e">
        <v>#N/A</v>
      </c>
      <c r="AGA31" t="e">
        <v>#N/A</v>
      </c>
      <c r="AGB31" t="e">
        <v>#N/A</v>
      </c>
      <c r="AGC31" t="e">
        <v>#N/A</v>
      </c>
      <c r="AGD31" t="e">
        <v>#N/A</v>
      </c>
      <c r="AGE31" t="e">
        <v>#N/A</v>
      </c>
      <c r="AGF31" t="e">
        <v>#N/A</v>
      </c>
      <c r="AGG31" t="e">
        <v>#N/A</v>
      </c>
      <c r="AGH31" t="e">
        <v>#N/A</v>
      </c>
      <c r="AGI31" t="e">
        <v>#N/A</v>
      </c>
      <c r="AGJ31" t="e">
        <v>#N/A</v>
      </c>
      <c r="AGK31" t="e">
        <v>#N/A</v>
      </c>
      <c r="AGL31" t="e">
        <v>#N/A</v>
      </c>
      <c r="AGM31" t="e">
        <v>#N/A</v>
      </c>
      <c r="AGN31" t="e">
        <v>#N/A</v>
      </c>
      <c r="AGO31" t="e">
        <v>#N/A</v>
      </c>
      <c r="AGP31" t="e">
        <v>#N/A</v>
      </c>
      <c r="AGQ31" t="e">
        <v>#N/A</v>
      </c>
      <c r="AGR31" t="e">
        <v>#N/A</v>
      </c>
      <c r="AGS31" t="e">
        <v>#N/A</v>
      </c>
      <c r="AGT31" t="e">
        <v>#N/A</v>
      </c>
      <c r="AGU31" t="e">
        <v>#N/A</v>
      </c>
      <c r="AGV31" t="e">
        <v>#N/A</v>
      </c>
      <c r="AGW31" t="e">
        <v>#N/A</v>
      </c>
      <c r="AGX31" t="e">
        <v>#N/A</v>
      </c>
      <c r="AGY31" t="e">
        <v>#N/A</v>
      </c>
      <c r="AGZ31" t="e">
        <v>#N/A</v>
      </c>
      <c r="AHA31" t="e">
        <v>#N/A</v>
      </c>
      <c r="AHB31" t="e">
        <v>#N/A</v>
      </c>
      <c r="AHC31" t="e">
        <v>#N/A</v>
      </c>
      <c r="AHD31" t="e">
        <v>#N/A</v>
      </c>
      <c r="AHE31" t="e">
        <v>#N/A</v>
      </c>
      <c r="AHF31" t="e">
        <v>#N/A</v>
      </c>
      <c r="AHG31" t="e">
        <v>#N/A</v>
      </c>
      <c r="AHH31" t="e">
        <v>#N/A</v>
      </c>
      <c r="AHI31" t="e">
        <v>#N/A</v>
      </c>
      <c r="AHJ31" t="e">
        <v>#N/A</v>
      </c>
      <c r="AHK31" t="e">
        <v>#N/A</v>
      </c>
      <c r="AHL31" t="e">
        <v>#N/A</v>
      </c>
      <c r="AHM31" t="e">
        <v>#N/A</v>
      </c>
      <c r="AHN31" t="e">
        <v>#N/A</v>
      </c>
      <c r="AHO31" t="e">
        <v>#N/A</v>
      </c>
      <c r="AHP31" t="e">
        <v>#N/A</v>
      </c>
      <c r="AHQ31" t="e">
        <v>#N/A</v>
      </c>
      <c r="AHR31" t="e">
        <v>#N/A</v>
      </c>
      <c r="AHS31" t="e">
        <v>#N/A</v>
      </c>
      <c r="AHT31" t="e">
        <v>#N/A</v>
      </c>
      <c r="AHU31" t="e">
        <v>#N/A</v>
      </c>
      <c r="AHV31" t="e">
        <v>#N/A</v>
      </c>
      <c r="AHW31" t="e">
        <v>#N/A</v>
      </c>
      <c r="AHX31" t="e">
        <v>#N/A</v>
      </c>
      <c r="AHY31" t="e">
        <v>#N/A</v>
      </c>
      <c r="AHZ31" t="e">
        <v>#N/A</v>
      </c>
      <c r="AIA31" t="e">
        <v>#N/A</v>
      </c>
      <c r="AIB31" t="e">
        <v>#N/A</v>
      </c>
      <c r="AIC31" t="e">
        <v>#N/A</v>
      </c>
      <c r="AID31" t="e">
        <v>#N/A</v>
      </c>
      <c r="AIE31" t="e">
        <v>#N/A</v>
      </c>
      <c r="AIF31" t="e">
        <v>#N/A</v>
      </c>
      <c r="AIG31" t="e">
        <v>#N/A</v>
      </c>
      <c r="AIH31" t="e">
        <v>#N/A</v>
      </c>
      <c r="AII31" t="e">
        <v>#N/A</v>
      </c>
      <c r="AIJ31" t="e">
        <v>#N/A</v>
      </c>
      <c r="AIK31" t="e">
        <v>#N/A</v>
      </c>
      <c r="AIL31" t="e">
        <v>#N/A</v>
      </c>
      <c r="AIM31" t="e">
        <v>#N/A</v>
      </c>
      <c r="AIN31" t="e">
        <v>#N/A</v>
      </c>
      <c r="AIO31" t="e">
        <v>#N/A</v>
      </c>
      <c r="AIP31" t="e">
        <v>#N/A</v>
      </c>
      <c r="AIQ31" t="e">
        <v>#N/A</v>
      </c>
      <c r="AIR31" t="e">
        <v>#N/A</v>
      </c>
      <c r="AIS31" t="e">
        <v>#N/A</v>
      </c>
      <c r="AIT31" t="e">
        <v>#N/A</v>
      </c>
      <c r="AIU31" t="e">
        <v>#N/A</v>
      </c>
      <c r="AIV31" t="e">
        <v>#N/A</v>
      </c>
      <c r="AIW31" t="e">
        <v>#N/A</v>
      </c>
      <c r="AIX31" t="e">
        <v>#N/A</v>
      </c>
      <c r="AIY31" t="e">
        <v>#N/A</v>
      </c>
      <c r="AIZ31" t="e">
        <v>#N/A</v>
      </c>
      <c r="AJA31" t="e">
        <v>#N/A</v>
      </c>
      <c r="AJB31" t="e">
        <v>#N/A</v>
      </c>
      <c r="AJC31" t="e">
        <v>#N/A</v>
      </c>
      <c r="AJD31" t="e">
        <v>#N/A</v>
      </c>
      <c r="AJE31" t="e">
        <v>#N/A</v>
      </c>
      <c r="AJF31" t="e">
        <v>#N/A</v>
      </c>
      <c r="AJG31" t="e">
        <v>#N/A</v>
      </c>
      <c r="AJH31" t="e">
        <v>#N/A</v>
      </c>
      <c r="AJI31" t="e">
        <v>#N/A</v>
      </c>
      <c r="AJJ31" t="e">
        <v>#N/A</v>
      </c>
      <c r="AJK31" t="e">
        <v>#N/A</v>
      </c>
      <c r="AJL31" t="e">
        <v>#N/A</v>
      </c>
      <c r="AJM31" t="e">
        <v>#N/A</v>
      </c>
      <c r="AJN31" t="e">
        <v>#N/A</v>
      </c>
      <c r="AJO31" t="e">
        <v>#N/A</v>
      </c>
      <c r="AJP31" t="e">
        <v>#N/A</v>
      </c>
      <c r="AJQ31" t="e">
        <v>#N/A</v>
      </c>
      <c r="AJR31" t="e">
        <v>#N/A</v>
      </c>
      <c r="AJS31" t="e">
        <v>#N/A</v>
      </c>
      <c r="AJT31" t="e">
        <v>#N/A</v>
      </c>
      <c r="AJU31" t="e">
        <v>#N/A</v>
      </c>
      <c r="AJV31" t="e">
        <v>#N/A</v>
      </c>
      <c r="AJW31" t="e">
        <v>#N/A</v>
      </c>
      <c r="AJX31" t="e">
        <v>#N/A</v>
      </c>
      <c r="AJY31" t="e">
        <v>#N/A</v>
      </c>
      <c r="AJZ31" t="e">
        <v>#N/A</v>
      </c>
      <c r="AKA31" t="e">
        <v>#N/A</v>
      </c>
      <c r="AKB31" t="e">
        <v>#N/A</v>
      </c>
      <c r="AKC31" t="e">
        <v>#N/A</v>
      </c>
      <c r="AKD31" t="e">
        <v>#N/A</v>
      </c>
      <c r="AKE31" t="e">
        <v>#N/A</v>
      </c>
      <c r="AKF31" t="e">
        <v>#N/A</v>
      </c>
      <c r="AKG31" t="e">
        <v>#N/A</v>
      </c>
      <c r="AKH31" t="e">
        <v>#N/A</v>
      </c>
      <c r="AKI31" t="e">
        <v>#N/A</v>
      </c>
      <c r="AKJ31" t="e">
        <v>#N/A</v>
      </c>
      <c r="AKK31" t="e">
        <v>#N/A</v>
      </c>
      <c r="AKL31" t="e">
        <v>#N/A</v>
      </c>
      <c r="AKM31" t="e">
        <v>#N/A</v>
      </c>
      <c r="AKN31" t="e">
        <v>#N/A</v>
      </c>
      <c r="AKO31" t="e">
        <v>#N/A</v>
      </c>
      <c r="AKP31" t="e">
        <v>#N/A</v>
      </c>
      <c r="AKQ31" t="e">
        <v>#N/A</v>
      </c>
      <c r="AKR31" t="e">
        <v>#N/A</v>
      </c>
      <c r="AKS31" t="e">
        <v>#N/A</v>
      </c>
      <c r="AKT31" t="e">
        <v>#N/A</v>
      </c>
      <c r="AKU31" t="e">
        <v>#N/A</v>
      </c>
      <c r="AKV31" t="e">
        <v>#N/A</v>
      </c>
      <c r="AKW31" t="e">
        <v>#N/A</v>
      </c>
      <c r="AKX31" t="e">
        <v>#N/A</v>
      </c>
      <c r="AKY31" t="e">
        <v>#N/A</v>
      </c>
      <c r="AKZ31" t="e">
        <v>#N/A</v>
      </c>
      <c r="ALA31" t="e">
        <v>#N/A</v>
      </c>
      <c r="ALB31" t="e">
        <v>#N/A</v>
      </c>
      <c r="ALC31" t="e">
        <v>#N/A</v>
      </c>
      <c r="ALD31" t="e">
        <v>#N/A</v>
      </c>
      <c r="ALE31" t="e">
        <v>#N/A</v>
      </c>
      <c r="ALF31" t="e">
        <v>#N/A</v>
      </c>
      <c r="ALG31" t="e">
        <v>#N/A</v>
      </c>
      <c r="ALH31" t="e">
        <v>#N/A</v>
      </c>
      <c r="ALI31" t="e">
        <v>#N/A</v>
      </c>
      <c r="ALJ31" t="e">
        <v>#N/A</v>
      </c>
      <c r="ALK31" t="e">
        <v>#N/A</v>
      </c>
      <c r="ALL31" t="e">
        <v>#N/A</v>
      </c>
      <c r="ALM31" t="e">
        <v>#N/A</v>
      </c>
      <c r="ALN31" t="e">
        <v>#N/A</v>
      </c>
      <c r="ALO31" t="e">
        <v>#N/A</v>
      </c>
      <c r="ALP31" t="e">
        <v>#N/A</v>
      </c>
      <c r="ALQ31" t="e">
        <v>#N/A</v>
      </c>
      <c r="ALR31" t="e">
        <v>#N/A</v>
      </c>
      <c r="ALS31" t="e">
        <v>#N/A</v>
      </c>
      <c r="ALT31" t="e">
        <v>#N/A</v>
      </c>
      <c r="ALU31" t="e">
        <v>#N/A</v>
      </c>
      <c r="ALV31" t="e">
        <v>#N/A</v>
      </c>
      <c r="ALW31" t="e">
        <v>#N/A</v>
      </c>
      <c r="ALX31" t="e">
        <v>#N/A</v>
      </c>
      <c r="ALY31" t="e">
        <v>#N/A</v>
      </c>
      <c r="ALZ31" t="e">
        <v>#N/A</v>
      </c>
      <c r="AMA31" t="e">
        <v>#N/A</v>
      </c>
      <c r="AMB31" t="e">
        <v>#N/A</v>
      </c>
      <c r="AMC31" t="e">
        <v>#N/A</v>
      </c>
      <c r="AMD31" t="e">
        <v>#N/A</v>
      </c>
      <c r="AME31" t="e">
        <v>#N/A</v>
      </c>
      <c r="AMF31" t="e">
        <v>#N/A</v>
      </c>
      <c r="AMG31" t="e">
        <v>#N/A</v>
      </c>
      <c r="AMH31" t="e">
        <v>#N/A</v>
      </c>
      <c r="AMI31" t="e">
        <v>#N/A</v>
      </c>
      <c r="AMJ31" t="e">
        <v>#N/A</v>
      </c>
      <c r="AMK31" t="e">
        <v>#N/A</v>
      </c>
      <c r="AML31" t="e">
        <v>#N/A</v>
      </c>
      <c r="AMM31" t="e">
        <v>#N/A</v>
      </c>
      <c r="AMN31" t="e">
        <v>#N/A</v>
      </c>
      <c r="AMO31" t="e">
        <v>#N/A</v>
      </c>
      <c r="AMP31" t="e">
        <v>#N/A</v>
      </c>
      <c r="AMQ31" t="e">
        <v>#N/A</v>
      </c>
      <c r="AMR31" t="e">
        <v>#N/A</v>
      </c>
      <c r="AMS31" t="e">
        <v>#N/A</v>
      </c>
      <c r="AMT31" t="e">
        <v>#N/A</v>
      </c>
      <c r="AMU31" t="e">
        <v>#N/A</v>
      </c>
      <c r="AMV31" t="e">
        <v>#N/A</v>
      </c>
      <c r="AMW31" t="e">
        <v>#N/A</v>
      </c>
      <c r="AMX31" t="e">
        <v>#N/A</v>
      </c>
      <c r="AMY31" t="e">
        <v>#N/A</v>
      </c>
      <c r="AMZ31" t="e">
        <v>#N/A</v>
      </c>
      <c r="ANA31" t="e">
        <v>#N/A</v>
      </c>
      <c r="ANB31" t="e">
        <v>#N/A</v>
      </c>
      <c r="ANC31" t="e">
        <v>#N/A</v>
      </c>
      <c r="AND31" t="e">
        <v>#N/A</v>
      </c>
      <c r="ANE31" t="e">
        <v>#N/A</v>
      </c>
      <c r="ANF31" t="e">
        <v>#N/A</v>
      </c>
      <c r="ANG31" t="e">
        <v>#N/A</v>
      </c>
      <c r="ANH31" t="e">
        <v>#N/A</v>
      </c>
      <c r="ANI31" t="e">
        <v>#N/A</v>
      </c>
      <c r="ANJ31" t="e">
        <v>#N/A</v>
      </c>
      <c r="ANK31" t="e">
        <v>#N/A</v>
      </c>
      <c r="ANL31" t="e">
        <v>#N/A</v>
      </c>
      <c r="ANM31" t="e">
        <v>#N/A</v>
      </c>
      <c r="ANN31" t="e">
        <v>#N/A</v>
      </c>
      <c r="ANO31" t="e">
        <v>#N/A</v>
      </c>
      <c r="ANP31" t="e">
        <v>#N/A</v>
      </c>
      <c r="ANQ31" t="e">
        <v>#N/A</v>
      </c>
      <c r="ANR31" t="e">
        <v>#N/A</v>
      </c>
      <c r="ANS31" t="e">
        <v>#N/A</v>
      </c>
      <c r="ANT31" t="e">
        <v>#N/A</v>
      </c>
      <c r="ANU31" t="e">
        <v>#N/A</v>
      </c>
      <c r="ANV31" t="e">
        <v>#N/A</v>
      </c>
      <c r="ANW31" t="e">
        <v>#N/A</v>
      </c>
      <c r="ANX31" t="e">
        <v>#N/A</v>
      </c>
      <c r="ANY31" t="e">
        <v>#N/A</v>
      </c>
      <c r="ANZ31" t="e">
        <v>#N/A</v>
      </c>
      <c r="AOA31" t="e">
        <v>#N/A</v>
      </c>
      <c r="AOB31" t="e">
        <v>#N/A</v>
      </c>
      <c r="AOC31" t="e">
        <v>#N/A</v>
      </c>
      <c r="AOD31" t="e">
        <v>#N/A</v>
      </c>
      <c r="AOE31" t="e">
        <v>#N/A</v>
      </c>
      <c r="AOF31" t="e">
        <v>#N/A</v>
      </c>
      <c r="AOG31" t="e">
        <v>#N/A</v>
      </c>
      <c r="AOH31" t="e">
        <v>#N/A</v>
      </c>
      <c r="AOI31" t="e">
        <v>#N/A</v>
      </c>
      <c r="AOJ31" t="e">
        <v>#N/A</v>
      </c>
      <c r="AOK31" t="e">
        <v>#N/A</v>
      </c>
      <c r="AOL31" t="e">
        <v>#N/A</v>
      </c>
      <c r="AOM31" t="e">
        <v>#N/A</v>
      </c>
      <c r="AON31" t="e">
        <v>#N/A</v>
      </c>
      <c r="AOO31" t="e">
        <v>#N/A</v>
      </c>
      <c r="AOP31" t="e">
        <v>#N/A</v>
      </c>
      <c r="AOQ31" t="e">
        <v>#N/A</v>
      </c>
      <c r="AOR31" t="e">
        <v>#N/A</v>
      </c>
      <c r="AOS31" t="e">
        <v>#N/A</v>
      </c>
      <c r="AOT31" t="e">
        <v>#N/A</v>
      </c>
      <c r="AOU31" t="e">
        <v>#N/A</v>
      </c>
      <c r="AOV31" t="e">
        <v>#N/A</v>
      </c>
      <c r="AOW31" t="e">
        <v>#N/A</v>
      </c>
      <c r="AOX31" t="e">
        <v>#N/A</v>
      </c>
      <c r="AOY31" t="e">
        <v>#N/A</v>
      </c>
      <c r="AOZ31" t="e">
        <v>#N/A</v>
      </c>
      <c r="APA31" t="e">
        <v>#N/A</v>
      </c>
      <c r="APB31" t="e">
        <v>#N/A</v>
      </c>
      <c r="APC31" t="e">
        <v>#N/A</v>
      </c>
      <c r="APD31" t="e">
        <v>#N/A</v>
      </c>
      <c r="APE31" t="e">
        <v>#N/A</v>
      </c>
      <c r="APF31" t="e">
        <v>#N/A</v>
      </c>
      <c r="APG31" t="e">
        <v>#N/A</v>
      </c>
      <c r="APH31" t="e">
        <v>#N/A</v>
      </c>
      <c r="API31" t="e">
        <v>#N/A</v>
      </c>
      <c r="APJ31" t="e">
        <v>#N/A</v>
      </c>
      <c r="APK31" t="e">
        <v>#N/A</v>
      </c>
      <c r="APL31" t="e">
        <v>#N/A</v>
      </c>
      <c r="APM31" t="e">
        <v>#N/A</v>
      </c>
      <c r="APN31" t="e">
        <v>#N/A</v>
      </c>
      <c r="APO31" t="e">
        <v>#N/A</v>
      </c>
      <c r="APP31" t="e">
        <v>#N/A</v>
      </c>
      <c r="APQ31" t="e">
        <v>#N/A</v>
      </c>
      <c r="APR31" t="e">
        <v>#N/A</v>
      </c>
      <c r="APS31" t="e">
        <v>#N/A</v>
      </c>
      <c r="APT31" t="e">
        <v>#N/A</v>
      </c>
      <c r="APU31" t="e">
        <v>#N/A</v>
      </c>
      <c r="APV31" t="e">
        <v>#N/A</v>
      </c>
      <c r="APW31" t="e">
        <v>#N/A</v>
      </c>
      <c r="APX31" t="e">
        <v>#N/A</v>
      </c>
      <c r="APY31" t="e">
        <v>#N/A</v>
      </c>
      <c r="APZ31" t="e">
        <v>#N/A</v>
      </c>
      <c r="AQA31" t="e">
        <v>#N/A</v>
      </c>
      <c r="AQB31" t="e">
        <v>#N/A</v>
      </c>
      <c r="AQC31" t="e">
        <v>#N/A</v>
      </c>
      <c r="AQD31" t="e">
        <v>#N/A</v>
      </c>
      <c r="AQE31" t="e">
        <v>#N/A</v>
      </c>
      <c r="AQF31" t="e">
        <v>#N/A</v>
      </c>
      <c r="AQG31" t="e">
        <v>#N/A</v>
      </c>
      <c r="AQH31" t="e">
        <v>#N/A</v>
      </c>
      <c r="AQI31" t="e">
        <v>#N/A</v>
      </c>
      <c r="AQJ31" t="e">
        <v>#N/A</v>
      </c>
      <c r="AQK31" t="e">
        <v>#N/A</v>
      </c>
      <c r="AQL31" t="e">
        <v>#N/A</v>
      </c>
      <c r="AQM31" t="e">
        <v>#N/A</v>
      </c>
      <c r="AQN31" t="e">
        <v>#N/A</v>
      </c>
      <c r="AQO31" t="e">
        <v>#N/A</v>
      </c>
      <c r="AQP31" t="e">
        <v>#N/A</v>
      </c>
      <c r="AQQ31" t="e">
        <v>#N/A</v>
      </c>
      <c r="AQR31" t="e">
        <v>#N/A</v>
      </c>
      <c r="AQS31" t="e">
        <v>#N/A</v>
      </c>
      <c r="AQT31" t="e">
        <v>#N/A</v>
      </c>
      <c r="AQU31" t="e">
        <v>#N/A</v>
      </c>
      <c r="AQV31" t="e">
        <v>#N/A</v>
      </c>
      <c r="AQW31" t="e">
        <v>#N/A</v>
      </c>
      <c r="AQX31" t="e">
        <v>#N/A</v>
      </c>
      <c r="AQY31" t="e">
        <v>#N/A</v>
      </c>
      <c r="AQZ31" t="e">
        <v>#N/A</v>
      </c>
      <c r="ARA31" t="e">
        <v>#N/A</v>
      </c>
      <c r="ARB31" t="e">
        <v>#N/A</v>
      </c>
      <c r="ARC31" t="e">
        <v>#N/A</v>
      </c>
      <c r="ARD31" t="e">
        <v>#N/A</v>
      </c>
      <c r="ARE31" t="e">
        <v>#N/A</v>
      </c>
      <c r="ARF31" t="e">
        <v>#N/A</v>
      </c>
      <c r="ARG31" t="e">
        <v>#N/A</v>
      </c>
      <c r="ARH31" t="e">
        <v>#N/A</v>
      </c>
      <c r="ARI31" t="e">
        <v>#N/A</v>
      </c>
      <c r="ARJ31" t="e">
        <v>#N/A</v>
      </c>
      <c r="ARK31" t="e">
        <v>#N/A</v>
      </c>
      <c r="ARL31" t="e">
        <v>#N/A</v>
      </c>
      <c r="ARM31" t="e">
        <v>#N/A</v>
      </c>
      <c r="ARN31" t="e">
        <v>#N/A</v>
      </c>
      <c r="ARO31" t="e">
        <v>#N/A</v>
      </c>
      <c r="ARP31" t="e">
        <v>#N/A</v>
      </c>
      <c r="ARQ31" t="e">
        <v>#N/A</v>
      </c>
      <c r="ARR31" t="e">
        <v>#N/A</v>
      </c>
      <c r="ARS31" t="e">
        <v>#N/A</v>
      </c>
      <c r="ART31" t="e">
        <v>#N/A</v>
      </c>
      <c r="ARU31" t="e">
        <v>#N/A</v>
      </c>
      <c r="ARV31" t="e">
        <v>#N/A</v>
      </c>
      <c r="ARW31" t="e">
        <v>#N/A</v>
      </c>
      <c r="ARX31" t="e">
        <v>#N/A</v>
      </c>
      <c r="ARY31" t="e">
        <v>#N/A</v>
      </c>
      <c r="ARZ31" t="e">
        <v>#N/A</v>
      </c>
      <c r="ASA31" t="e">
        <v>#N/A</v>
      </c>
      <c r="ASB31" t="e">
        <v>#N/A</v>
      </c>
      <c r="ASC31" t="e">
        <v>#N/A</v>
      </c>
      <c r="ASD31" t="e">
        <v>#N/A</v>
      </c>
      <c r="ASE31" t="e">
        <v>#N/A</v>
      </c>
      <c r="ASF31" t="e">
        <v>#N/A</v>
      </c>
      <c r="ASG31" t="e">
        <v>#N/A</v>
      </c>
      <c r="ASH31" t="e">
        <v>#N/A</v>
      </c>
      <c r="ASI31" t="e">
        <v>#N/A</v>
      </c>
      <c r="ASJ31" t="e">
        <v>#N/A</v>
      </c>
      <c r="ASK31" t="e">
        <v>#N/A</v>
      </c>
      <c r="ASL31" t="e">
        <v>#N/A</v>
      </c>
      <c r="ASM31" t="e">
        <v>#N/A</v>
      </c>
      <c r="ASN31" t="e">
        <v>#N/A</v>
      </c>
      <c r="ASO31" t="e">
        <v>#N/A</v>
      </c>
      <c r="ASP31" t="e">
        <v>#N/A</v>
      </c>
      <c r="ASQ31" t="e">
        <v>#N/A</v>
      </c>
      <c r="ASR31" t="e">
        <v>#N/A</v>
      </c>
      <c r="ASS31" t="e">
        <v>#N/A</v>
      </c>
      <c r="AST31" t="e">
        <v>#N/A</v>
      </c>
      <c r="ASU31" t="e">
        <v>#N/A</v>
      </c>
      <c r="ASV31" t="e">
        <v>#N/A</v>
      </c>
      <c r="ASW31" t="e">
        <v>#N/A</v>
      </c>
      <c r="ASX31" t="e">
        <v>#N/A</v>
      </c>
      <c r="ASY31" t="e">
        <v>#N/A</v>
      </c>
      <c r="ASZ31" t="e">
        <v>#N/A</v>
      </c>
      <c r="ATA31" t="e">
        <v>#N/A</v>
      </c>
      <c r="ATB31" t="e">
        <v>#N/A</v>
      </c>
      <c r="ATC31" t="e">
        <v>#N/A</v>
      </c>
      <c r="ATD31" t="e">
        <v>#N/A</v>
      </c>
      <c r="ATE31" t="e">
        <v>#N/A</v>
      </c>
      <c r="ATF31" t="e">
        <v>#N/A</v>
      </c>
      <c r="ATG31" t="e">
        <v>#N/A</v>
      </c>
      <c r="ATH31" t="e">
        <v>#N/A</v>
      </c>
      <c r="ATI31" t="e">
        <v>#N/A</v>
      </c>
      <c r="ATJ31" t="e">
        <v>#N/A</v>
      </c>
      <c r="ATK31" t="e">
        <v>#N/A</v>
      </c>
      <c r="ATL31" t="e">
        <v>#N/A</v>
      </c>
      <c r="ATM31" t="e">
        <v>#N/A</v>
      </c>
      <c r="ATN31" t="e">
        <v>#N/A</v>
      </c>
      <c r="ATO31" t="e">
        <v>#N/A</v>
      </c>
      <c r="ATP31" t="e">
        <v>#N/A</v>
      </c>
      <c r="ATQ31" t="e">
        <v>#N/A</v>
      </c>
      <c r="ATR31" t="e">
        <v>#N/A</v>
      </c>
      <c r="ATS31" t="e">
        <v>#N/A</v>
      </c>
      <c r="ATT31" t="e">
        <v>#N/A</v>
      </c>
      <c r="ATU31" t="e">
        <v>#N/A</v>
      </c>
      <c r="ATV31" t="e">
        <v>#N/A</v>
      </c>
      <c r="ATW31" t="e">
        <v>#N/A</v>
      </c>
      <c r="ATX31" t="e">
        <v>#N/A</v>
      </c>
      <c r="ATY31" t="e">
        <v>#N/A</v>
      </c>
      <c r="ATZ31" t="e">
        <v>#N/A</v>
      </c>
      <c r="AUA31" t="e">
        <v>#N/A</v>
      </c>
      <c r="AUB31" t="e">
        <v>#N/A</v>
      </c>
      <c r="AUC31" t="e">
        <v>#N/A</v>
      </c>
      <c r="AUD31" t="e">
        <v>#N/A</v>
      </c>
      <c r="AUE31" t="e">
        <v>#N/A</v>
      </c>
      <c r="AUF31" t="e">
        <v>#N/A</v>
      </c>
      <c r="AUG31" t="e">
        <v>#N/A</v>
      </c>
      <c r="AUH31" t="e">
        <v>#N/A</v>
      </c>
      <c r="AUI31" t="e">
        <v>#N/A</v>
      </c>
      <c r="AUJ31" t="e">
        <v>#N/A</v>
      </c>
      <c r="AUK31" t="e">
        <v>#N/A</v>
      </c>
      <c r="AUL31" t="e">
        <v>#N/A</v>
      </c>
      <c r="AUM31" t="e">
        <v>#N/A</v>
      </c>
      <c r="AUN31" t="e">
        <v>#N/A</v>
      </c>
      <c r="AUO31" t="e">
        <v>#N/A</v>
      </c>
      <c r="AUP31" t="e">
        <v>#N/A</v>
      </c>
      <c r="AUQ31" t="e">
        <v>#N/A</v>
      </c>
      <c r="AUR31" t="e">
        <v>#N/A</v>
      </c>
      <c r="AUS31" t="e">
        <v>#N/A</v>
      </c>
      <c r="AUT31" t="e">
        <v>#N/A</v>
      </c>
      <c r="AUU31" t="e">
        <v>#N/A</v>
      </c>
      <c r="AUV31" t="e">
        <v>#N/A</v>
      </c>
      <c r="AUW31" t="e">
        <v>#N/A</v>
      </c>
      <c r="AUX31" t="e">
        <v>#N/A</v>
      </c>
      <c r="AUY31" t="e">
        <v>#N/A</v>
      </c>
      <c r="AUZ31" t="e">
        <v>#N/A</v>
      </c>
      <c r="AVA31" t="e">
        <v>#N/A</v>
      </c>
      <c r="AVB31" t="e">
        <v>#N/A</v>
      </c>
      <c r="AVC31" t="e">
        <v>#N/A</v>
      </c>
      <c r="AVD31" t="e">
        <v>#N/A</v>
      </c>
      <c r="AVE31" t="e">
        <v>#N/A</v>
      </c>
      <c r="AVF31" t="e">
        <v>#N/A</v>
      </c>
      <c r="AVG31" t="e">
        <v>#N/A</v>
      </c>
      <c r="AVH31" t="e">
        <v>#N/A</v>
      </c>
      <c r="AVI31" t="e">
        <v>#N/A</v>
      </c>
      <c r="AVJ31" t="e">
        <v>#N/A</v>
      </c>
      <c r="AVK31" t="e">
        <v>#N/A</v>
      </c>
      <c r="AVL31" t="e">
        <v>#N/A</v>
      </c>
      <c r="AVM31" t="e">
        <v>#N/A</v>
      </c>
      <c r="AVN31" t="e">
        <v>#N/A</v>
      </c>
      <c r="AVO31" t="e">
        <v>#N/A</v>
      </c>
      <c r="AVP31" t="e">
        <v>#N/A</v>
      </c>
      <c r="AVQ31" t="e">
        <v>#N/A</v>
      </c>
      <c r="AVR31" t="e">
        <v>#N/A</v>
      </c>
      <c r="AVS31" t="e">
        <v>#N/A</v>
      </c>
      <c r="AVT31" t="e">
        <v>#N/A</v>
      </c>
      <c r="AVU31" t="e">
        <v>#N/A</v>
      </c>
      <c r="AVV31" t="e">
        <v>#N/A</v>
      </c>
      <c r="AVW31" t="e">
        <v>#N/A</v>
      </c>
      <c r="AVX31" t="e">
        <v>#N/A</v>
      </c>
      <c r="AVY31" t="e">
        <v>#N/A</v>
      </c>
      <c r="AVZ31" t="e">
        <v>#N/A</v>
      </c>
      <c r="AWA31" t="e">
        <v>#N/A</v>
      </c>
      <c r="AWB31" t="e">
        <v>#N/A</v>
      </c>
      <c r="AWC31" t="e">
        <v>#N/A</v>
      </c>
      <c r="AWD31" t="e">
        <v>#N/A</v>
      </c>
      <c r="AWE31" t="e">
        <v>#N/A</v>
      </c>
      <c r="AWF31" t="e">
        <v>#N/A</v>
      </c>
      <c r="AWG31" t="e">
        <v>#N/A</v>
      </c>
      <c r="AWH31" t="e">
        <v>#N/A</v>
      </c>
      <c r="AWI31" t="e">
        <v>#N/A</v>
      </c>
      <c r="AWJ31" t="e">
        <v>#N/A</v>
      </c>
      <c r="AWK31" t="e">
        <v>#N/A</v>
      </c>
      <c r="AWL31" t="e">
        <v>#N/A</v>
      </c>
      <c r="AWM31" t="e">
        <v>#N/A</v>
      </c>
      <c r="AWN31" t="e">
        <v>#N/A</v>
      </c>
      <c r="AWO31" t="e">
        <v>#N/A</v>
      </c>
      <c r="AWP31" t="e">
        <v>#N/A</v>
      </c>
      <c r="AWQ31" t="e">
        <v>#N/A</v>
      </c>
      <c r="AWR31" t="e">
        <v>#N/A</v>
      </c>
      <c r="AWS31" t="e">
        <v>#N/A</v>
      </c>
      <c r="AWT31" t="e">
        <v>#N/A</v>
      </c>
      <c r="AWU31" t="e">
        <v>#N/A</v>
      </c>
      <c r="AWV31" t="e">
        <v>#N/A</v>
      </c>
      <c r="AWW31" t="e">
        <v>#N/A</v>
      </c>
      <c r="AWX31" t="e">
        <v>#N/A</v>
      </c>
      <c r="AWY31" t="e">
        <v>#N/A</v>
      </c>
      <c r="AWZ31" t="e">
        <v>#N/A</v>
      </c>
      <c r="AXA31" t="e">
        <v>#N/A</v>
      </c>
      <c r="AXB31" t="e">
        <v>#N/A</v>
      </c>
      <c r="AXC31" t="e">
        <v>#N/A</v>
      </c>
      <c r="AXD31" t="e">
        <v>#N/A</v>
      </c>
      <c r="AXE31" t="e">
        <v>#N/A</v>
      </c>
      <c r="AXF31" t="e">
        <v>#N/A</v>
      </c>
      <c r="AXG31" t="e">
        <v>#N/A</v>
      </c>
      <c r="AXH31" t="e">
        <v>#N/A</v>
      </c>
      <c r="AXI31" t="e">
        <v>#N/A</v>
      </c>
      <c r="AXJ31" t="e">
        <v>#N/A</v>
      </c>
      <c r="AXK31" t="e">
        <v>#N/A</v>
      </c>
      <c r="AXL31" t="e">
        <v>#N/A</v>
      </c>
      <c r="AXM31" t="e">
        <v>#N/A</v>
      </c>
      <c r="AXN31" t="e">
        <v>#N/A</v>
      </c>
      <c r="AXO31" t="e">
        <v>#N/A</v>
      </c>
      <c r="AXP31" t="e">
        <v>#N/A</v>
      </c>
      <c r="AXQ31" t="e">
        <v>#N/A</v>
      </c>
      <c r="AXR31" t="e">
        <v>#N/A</v>
      </c>
      <c r="AXS31" t="e">
        <v>#N/A</v>
      </c>
      <c r="AXT31" t="e">
        <v>#N/A</v>
      </c>
      <c r="AXU31" t="e">
        <v>#N/A</v>
      </c>
      <c r="AXV31" t="e">
        <v>#N/A</v>
      </c>
      <c r="AXW31" t="e">
        <v>#N/A</v>
      </c>
      <c r="AXX31" t="e">
        <v>#N/A</v>
      </c>
      <c r="AXY31" t="e">
        <v>#N/A</v>
      </c>
      <c r="AXZ31" t="e">
        <v>#N/A</v>
      </c>
      <c r="AYA31" t="e">
        <v>#N/A</v>
      </c>
      <c r="AYB31" t="e">
        <v>#N/A</v>
      </c>
      <c r="AYC31" t="e">
        <v>#N/A</v>
      </c>
      <c r="AYD31" t="e">
        <v>#N/A</v>
      </c>
      <c r="AYE31" t="e">
        <v>#N/A</v>
      </c>
      <c r="AYF31" t="e">
        <v>#N/A</v>
      </c>
      <c r="AYG31" t="e">
        <v>#N/A</v>
      </c>
      <c r="AYH31" t="e">
        <v>#N/A</v>
      </c>
      <c r="AYI31" t="e">
        <v>#N/A</v>
      </c>
      <c r="AYJ31" t="e">
        <v>#N/A</v>
      </c>
      <c r="AYK31" t="e">
        <v>#N/A</v>
      </c>
      <c r="AYL31" t="e">
        <v>#N/A</v>
      </c>
      <c r="AYM31" t="e">
        <v>#N/A</v>
      </c>
      <c r="AYN31" t="e">
        <v>#N/A</v>
      </c>
      <c r="AYO31" t="e">
        <v>#N/A</v>
      </c>
      <c r="AYP31" t="e">
        <v>#N/A</v>
      </c>
      <c r="AYQ31" t="e">
        <v>#N/A</v>
      </c>
      <c r="AYR31" t="e">
        <v>#N/A</v>
      </c>
      <c r="AYS31" t="e">
        <v>#N/A</v>
      </c>
      <c r="AYT31" t="e">
        <v>#N/A</v>
      </c>
      <c r="AYU31" t="e">
        <v>#N/A</v>
      </c>
      <c r="AYV31" t="e">
        <v>#N/A</v>
      </c>
      <c r="AYW31" t="e">
        <v>#N/A</v>
      </c>
      <c r="AYX31" t="e">
        <v>#N/A</v>
      </c>
      <c r="AYY31" t="e">
        <v>#N/A</v>
      </c>
      <c r="AYZ31" t="e">
        <v>#N/A</v>
      </c>
      <c r="AZA31" t="e">
        <v>#N/A</v>
      </c>
      <c r="AZB31" t="e">
        <v>#N/A</v>
      </c>
      <c r="AZC31" t="e">
        <v>#N/A</v>
      </c>
      <c r="AZD31" t="e">
        <v>#N/A</v>
      </c>
      <c r="AZE31" t="e">
        <v>#N/A</v>
      </c>
      <c r="AZF31" t="e">
        <v>#N/A</v>
      </c>
      <c r="AZG31" t="e">
        <v>#N/A</v>
      </c>
      <c r="AZH31" t="e">
        <v>#N/A</v>
      </c>
      <c r="AZI31" t="e">
        <v>#N/A</v>
      </c>
      <c r="AZJ31" t="e">
        <v>#N/A</v>
      </c>
      <c r="AZK31" t="e">
        <v>#N/A</v>
      </c>
      <c r="AZL31" t="e">
        <v>#N/A</v>
      </c>
      <c r="AZM31" t="e">
        <v>#N/A</v>
      </c>
      <c r="AZN31" t="e">
        <v>#N/A</v>
      </c>
      <c r="AZO31" t="e">
        <v>#N/A</v>
      </c>
      <c r="AZP31" t="e">
        <v>#N/A</v>
      </c>
      <c r="AZQ31" t="e">
        <v>#N/A</v>
      </c>
      <c r="AZR31" t="e">
        <v>#N/A</v>
      </c>
      <c r="AZS31" t="e">
        <v>#N/A</v>
      </c>
      <c r="AZT31" t="e">
        <v>#N/A</v>
      </c>
      <c r="AZU31" t="e">
        <v>#N/A</v>
      </c>
      <c r="AZV31" t="e">
        <v>#N/A</v>
      </c>
      <c r="AZW31" t="e">
        <v>#N/A</v>
      </c>
      <c r="AZX31" t="e">
        <v>#N/A</v>
      </c>
      <c r="AZY31" t="e">
        <v>#N/A</v>
      </c>
      <c r="AZZ31" t="e">
        <v>#N/A</v>
      </c>
      <c r="BAA31" t="e">
        <v>#N/A</v>
      </c>
      <c r="BAB31" t="e">
        <v>#N/A</v>
      </c>
      <c r="BAC31" t="e">
        <v>#N/A</v>
      </c>
      <c r="BAD31" t="e">
        <v>#N/A</v>
      </c>
      <c r="BAE31" t="e">
        <v>#N/A</v>
      </c>
      <c r="BAF31" t="e">
        <v>#N/A</v>
      </c>
      <c r="BAG31" t="e">
        <v>#N/A</v>
      </c>
      <c r="BAH31" t="e">
        <v>#N/A</v>
      </c>
      <c r="BAI31" t="e">
        <v>#N/A</v>
      </c>
      <c r="BAJ31" t="e">
        <v>#N/A</v>
      </c>
      <c r="BAK31" t="e">
        <v>#N/A</v>
      </c>
      <c r="BAL31" t="e">
        <v>#N/A</v>
      </c>
      <c r="BAM31" t="e">
        <v>#N/A</v>
      </c>
      <c r="BAN31" t="e">
        <v>#N/A</v>
      </c>
      <c r="BAO31" t="e">
        <v>#N/A</v>
      </c>
      <c r="BAP31" t="e">
        <v>#N/A</v>
      </c>
      <c r="BAQ31" t="e">
        <v>#N/A</v>
      </c>
      <c r="BAR31" t="e">
        <v>#N/A</v>
      </c>
      <c r="BAS31" t="e">
        <v>#N/A</v>
      </c>
      <c r="BAT31" t="e">
        <v>#N/A</v>
      </c>
      <c r="BAU31" t="e">
        <v>#N/A</v>
      </c>
      <c r="BAV31" t="e">
        <v>#N/A</v>
      </c>
      <c r="BAW31" t="e">
        <v>#N/A</v>
      </c>
      <c r="BAX31" t="e">
        <v>#N/A</v>
      </c>
      <c r="BAY31" t="e">
        <v>#N/A</v>
      </c>
      <c r="BAZ31" t="e">
        <v>#N/A</v>
      </c>
      <c r="BBA31" t="e">
        <v>#N/A</v>
      </c>
      <c r="BBB31" t="e">
        <v>#N/A</v>
      </c>
      <c r="BBC31" t="e">
        <v>#N/A</v>
      </c>
      <c r="BBD31" t="e">
        <v>#N/A</v>
      </c>
      <c r="BBE31" t="e">
        <v>#N/A</v>
      </c>
      <c r="BBF31" t="e">
        <v>#N/A</v>
      </c>
      <c r="BBG31" t="e">
        <v>#N/A</v>
      </c>
      <c r="BBH31" t="e">
        <v>#N/A</v>
      </c>
      <c r="BBI31" t="e">
        <v>#N/A</v>
      </c>
      <c r="BBJ31" t="e">
        <v>#N/A</v>
      </c>
      <c r="BBK31" t="e">
        <v>#N/A</v>
      </c>
      <c r="BBL31" t="e">
        <v>#N/A</v>
      </c>
      <c r="BBM31" t="e">
        <v>#N/A</v>
      </c>
      <c r="BBN31" t="e">
        <v>#N/A</v>
      </c>
      <c r="BBO31" t="e">
        <v>#N/A</v>
      </c>
      <c r="BBP31" t="e">
        <v>#N/A</v>
      </c>
      <c r="BBQ31" t="e">
        <v>#N/A</v>
      </c>
      <c r="BBR31" t="e">
        <v>#N/A</v>
      </c>
      <c r="BBS31" t="e">
        <v>#N/A</v>
      </c>
      <c r="BBT31" t="e">
        <v>#N/A</v>
      </c>
      <c r="BBU31" t="e">
        <v>#N/A</v>
      </c>
      <c r="BBV31" t="e">
        <v>#N/A</v>
      </c>
      <c r="BBW31" t="e">
        <v>#N/A</v>
      </c>
      <c r="BBX31" t="e">
        <v>#N/A</v>
      </c>
      <c r="BBY31" t="e">
        <v>#N/A</v>
      </c>
      <c r="BBZ31" t="e">
        <v>#N/A</v>
      </c>
      <c r="BCA31" t="e">
        <v>#N/A</v>
      </c>
      <c r="BCB31" t="e">
        <v>#N/A</v>
      </c>
      <c r="BCC31" t="e">
        <v>#N/A</v>
      </c>
      <c r="BCD31" t="e">
        <v>#N/A</v>
      </c>
      <c r="BCE31" t="e">
        <v>#N/A</v>
      </c>
      <c r="BCF31" t="e">
        <v>#N/A</v>
      </c>
      <c r="BCG31" t="e">
        <v>#N/A</v>
      </c>
      <c r="BCH31" t="e">
        <v>#N/A</v>
      </c>
      <c r="BCI31" t="e">
        <v>#N/A</v>
      </c>
      <c r="BCJ31" t="e">
        <v>#N/A</v>
      </c>
      <c r="BCK31" t="e">
        <v>#N/A</v>
      </c>
      <c r="BCL31" t="e">
        <v>#N/A</v>
      </c>
      <c r="BCM31" t="e">
        <v>#N/A</v>
      </c>
      <c r="BCN31" t="e">
        <v>#N/A</v>
      </c>
      <c r="BCO31" t="e">
        <v>#N/A</v>
      </c>
      <c r="BCP31" t="e">
        <v>#N/A</v>
      </c>
      <c r="BCQ31" t="e">
        <v>#N/A</v>
      </c>
      <c r="BCR31" t="e">
        <v>#N/A</v>
      </c>
      <c r="BCS31" t="e">
        <v>#N/A</v>
      </c>
      <c r="BCT31" t="e">
        <v>#N/A</v>
      </c>
      <c r="BCU31" t="e">
        <v>#N/A</v>
      </c>
      <c r="BCV31" t="e">
        <v>#N/A</v>
      </c>
      <c r="BCW31" t="e">
        <v>#N/A</v>
      </c>
      <c r="BCX31" t="e">
        <v>#N/A</v>
      </c>
      <c r="BCY31" t="e">
        <v>#N/A</v>
      </c>
      <c r="BCZ31" t="e">
        <v>#N/A</v>
      </c>
      <c r="BDA31" t="e">
        <v>#N/A</v>
      </c>
      <c r="BDB31" t="e">
        <v>#N/A</v>
      </c>
      <c r="BDC31" t="e">
        <v>#N/A</v>
      </c>
      <c r="BDD31" t="e">
        <v>#N/A</v>
      </c>
      <c r="BDE31" t="e">
        <v>#N/A</v>
      </c>
      <c r="BDF31" t="e">
        <v>#N/A</v>
      </c>
      <c r="BDG31" t="e">
        <v>#N/A</v>
      </c>
      <c r="BDH31" t="e">
        <v>#N/A</v>
      </c>
      <c r="BDI31" t="e">
        <v>#N/A</v>
      </c>
      <c r="BDJ31" t="e">
        <v>#N/A</v>
      </c>
      <c r="BDK31" t="e">
        <v>#N/A</v>
      </c>
      <c r="BDL31" t="e">
        <v>#N/A</v>
      </c>
      <c r="BDM31" t="e">
        <v>#N/A</v>
      </c>
      <c r="BDN31" t="e">
        <v>#N/A</v>
      </c>
      <c r="BDO31" t="e">
        <v>#N/A</v>
      </c>
      <c r="BDP31" t="e">
        <v>#N/A</v>
      </c>
      <c r="BDQ31" t="e">
        <v>#N/A</v>
      </c>
      <c r="BDR31" t="e">
        <v>#N/A</v>
      </c>
      <c r="BDS31" t="e">
        <v>#N/A</v>
      </c>
      <c r="BDT31" t="e">
        <v>#N/A</v>
      </c>
      <c r="BDU31" t="e">
        <v>#N/A</v>
      </c>
      <c r="BDV31" t="e">
        <v>#N/A</v>
      </c>
      <c r="BDW31" t="e">
        <v>#N/A</v>
      </c>
      <c r="BDX31" t="e">
        <v>#N/A</v>
      </c>
      <c r="BDY31" t="e">
        <v>#N/A</v>
      </c>
      <c r="BDZ31" t="e">
        <v>#N/A</v>
      </c>
      <c r="BEA31" t="e">
        <v>#N/A</v>
      </c>
      <c r="BEB31" t="e">
        <v>#N/A</v>
      </c>
      <c r="BEC31" t="e">
        <v>#N/A</v>
      </c>
      <c r="BED31" t="e">
        <v>#N/A</v>
      </c>
      <c r="BEE31" t="e">
        <v>#N/A</v>
      </c>
      <c r="BEF31" t="e">
        <v>#N/A</v>
      </c>
      <c r="BEG31" t="e">
        <v>#N/A</v>
      </c>
      <c r="BEH31" t="e">
        <v>#N/A</v>
      </c>
      <c r="BEI31" t="e">
        <v>#N/A</v>
      </c>
      <c r="BEJ31" t="e">
        <v>#N/A</v>
      </c>
      <c r="BEK31" t="e">
        <v>#N/A</v>
      </c>
      <c r="BEL31" t="e">
        <v>#N/A</v>
      </c>
      <c r="BEM31" t="e">
        <v>#N/A</v>
      </c>
      <c r="BEN31" t="e">
        <v>#N/A</v>
      </c>
      <c r="BEO31" t="e">
        <v>#N/A</v>
      </c>
      <c r="BEP31" t="e">
        <v>#N/A</v>
      </c>
      <c r="BEQ31" t="e">
        <v>#N/A</v>
      </c>
      <c r="BER31" t="e">
        <v>#N/A</v>
      </c>
      <c r="BES31" t="e">
        <v>#N/A</v>
      </c>
      <c r="BET31" t="e">
        <v>#N/A</v>
      </c>
      <c r="BEU31" t="e">
        <v>#N/A</v>
      </c>
      <c r="BEV31" t="e">
        <v>#N/A</v>
      </c>
      <c r="BEW31" t="e">
        <v>#N/A</v>
      </c>
      <c r="BEX31" t="e">
        <v>#N/A</v>
      </c>
      <c r="BEY31" t="e">
        <v>#N/A</v>
      </c>
      <c r="BEZ31" t="e">
        <v>#N/A</v>
      </c>
      <c r="BFA31" t="e">
        <v>#N/A</v>
      </c>
      <c r="BFB31" t="e">
        <v>#N/A</v>
      </c>
      <c r="BFC31" t="e">
        <v>#N/A</v>
      </c>
      <c r="BFD31" t="e">
        <v>#N/A</v>
      </c>
      <c r="BFE31" t="e">
        <v>#N/A</v>
      </c>
      <c r="BFF31" t="e">
        <v>#N/A</v>
      </c>
      <c r="BFG31" t="e">
        <v>#N/A</v>
      </c>
      <c r="BFH31" t="e">
        <v>#N/A</v>
      </c>
      <c r="BFI31" t="e">
        <v>#N/A</v>
      </c>
      <c r="BFJ31" t="e">
        <v>#N/A</v>
      </c>
      <c r="BFK31" t="e">
        <v>#N/A</v>
      </c>
      <c r="BFL31" t="e">
        <v>#N/A</v>
      </c>
      <c r="BFM31" t="e">
        <v>#N/A</v>
      </c>
      <c r="BFN31" t="e">
        <v>#N/A</v>
      </c>
      <c r="BFO31" t="e">
        <v>#N/A</v>
      </c>
      <c r="BFP31" t="e">
        <v>#N/A</v>
      </c>
      <c r="BFQ31" t="e">
        <v>#N/A</v>
      </c>
      <c r="BFR31" t="e">
        <v>#N/A</v>
      </c>
      <c r="BFS31" t="e">
        <v>#N/A</v>
      </c>
      <c r="BFT31" t="e">
        <v>#N/A</v>
      </c>
      <c r="BFU31" t="e">
        <v>#N/A</v>
      </c>
      <c r="BFV31" t="e">
        <v>#N/A</v>
      </c>
      <c r="BFW31" t="e">
        <v>#N/A</v>
      </c>
      <c r="BFX31" t="e">
        <v>#N/A</v>
      </c>
      <c r="BFY31" t="e">
        <v>#N/A</v>
      </c>
      <c r="BFZ31" t="e">
        <v>#N/A</v>
      </c>
      <c r="BGA31" t="e">
        <v>#N/A</v>
      </c>
      <c r="BGB31" t="e">
        <v>#N/A</v>
      </c>
      <c r="BGC31" t="e">
        <v>#N/A</v>
      </c>
      <c r="BGD31" t="e">
        <v>#N/A</v>
      </c>
      <c r="BGE31" t="e">
        <v>#N/A</v>
      </c>
      <c r="BGF31" t="e">
        <v>#N/A</v>
      </c>
      <c r="BGG31" t="e">
        <v>#N/A</v>
      </c>
      <c r="BGH31" t="e">
        <v>#N/A</v>
      </c>
      <c r="BGI31" t="e">
        <v>#N/A</v>
      </c>
      <c r="BGJ31" t="e">
        <v>#N/A</v>
      </c>
      <c r="BGK31" t="e">
        <v>#N/A</v>
      </c>
      <c r="BGL31" t="e">
        <v>#N/A</v>
      </c>
      <c r="BGM31" t="e">
        <v>#N/A</v>
      </c>
      <c r="BGN31" t="e">
        <v>#N/A</v>
      </c>
      <c r="BGO31" t="e">
        <v>#N/A</v>
      </c>
      <c r="BGP31" t="e">
        <v>#N/A</v>
      </c>
      <c r="BGQ31" t="e">
        <v>#N/A</v>
      </c>
      <c r="BGR31" t="e">
        <v>#N/A</v>
      </c>
      <c r="BGS31" t="e">
        <v>#N/A</v>
      </c>
      <c r="BGT31" t="e">
        <v>#N/A</v>
      </c>
      <c r="BGU31" t="e">
        <v>#N/A</v>
      </c>
      <c r="BGV31" t="e">
        <v>#N/A</v>
      </c>
      <c r="BGW31" t="e">
        <v>#N/A</v>
      </c>
      <c r="BGX31" t="e">
        <v>#N/A</v>
      </c>
      <c r="BGY31" t="e">
        <v>#N/A</v>
      </c>
      <c r="BGZ31" t="e">
        <v>#N/A</v>
      </c>
      <c r="BHA31" t="e">
        <v>#N/A</v>
      </c>
      <c r="BHB31" t="e">
        <v>#N/A</v>
      </c>
      <c r="BHC31" t="e">
        <v>#N/A</v>
      </c>
      <c r="BHD31" t="e">
        <v>#N/A</v>
      </c>
      <c r="BHE31" t="e">
        <v>#N/A</v>
      </c>
      <c r="BHF31" t="e">
        <v>#N/A</v>
      </c>
      <c r="BHG31" t="e">
        <v>#N/A</v>
      </c>
      <c r="BHH31" t="e">
        <v>#N/A</v>
      </c>
      <c r="BHI31" t="e">
        <v>#N/A</v>
      </c>
      <c r="BHJ31" t="e">
        <v>#N/A</v>
      </c>
      <c r="BHK31" t="e">
        <v>#N/A</v>
      </c>
      <c r="BHL31" t="e">
        <v>#N/A</v>
      </c>
      <c r="BHM31" t="e">
        <v>#N/A</v>
      </c>
      <c r="BHN31" t="e">
        <v>#N/A</v>
      </c>
      <c r="BHO31" t="e">
        <v>#N/A</v>
      </c>
      <c r="BHP31" t="e">
        <v>#N/A</v>
      </c>
      <c r="BHQ31" t="e">
        <v>#N/A</v>
      </c>
      <c r="BHR31" t="e">
        <v>#N/A</v>
      </c>
      <c r="BHS31" t="e">
        <v>#N/A</v>
      </c>
      <c r="BHT31" t="e">
        <v>#N/A</v>
      </c>
      <c r="BHU31" t="e">
        <v>#N/A</v>
      </c>
      <c r="BHV31" t="e">
        <v>#N/A</v>
      </c>
      <c r="BHW31" t="e">
        <v>#N/A</v>
      </c>
      <c r="BHX31" t="e">
        <v>#N/A</v>
      </c>
      <c r="BHY31" t="e">
        <v>#N/A</v>
      </c>
      <c r="BHZ31" t="e">
        <v>#N/A</v>
      </c>
      <c r="BIA31" t="e">
        <v>#N/A</v>
      </c>
      <c r="BIB31" t="e">
        <v>#N/A</v>
      </c>
      <c r="BIC31" t="e">
        <v>#N/A</v>
      </c>
      <c r="BID31" t="e">
        <v>#N/A</v>
      </c>
      <c r="BIE31" t="e">
        <v>#N/A</v>
      </c>
      <c r="BIF31" t="e">
        <v>#N/A</v>
      </c>
      <c r="BIG31" t="e">
        <v>#N/A</v>
      </c>
      <c r="BIH31" t="e">
        <v>#N/A</v>
      </c>
      <c r="BII31" t="e">
        <v>#N/A</v>
      </c>
      <c r="BIJ31" t="e">
        <v>#N/A</v>
      </c>
      <c r="BIK31" t="e">
        <v>#N/A</v>
      </c>
      <c r="BIL31" t="e">
        <v>#N/A</v>
      </c>
      <c r="BIM31" t="e">
        <v>#N/A</v>
      </c>
      <c r="BIN31" t="e">
        <v>#N/A</v>
      </c>
      <c r="BIO31" t="e">
        <v>#N/A</v>
      </c>
      <c r="BIP31" t="e">
        <v>#N/A</v>
      </c>
      <c r="BIQ31" t="e">
        <v>#N/A</v>
      </c>
      <c r="BIR31" t="e">
        <v>#N/A</v>
      </c>
      <c r="BIS31" t="e">
        <v>#N/A</v>
      </c>
      <c r="BIT31" t="e">
        <v>#N/A</v>
      </c>
      <c r="BIU31" t="e">
        <v>#N/A</v>
      </c>
      <c r="BIV31" t="e">
        <v>#N/A</v>
      </c>
      <c r="BIW31" t="e">
        <v>#N/A</v>
      </c>
      <c r="BIX31" t="e">
        <v>#N/A</v>
      </c>
      <c r="BIY31" t="e">
        <v>#N/A</v>
      </c>
      <c r="BIZ31" t="e">
        <v>#N/A</v>
      </c>
      <c r="BJA31" t="e">
        <v>#N/A</v>
      </c>
      <c r="BJB31" t="e">
        <v>#N/A</v>
      </c>
      <c r="BJC31" t="e">
        <v>#N/A</v>
      </c>
      <c r="BJD31" t="e">
        <v>#N/A</v>
      </c>
      <c r="BJE31" t="e">
        <v>#N/A</v>
      </c>
      <c r="BJF31" t="e">
        <v>#N/A</v>
      </c>
      <c r="BJG31" t="e">
        <v>#N/A</v>
      </c>
      <c r="BJH31" t="e">
        <v>#N/A</v>
      </c>
      <c r="BJI31" t="e">
        <v>#N/A</v>
      </c>
      <c r="BJJ31" t="e">
        <v>#N/A</v>
      </c>
      <c r="BJK31" t="e">
        <v>#N/A</v>
      </c>
      <c r="BJL31" t="e">
        <v>#N/A</v>
      </c>
      <c r="BJM31" t="e">
        <v>#N/A</v>
      </c>
      <c r="BJN31" t="e">
        <v>#N/A</v>
      </c>
      <c r="BJO31" t="e">
        <v>#N/A</v>
      </c>
      <c r="BJP31" t="e">
        <v>#N/A</v>
      </c>
      <c r="BJQ31" t="e">
        <v>#N/A</v>
      </c>
      <c r="BJR31" t="e">
        <v>#N/A</v>
      </c>
      <c r="BJS31" t="e">
        <v>#N/A</v>
      </c>
      <c r="BJT31" t="e">
        <v>#N/A</v>
      </c>
      <c r="BJU31" t="e">
        <v>#N/A</v>
      </c>
      <c r="BJV31" t="e">
        <v>#N/A</v>
      </c>
      <c r="BJW31" t="e">
        <v>#N/A</v>
      </c>
      <c r="BJX31" t="e">
        <v>#N/A</v>
      </c>
      <c r="BJY31" t="e">
        <v>#N/A</v>
      </c>
      <c r="BJZ31" t="e">
        <v>#N/A</v>
      </c>
      <c r="BKA31" t="e">
        <v>#N/A</v>
      </c>
      <c r="BKB31" t="e">
        <v>#N/A</v>
      </c>
      <c r="BKC31" t="e">
        <v>#N/A</v>
      </c>
      <c r="BKD31" t="e">
        <v>#N/A</v>
      </c>
      <c r="BKE31" t="e">
        <v>#N/A</v>
      </c>
      <c r="BKF31" t="e">
        <v>#N/A</v>
      </c>
      <c r="BKG31" t="e">
        <v>#N/A</v>
      </c>
      <c r="BKH31" t="e">
        <v>#N/A</v>
      </c>
      <c r="BKI31" t="e">
        <v>#N/A</v>
      </c>
      <c r="BKJ31" t="e">
        <v>#N/A</v>
      </c>
      <c r="BKK31" t="e">
        <v>#N/A</v>
      </c>
      <c r="BKL31" t="e">
        <v>#N/A</v>
      </c>
      <c r="BKM31" t="e">
        <v>#N/A</v>
      </c>
      <c r="BKN31" t="e">
        <v>#N/A</v>
      </c>
      <c r="BKO31" t="e">
        <v>#N/A</v>
      </c>
      <c r="BKP31" t="e">
        <v>#N/A</v>
      </c>
      <c r="BKQ31" t="e">
        <v>#N/A</v>
      </c>
      <c r="BKR31" t="e">
        <v>#N/A</v>
      </c>
      <c r="BKS31" t="e">
        <v>#N/A</v>
      </c>
      <c r="BKT31" t="e">
        <v>#N/A</v>
      </c>
      <c r="BKU31" t="e">
        <v>#N/A</v>
      </c>
      <c r="BKV31" t="e">
        <v>#N/A</v>
      </c>
      <c r="BKW31" t="e">
        <v>#N/A</v>
      </c>
      <c r="BKX31" t="e">
        <v>#N/A</v>
      </c>
      <c r="BKY31" t="e">
        <v>#N/A</v>
      </c>
      <c r="BKZ31" t="e">
        <v>#N/A</v>
      </c>
      <c r="BLA31" t="e">
        <v>#N/A</v>
      </c>
      <c r="BLB31" t="e">
        <v>#N/A</v>
      </c>
      <c r="BLC31" t="e">
        <v>#N/A</v>
      </c>
      <c r="BLD31" t="e">
        <v>#N/A</v>
      </c>
      <c r="BLE31" t="e">
        <v>#N/A</v>
      </c>
      <c r="BLF31" t="e">
        <v>#N/A</v>
      </c>
      <c r="BLG31" t="e">
        <v>#N/A</v>
      </c>
      <c r="BLH31" t="e">
        <v>#N/A</v>
      </c>
      <c r="BLI31" t="e">
        <v>#N/A</v>
      </c>
      <c r="BLJ31" t="e">
        <v>#N/A</v>
      </c>
      <c r="BLK31" t="e">
        <v>#N/A</v>
      </c>
      <c r="BLL31" t="e">
        <v>#N/A</v>
      </c>
      <c r="BLM31" t="e">
        <v>#N/A</v>
      </c>
      <c r="BLN31" t="e">
        <v>#N/A</v>
      </c>
      <c r="BLO31" t="e">
        <v>#N/A</v>
      </c>
      <c r="BLP31" t="e">
        <v>#N/A</v>
      </c>
      <c r="BLQ31" t="e">
        <v>#N/A</v>
      </c>
      <c r="BLR31" t="e">
        <v>#N/A</v>
      </c>
      <c r="BLS31" t="e">
        <v>#N/A</v>
      </c>
      <c r="BLT31" t="e">
        <v>#N/A</v>
      </c>
      <c r="BLU31" t="e">
        <v>#N/A</v>
      </c>
      <c r="BLV31" t="e">
        <v>#N/A</v>
      </c>
      <c r="BLW31" t="e">
        <v>#N/A</v>
      </c>
      <c r="BLX31" t="e">
        <v>#N/A</v>
      </c>
      <c r="BLY31" t="e">
        <v>#N/A</v>
      </c>
      <c r="BLZ31" t="e">
        <v>#N/A</v>
      </c>
      <c r="BMA31" t="e">
        <v>#N/A</v>
      </c>
      <c r="BMB31" t="e">
        <v>#N/A</v>
      </c>
      <c r="BMC31" t="e">
        <v>#N/A</v>
      </c>
      <c r="BMD31" t="e">
        <v>#N/A</v>
      </c>
      <c r="BME31" t="e">
        <v>#N/A</v>
      </c>
      <c r="BMF31" t="e">
        <v>#N/A</v>
      </c>
      <c r="BMG31" t="e">
        <v>#N/A</v>
      </c>
      <c r="BMH31" t="e">
        <v>#N/A</v>
      </c>
      <c r="BMI31" t="e">
        <v>#N/A</v>
      </c>
      <c r="BMJ31" t="e">
        <v>#N/A</v>
      </c>
      <c r="BMK31" t="e">
        <v>#N/A</v>
      </c>
      <c r="BML31" t="e">
        <v>#N/A</v>
      </c>
      <c r="BMM31" t="e">
        <v>#N/A</v>
      </c>
      <c r="BMN31" t="e">
        <v>#N/A</v>
      </c>
      <c r="BMO31" t="e">
        <v>#N/A</v>
      </c>
      <c r="BMP31" t="e">
        <v>#N/A</v>
      </c>
      <c r="BMQ31" t="e">
        <v>#N/A</v>
      </c>
      <c r="BMR31" t="e">
        <v>#N/A</v>
      </c>
      <c r="BMS31" t="e">
        <v>#N/A</v>
      </c>
      <c r="BMT31" t="e">
        <v>#N/A</v>
      </c>
      <c r="BMU31" t="e">
        <v>#N/A</v>
      </c>
      <c r="BMV31" t="e">
        <v>#N/A</v>
      </c>
      <c r="BMW31" t="e">
        <v>#N/A</v>
      </c>
      <c r="BMX31" t="e">
        <v>#N/A</v>
      </c>
      <c r="BMY31" t="e">
        <v>#N/A</v>
      </c>
      <c r="BMZ31" t="e">
        <v>#N/A</v>
      </c>
      <c r="BNA31" t="e">
        <v>#N/A</v>
      </c>
      <c r="BNB31" t="e">
        <v>#N/A</v>
      </c>
      <c r="BNC31" t="e">
        <v>#N/A</v>
      </c>
      <c r="BND31" t="e">
        <v>#N/A</v>
      </c>
      <c r="BNE31" t="e">
        <v>#N/A</v>
      </c>
      <c r="BNF31" t="e">
        <v>#N/A</v>
      </c>
      <c r="BNG31" t="e">
        <v>#N/A</v>
      </c>
      <c r="BNH31" t="e">
        <v>#N/A</v>
      </c>
      <c r="BNI31" t="e">
        <v>#N/A</v>
      </c>
      <c r="BNJ31" t="e">
        <v>#N/A</v>
      </c>
      <c r="BNK31" t="e">
        <v>#N/A</v>
      </c>
      <c r="BNL31" t="e">
        <v>#N/A</v>
      </c>
      <c r="BNM31" t="e">
        <v>#N/A</v>
      </c>
      <c r="BNN31" t="e">
        <v>#N/A</v>
      </c>
      <c r="BNO31" t="e">
        <v>#N/A</v>
      </c>
      <c r="BNP31" t="e">
        <v>#N/A</v>
      </c>
      <c r="BNQ31" t="e">
        <v>#N/A</v>
      </c>
      <c r="BNR31" t="e">
        <v>#N/A</v>
      </c>
      <c r="BNS31" t="e">
        <v>#N/A</v>
      </c>
      <c r="BNT31" t="e">
        <v>#N/A</v>
      </c>
      <c r="BNU31" t="e">
        <v>#N/A</v>
      </c>
      <c r="BNV31" t="e">
        <v>#N/A</v>
      </c>
      <c r="BNW31" t="e">
        <v>#N/A</v>
      </c>
      <c r="BNX31" t="e">
        <v>#N/A</v>
      </c>
      <c r="BNY31" t="e">
        <v>#N/A</v>
      </c>
      <c r="BNZ31" t="e">
        <v>#N/A</v>
      </c>
      <c r="BOA31" t="e">
        <v>#N/A</v>
      </c>
      <c r="BOB31" t="e">
        <v>#N/A</v>
      </c>
      <c r="BOC31" t="e">
        <v>#N/A</v>
      </c>
      <c r="BOD31" t="e">
        <v>#N/A</v>
      </c>
      <c r="BOE31" t="e">
        <v>#N/A</v>
      </c>
      <c r="BOF31" t="e">
        <v>#N/A</v>
      </c>
      <c r="BOG31" t="e">
        <v>#N/A</v>
      </c>
      <c r="BOH31" t="e">
        <v>#N/A</v>
      </c>
      <c r="BOI31" t="e">
        <v>#N/A</v>
      </c>
      <c r="BOJ31" t="e">
        <v>#N/A</v>
      </c>
      <c r="BOK31" t="e">
        <v>#N/A</v>
      </c>
      <c r="BOL31" t="e">
        <v>#N/A</v>
      </c>
      <c r="BOM31" t="e">
        <v>#N/A</v>
      </c>
      <c r="BON31" t="e">
        <v>#N/A</v>
      </c>
      <c r="BOO31" t="e">
        <v>#N/A</v>
      </c>
      <c r="BOP31" t="e">
        <v>#N/A</v>
      </c>
      <c r="BOQ31" t="e">
        <v>#N/A</v>
      </c>
      <c r="BOR31" t="e">
        <v>#N/A</v>
      </c>
      <c r="BOS31" t="e">
        <v>#N/A</v>
      </c>
      <c r="BOT31" t="e">
        <v>#N/A</v>
      </c>
      <c r="BOU31" t="e">
        <v>#N/A</v>
      </c>
      <c r="BOV31" t="e">
        <v>#N/A</v>
      </c>
      <c r="BOW31" t="e">
        <v>#N/A</v>
      </c>
      <c r="BOX31" t="e">
        <v>#N/A</v>
      </c>
      <c r="BOY31" t="e">
        <v>#N/A</v>
      </c>
      <c r="BOZ31" t="e">
        <v>#N/A</v>
      </c>
      <c r="BPA31" t="e">
        <v>#N/A</v>
      </c>
      <c r="BPB31" t="e">
        <v>#N/A</v>
      </c>
      <c r="BPC31" t="e">
        <v>#N/A</v>
      </c>
      <c r="BPD31" t="e">
        <v>#N/A</v>
      </c>
      <c r="BPE31" t="e">
        <v>#N/A</v>
      </c>
      <c r="BPF31" t="e">
        <v>#N/A</v>
      </c>
      <c r="BPG31" t="e">
        <v>#N/A</v>
      </c>
      <c r="BPH31" t="e">
        <v>#N/A</v>
      </c>
      <c r="BPI31" t="e">
        <v>#N/A</v>
      </c>
      <c r="BPJ31" t="e">
        <v>#N/A</v>
      </c>
      <c r="BPK31" t="e">
        <v>#N/A</v>
      </c>
      <c r="BPL31" t="e">
        <v>#N/A</v>
      </c>
      <c r="BPM31" t="e">
        <v>#N/A</v>
      </c>
      <c r="BPN31" t="e">
        <v>#N/A</v>
      </c>
      <c r="BPO31" t="e">
        <v>#N/A</v>
      </c>
      <c r="BPP31" t="e">
        <v>#N/A</v>
      </c>
      <c r="BPQ31" t="e">
        <v>#N/A</v>
      </c>
      <c r="BPR31" t="e">
        <v>#N/A</v>
      </c>
      <c r="BPS31" t="e">
        <v>#N/A</v>
      </c>
      <c r="BPT31" t="e">
        <v>#N/A</v>
      </c>
      <c r="BPU31" t="e">
        <v>#N/A</v>
      </c>
      <c r="BPV31" t="e">
        <v>#N/A</v>
      </c>
      <c r="BPW31" t="e">
        <v>#N/A</v>
      </c>
      <c r="BPX31" t="e">
        <v>#N/A</v>
      </c>
      <c r="BPY31" t="e">
        <v>#N/A</v>
      </c>
      <c r="BPZ31" t="e">
        <v>#N/A</v>
      </c>
      <c r="BQA31" t="e">
        <v>#N/A</v>
      </c>
      <c r="BQB31" t="e">
        <v>#N/A</v>
      </c>
      <c r="BQC31" t="e">
        <v>#N/A</v>
      </c>
      <c r="BQD31" t="e">
        <v>#N/A</v>
      </c>
      <c r="BQE31" t="e">
        <v>#N/A</v>
      </c>
      <c r="BQF31" t="e">
        <v>#N/A</v>
      </c>
      <c r="BQG31" t="e">
        <v>#N/A</v>
      </c>
      <c r="BQH31" t="e">
        <v>#N/A</v>
      </c>
      <c r="BQI31" t="e">
        <v>#N/A</v>
      </c>
      <c r="BQJ31" t="e">
        <v>#N/A</v>
      </c>
      <c r="BQK31" t="e">
        <v>#N/A</v>
      </c>
      <c r="BQL31" t="e">
        <v>#N/A</v>
      </c>
      <c r="BQM31" t="e">
        <v>#N/A</v>
      </c>
      <c r="BQN31" t="e">
        <v>#N/A</v>
      </c>
      <c r="BQO31" t="e">
        <v>#N/A</v>
      </c>
      <c r="BQP31" t="e">
        <v>#N/A</v>
      </c>
      <c r="BQQ31" t="e">
        <v>#N/A</v>
      </c>
      <c r="BQR31" t="e">
        <v>#N/A</v>
      </c>
      <c r="BQS31" t="e">
        <v>#N/A</v>
      </c>
      <c r="BQT31" t="e">
        <v>#N/A</v>
      </c>
      <c r="BQU31" t="e">
        <v>#N/A</v>
      </c>
      <c r="BQV31" t="e">
        <v>#N/A</v>
      </c>
      <c r="BQW31" t="e">
        <v>#N/A</v>
      </c>
      <c r="BQX31" t="e">
        <v>#N/A</v>
      </c>
      <c r="BQY31" t="e">
        <v>#N/A</v>
      </c>
      <c r="BQZ31" t="e">
        <v>#N/A</v>
      </c>
      <c r="BRA31" t="e">
        <v>#N/A</v>
      </c>
      <c r="BRB31" t="e">
        <v>#N/A</v>
      </c>
      <c r="BRC31" t="e">
        <v>#N/A</v>
      </c>
      <c r="BRD31" t="e">
        <v>#N/A</v>
      </c>
      <c r="BRE31" t="e">
        <v>#N/A</v>
      </c>
      <c r="BRF31" t="e">
        <v>#N/A</v>
      </c>
      <c r="BRG31" t="e">
        <v>#N/A</v>
      </c>
      <c r="BRH31" t="e">
        <v>#N/A</v>
      </c>
      <c r="BRI31" t="e">
        <v>#N/A</v>
      </c>
      <c r="BRJ31" t="e">
        <v>#N/A</v>
      </c>
      <c r="BRK31" t="e">
        <v>#N/A</v>
      </c>
      <c r="BRL31" t="e">
        <v>#N/A</v>
      </c>
      <c r="BRM31" t="e">
        <v>#N/A</v>
      </c>
      <c r="BRN31" t="e">
        <v>#N/A</v>
      </c>
      <c r="BRO31" t="e">
        <v>#N/A</v>
      </c>
      <c r="BRP31" t="e">
        <v>#N/A</v>
      </c>
      <c r="BRQ31" t="e">
        <v>#N/A</v>
      </c>
      <c r="BRR31" t="e">
        <v>#N/A</v>
      </c>
      <c r="BRS31" t="e">
        <v>#N/A</v>
      </c>
      <c r="BRT31" t="e">
        <v>#N/A</v>
      </c>
      <c r="BRU31" t="e">
        <v>#N/A</v>
      </c>
      <c r="BRV31" t="e">
        <v>#N/A</v>
      </c>
      <c r="BRW31" t="e">
        <v>#N/A</v>
      </c>
      <c r="BRX31" t="e">
        <v>#N/A</v>
      </c>
      <c r="BRY31" t="e">
        <v>#N/A</v>
      </c>
      <c r="BRZ31" t="e">
        <v>#N/A</v>
      </c>
      <c r="BSA31" t="e">
        <v>#N/A</v>
      </c>
      <c r="BSB31" t="e">
        <v>#N/A</v>
      </c>
      <c r="BSC31" t="e">
        <v>#N/A</v>
      </c>
      <c r="BSD31" t="e">
        <v>#N/A</v>
      </c>
      <c r="BSE31" t="e">
        <v>#N/A</v>
      </c>
      <c r="BSF31" t="e">
        <v>#N/A</v>
      </c>
      <c r="BSG31" t="e">
        <v>#N/A</v>
      </c>
      <c r="BSH31" t="e">
        <v>#N/A</v>
      </c>
      <c r="BSI31" t="e">
        <v>#N/A</v>
      </c>
      <c r="BSJ31" t="e">
        <v>#N/A</v>
      </c>
      <c r="BSK31" t="e">
        <v>#N/A</v>
      </c>
      <c r="BSL31" t="e">
        <v>#N/A</v>
      </c>
      <c r="BSM31" t="e">
        <v>#N/A</v>
      </c>
      <c r="BSN31" t="e">
        <v>#N/A</v>
      </c>
      <c r="BSO31" t="e">
        <v>#N/A</v>
      </c>
      <c r="BSP31" t="e">
        <v>#N/A</v>
      </c>
      <c r="BSQ31" t="e">
        <v>#N/A</v>
      </c>
      <c r="BSR31" t="e">
        <v>#N/A</v>
      </c>
      <c r="BSS31" t="e">
        <v>#N/A</v>
      </c>
      <c r="BST31" t="e">
        <v>#N/A</v>
      </c>
      <c r="BSU31" t="e">
        <v>#N/A</v>
      </c>
      <c r="BSV31" t="e">
        <v>#N/A</v>
      </c>
      <c r="BSW31" t="e">
        <v>#N/A</v>
      </c>
      <c r="BSX31" t="e">
        <v>#N/A</v>
      </c>
      <c r="BSY31" t="e">
        <v>#N/A</v>
      </c>
      <c r="BSZ31" t="e">
        <v>#N/A</v>
      </c>
      <c r="BTA31" t="e">
        <v>#N/A</v>
      </c>
      <c r="BTB31" t="e">
        <v>#N/A</v>
      </c>
      <c r="BTC31" t="e">
        <v>#N/A</v>
      </c>
      <c r="BTD31" t="e">
        <v>#N/A</v>
      </c>
      <c r="BTE31" t="e">
        <v>#N/A</v>
      </c>
      <c r="BTF31" t="e">
        <v>#N/A</v>
      </c>
      <c r="BTG31" t="e">
        <v>#N/A</v>
      </c>
      <c r="BTH31" t="e">
        <v>#N/A</v>
      </c>
      <c r="BTI31" t="e">
        <v>#N/A</v>
      </c>
      <c r="BTJ31" t="e">
        <v>#N/A</v>
      </c>
      <c r="BTK31" t="e">
        <v>#N/A</v>
      </c>
      <c r="BTL31" t="e">
        <v>#N/A</v>
      </c>
      <c r="BTM31" t="e">
        <v>#N/A</v>
      </c>
      <c r="BTN31" t="e">
        <v>#N/A</v>
      </c>
      <c r="BTO31" t="e">
        <v>#N/A</v>
      </c>
      <c r="BTP31" t="e">
        <v>#N/A</v>
      </c>
      <c r="BTQ31" t="e">
        <v>#N/A</v>
      </c>
      <c r="BTR31" t="e">
        <v>#N/A</v>
      </c>
      <c r="BTS31" t="e">
        <v>#N/A</v>
      </c>
      <c r="BTT31" t="e">
        <v>#N/A</v>
      </c>
      <c r="BTU31" t="e">
        <v>#N/A</v>
      </c>
      <c r="BTV31" t="e">
        <v>#N/A</v>
      </c>
      <c r="BTW31" t="e">
        <v>#N/A</v>
      </c>
      <c r="BTX31" t="e">
        <v>#N/A</v>
      </c>
      <c r="BTY31" t="e">
        <v>#N/A</v>
      </c>
      <c r="BTZ31" t="e">
        <v>#N/A</v>
      </c>
      <c r="BUA31" t="e">
        <v>#N/A</v>
      </c>
      <c r="BUB31" t="e">
        <v>#N/A</v>
      </c>
      <c r="BUC31" t="e">
        <v>#N/A</v>
      </c>
      <c r="BUD31" t="e">
        <v>#N/A</v>
      </c>
      <c r="BUE31" t="e">
        <v>#N/A</v>
      </c>
      <c r="BUF31" t="e">
        <v>#N/A</v>
      </c>
      <c r="BUG31" t="e">
        <v>#N/A</v>
      </c>
      <c r="BUH31" t="e">
        <v>#N/A</v>
      </c>
      <c r="BUI31" t="e">
        <v>#N/A</v>
      </c>
      <c r="BUJ31" t="e">
        <v>#N/A</v>
      </c>
      <c r="BUK31" t="e">
        <v>#N/A</v>
      </c>
      <c r="BUL31" t="e">
        <v>#N/A</v>
      </c>
      <c r="BUM31" t="e">
        <v>#N/A</v>
      </c>
      <c r="BUN31" t="e">
        <v>#N/A</v>
      </c>
      <c r="BUO31" t="e">
        <v>#N/A</v>
      </c>
      <c r="BUP31" t="e">
        <v>#N/A</v>
      </c>
      <c r="BUQ31" t="e">
        <v>#N/A</v>
      </c>
      <c r="BUR31" t="e">
        <v>#N/A</v>
      </c>
      <c r="BUS31" t="e">
        <v>#N/A</v>
      </c>
      <c r="BUT31" t="e">
        <v>#N/A</v>
      </c>
      <c r="BUU31" t="e">
        <v>#N/A</v>
      </c>
      <c r="BUV31" t="e">
        <v>#N/A</v>
      </c>
      <c r="BUW31" t="e">
        <v>#N/A</v>
      </c>
      <c r="BUX31" t="e">
        <v>#N/A</v>
      </c>
      <c r="BUY31" t="e">
        <v>#N/A</v>
      </c>
      <c r="BUZ31" t="e">
        <v>#N/A</v>
      </c>
      <c r="BVA31" t="e">
        <v>#N/A</v>
      </c>
      <c r="BVB31" t="e">
        <v>#N/A</v>
      </c>
      <c r="BVC31" t="e">
        <v>#N/A</v>
      </c>
      <c r="BVD31" t="e">
        <v>#N/A</v>
      </c>
      <c r="BVE31" t="e">
        <v>#N/A</v>
      </c>
      <c r="BVF31" t="e">
        <v>#N/A</v>
      </c>
      <c r="BVG31" t="e">
        <v>#N/A</v>
      </c>
      <c r="BVH31" t="e">
        <v>#N/A</v>
      </c>
      <c r="BVI31" t="e">
        <v>#N/A</v>
      </c>
      <c r="BVJ31" t="e">
        <v>#N/A</v>
      </c>
      <c r="BVK31" t="e">
        <v>#N/A</v>
      </c>
      <c r="BVL31" t="e">
        <v>#N/A</v>
      </c>
      <c r="BVM31" t="e">
        <v>#N/A</v>
      </c>
      <c r="BVN31" t="e">
        <v>#N/A</v>
      </c>
      <c r="BVO31" t="e">
        <v>#N/A</v>
      </c>
      <c r="BVP31" t="e">
        <v>#N/A</v>
      </c>
      <c r="BVQ31" t="e">
        <v>#N/A</v>
      </c>
      <c r="BVR31" t="e">
        <v>#N/A</v>
      </c>
      <c r="BVS31" t="e">
        <v>#N/A</v>
      </c>
      <c r="BVT31" t="e">
        <v>#N/A</v>
      </c>
      <c r="BVU31" t="e">
        <v>#N/A</v>
      </c>
      <c r="BVV31" t="e">
        <v>#N/A</v>
      </c>
      <c r="BVW31" t="e">
        <v>#N/A</v>
      </c>
      <c r="BVX31" t="e">
        <v>#N/A</v>
      </c>
      <c r="BVY31" t="e">
        <v>#N/A</v>
      </c>
      <c r="BVZ31" t="e">
        <v>#N/A</v>
      </c>
      <c r="BWA31" t="e">
        <v>#N/A</v>
      </c>
      <c r="BWB31" t="e">
        <v>#N/A</v>
      </c>
      <c r="BWC31" t="e">
        <v>#N/A</v>
      </c>
      <c r="BWD31" t="e">
        <v>#N/A</v>
      </c>
      <c r="BWE31" t="e">
        <v>#N/A</v>
      </c>
      <c r="BWF31" t="e">
        <v>#N/A</v>
      </c>
      <c r="BWG31" t="e">
        <v>#N/A</v>
      </c>
      <c r="BWH31" t="e">
        <v>#N/A</v>
      </c>
      <c r="BWI31" t="e">
        <v>#N/A</v>
      </c>
      <c r="BWJ31" t="e">
        <v>#N/A</v>
      </c>
      <c r="BWK31" t="e">
        <v>#N/A</v>
      </c>
      <c r="BWL31" t="e">
        <v>#N/A</v>
      </c>
      <c r="BWM31" t="e">
        <v>#N/A</v>
      </c>
      <c r="BWN31" t="e">
        <v>#N/A</v>
      </c>
      <c r="BWO31" t="e">
        <v>#N/A</v>
      </c>
      <c r="BWP31" t="e">
        <v>#N/A</v>
      </c>
      <c r="BWQ31" t="e">
        <v>#N/A</v>
      </c>
      <c r="BWR31" t="e">
        <v>#N/A</v>
      </c>
      <c r="BWS31" t="e">
        <v>#N/A</v>
      </c>
      <c r="BWT31" t="e">
        <v>#N/A</v>
      </c>
      <c r="BWU31" t="e">
        <v>#N/A</v>
      </c>
      <c r="BWV31" t="e">
        <v>#N/A</v>
      </c>
      <c r="BWW31" t="e">
        <v>#N/A</v>
      </c>
      <c r="BWX31" t="e">
        <v>#N/A</v>
      </c>
      <c r="BWY31" t="e">
        <v>#N/A</v>
      </c>
      <c r="BWZ31" t="e">
        <v>#N/A</v>
      </c>
      <c r="BXA31" t="e">
        <v>#N/A</v>
      </c>
      <c r="BXB31" t="e">
        <v>#N/A</v>
      </c>
      <c r="BXC31" t="e">
        <v>#N/A</v>
      </c>
      <c r="BXD31" t="e">
        <v>#N/A</v>
      </c>
      <c r="BXE31" t="e">
        <v>#N/A</v>
      </c>
      <c r="BXF31" t="e">
        <v>#N/A</v>
      </c>
      <c r="BXG31" t="e">
        <v>#N/A</v>
      </c>
      <c r="BXH31" t="e">
        <v>#N/A</v>
      </c>
      <c r="BXI31" t="e">
        <v>#N/A</v>
      </c>
      <c r="BXJ31" t="e">
        <v>#N/A</v>
      </c>
      <c r="BXK31" t="e">
        <v>#N/A</v>
      </c>
      <c r="BXL31" t="e">
        <v>#N/A</v>
      </c>
      <c r="BXM31" t="e">
        <v>#N/A</v>
      </c>
      <c r="BXN31" t="e">
        <v>#N/A</v>
      </c>
      <c r="BXO31" t="e">
        <v>#N/A</v>
      </c>
      <c r="BXP31" t="e">
        <v>#N/A</v>
      </c>
      <c r="BXQ31" t="e">
        <v>#N/A</v>
      </c>
      <c r="BXR31" t="e">
        <v>#N/A</v>
      </c>
      <c r="BXS31" t="e">
        <v>#N/A</v>
      </c>
      <c r="BXT31" t="e">
        <v>#N/A</v>
      </c>
      <c r="BXU31" t="e">
        <v>#N/A</v>
      </c>
      <c r="BXV31" t="e">
        <v>#N/A</v>
      </c>
      <c r="BXW31" t="e">
        <v>#N/A</v>
      </c>
      <c r="BXX31" t="e">
        <v>#N/A</v>
      </c>
      <c r="BXY31" t="e">
        <v>#N/A</v>
      </c>
      <c r="BXZ31" t="e">
        <v>#N/A</v>
      </c>
      <c r="BYA31" t="e">
        <v>#N/A</v>
      </c>
      <c r="BYB31" t="e">
        <v>#N/A</v>
      </c>
      <c r="BYC31" t="e">
        <v>#N/A</v>
      </c>
      <c r="BYD31" t="e">
        <v>#N/A</v>
      </c>
      <c r="BYE31" t="e">
        <v>#N/A</v>
      </c>
      <c r="BYF31" t="e">
        <v>#N/A</v>
      </c>
      <c r="BYG31" t="e">
        <v>#N/A</v>
      </c>
      <c r="BYH31" t="e">
        <v>#N/A</v>
      </c>
      <c r="BYI31" t="e">
        <v>#N/A</v>
      </c>
      <c r="BYJ31" t="e">
        <v>#N/A</v>
      </c>
      <c r="BYK31" t="e">
        <v>#N/A</v>
      </c>
      <c r="BYL31" t="e">
        <v>#N/A</v>
      </c>
      <c r="BYM31" t="e">
        <v>#N/A</v>
      </c>
      <c r="BYN31" t="e">
        <v>#N/A</v>
      </c>
      <c r="BYO31" t="e">
        <v>#N/A</v>
      </c>
      <c r="BYP31" t="e">
        <v>#N/A</v>
      </c>
      <c r="BYQ31" t="e">
        <v>#N/A</v>
      </c>
      <c r="BYR31" t="e">
        <v>#N/A</v>
      </c>
      <c r="BYS31" t="e">
        <v>#N/A</v>
      </c>
      <c r="BYT31" t="e">
        <v>#N/A</v>
      </c>
      <c r="BYU31" t="e">
        <v>#N/A</v>
      </c>
      <c r="BYV31" t="e">
        <v>#N/A</v>
      </c>
      <c r="BYW31" t="e">
        <v>#N/A</v>
      </c>
      <c r="BYX31" t="e">
        <v>#N/A</v>
      </c>
      <c r="BYY31" t="e">
        <v>#N/A</v>
      </c>
      <c r="BYZ31" t="e">
        <v>#N/A</v>
      </c>
      <c r="BZA31" t="e">
        <v>#N/A</v>
      </c>
      <c r="BZB31" t="e">
        <v>#N/A</v>
      </c>
      <c r="BZC31" t="e">
        <v>#N/A</v>
      </c>
      <c r="BZD31" t="e">
        <v>#N/A</v>
      </c>
      <c r="BZE31" t="e">
        <v>#N/A</v>
      </c>
      <c r="BZF31" t="e">
        <v>#N/A</v>
      </c>
      <c r="BZG31" t="e">
        <v>#N/A</v>
      </c>
      <c r="BZH31" t="e">
        <v>#N/A</v>
      </c>
      <c r="BZI31" t="e">
        <v>#N/A</v>
      </c>
      <c r="BZJ31" t="e">
        <v>#N/A</v>
      </c>
      <c r="BZK31" t="e">
        <v>#N/A</v>
      </c>
      <c r="BZL31" t="e">
        <v>#N/A</v>
      </c>
      <c r="BZM31" t="e">
        <v>#N/A</v>
      </c>
      <c r="BZN31" t="e">
        <v>#N/A</v>
      </c>
      <c r="BZO31" t="e">
        <v>#N/A</v>
      </c>
      <c r="BZP31" t="e">
        <v>#N/A</v>
      </c>
      <c r="BZQ31" t="e">
        <v>#N/A</v>
      </c>
      <c r="BZR31" t="e">
        <v>#N/A</v>
      </c>
      <c r="BZS31" t="e">
        <v>#N/A</v>
      </c>
      <c r="BZT31" t="e">
        <v>#N/A</v>
      </c>
      <c r="BZU31" t="e">
        <v>#N/A</v>
      </c>
      <c r="BZV31" t="e">
        <v>#N/A</v>
      </c>
      <c r="BZW31" t="e">
        <v>#N/A</v>
      </c>
      <c r="BZX31" t="e">
        <v>#N/A</v>
      </c>
      <c r="BZY31" t="e">
        <v>#N/A</v>
      </c>
      <c r="BZZ31" t="e">
        <v>#N/A</v>
      </c>
      <c r="CAA31" t="e">
        <v>#N/A</v>
      </c>
      <c r="CAB31" t="e">
        <v>#N/A</v>
      </c>
      <c r="CAC31" t="e">
        <v>#N/A</v>
      </c>
      <c r="CAD31" t="e">
        <v>#N/A</v>
      </c>
      <c r="CAE31" t="e">
        <v>#N/A</v>
      </c>
      <c r="CAF31" t="e">
        <v>#N/A</v>
      </c>
      <c r="CAG31" t="e">
        <v>#N/A</v>
      </c>
      <c r="CAH31" t="e">
        <v>#N/A</v>
      </c>
      <c r="CAI31" t="e">
        <v>#N/A</v>
      </c>
      <c r="CAJ31" t="e">
        <v>#N/A</v>
      </c>
      <c r="CAK31" t="e">
        <v>#N/A</v>
      </c>
      <c r="CAL31" t="e">
        <v>#N/A</v>
      </c>
      <c r="CAM31" t="e">
        <v>#N/A</v>
      </c>
      <c r="CAN31" t="e">
        <v>#N/A</v>
      </c>
      <c r="CAO31" t="e">
        <v>#N/A</v>
      </c>
      <c r="CAP31" t="e">
        <v>#N/A</v>
      </c>
      <c r="CAQ31" t="e">
        <v>#N/A</v>
      </c>
      <c r="CAR31" t="e">
        <v>#N/A</v>
      </c>
      <c r="CAS31" t="e">
        <v>#N/A</v>
      </c>
      <c r="CAT31" t="e">
        <v>#N/A</v>
      </c>
      <c r="CAU31" t="e">
        <v>#N/A</v>
      </c>
      <c r="CAV31" t="e">
        <v>#N/A</v>
      </c>
      <c r="CAW31" t="e">
        <v>#N/A</v>
      </c>
      <c r="CAX31" t="e">
        <v>#N/A</v>
      </c>
      <c r="CAY31" t="e">
        <v>#N/A</v>
      </c>
      <c r="CAZ31" t="e">
        <v>#N/A</v>
      </c>
      <c r="CBA31" t="e">
        <v>#N/A</v>
      </c>
      <c r="CBB31" t="e">
        <v>#N/A</v>
      </c>
      <c r="CBC31" t="e">
        <v>#N/A</v>
      </c>
      <c r="CBD31" t="e">
        <v>#N/A</v>
      </c>
      <c r="CBE31" t="e">
        <v>#N/A</v>
      </c>
      <c r="CBF31" t="e">
        <v>#N/A</v>
      </c>
      <c r="CBG31" t="e">
        <v>#N/A</v>
      </c>
      <c r="CBH31" t="e">
        <v>#N/A</v>
      </c>
      <c r="CBI31" t="e">
        <v>#N/A</v>
      </c>
      <c r="CBJ31" t="e">
        <v>#N/A</v>
      </c>
      <c r="CBK31" t="e">
        <v>#N/A</v>
      </c>
      <c r="CBL31" t="e">
        <v>#N/A</v>
      </c>
      <c r="CBM31" t="e">
        <v>#N/A</v>
      </c>
      <c r="CBN31" t="e">
        <v>#N/A</v>
      </c>
      <c r="CBO31" t="e">
        <v>#N/A</v>
      </c>
      <c r="CBP31" t="e">
        <v>#N/A</v>
      </c>
      <c r="CBQ31" t="e">
        <v>#N/A</v>
      </c>
      <c r="CBR31" t="e">
        <v>#N/A</v>
      </c>
      <c r="CBS31" t="e">
        <v>#N/A</v>
      </c>
      <c r="CBT31" t="e">
        <v>#N/A</v>
      </c>
      <c r="CBU31" t="e">
        <v>#N/A</v>
      </c>
      <c r="CBV31" t="e">
        <v>#N/A</v>
      </c>
      <c r="CBW31" t="e">
        <v>#N/A</v>
      </c>
      <c r="CBX31" t="e">
        <v>#N/A</v>
      </c>
      <c r="CBY31" t="e">
        <v>#N/A</v>
      </c>
      <c r="CBZ31" t="e">
        <v>#N/A</v>
      </c>
      <c r="CCA31" t="e">
        <v>#N/A</v>
      </c>
      <c r="CCB31" t="e">
        <v>#N/A</v>
      </c>
      <c r="CCC31" t="e">
        <v>#N/A</v>
      </c>
      <c r="CCD31" t="e">
        <v>#N/A</v>
      </c>
      <c r="CCE31" t="e">
        <v>#N/A</v>
      </c>
      <c r="CCF31" t="e">
        <v>#N/A</v>
      </c>
      <c r="CCG31" t="e">
        <v>#N/A</v>
      </c>
      <c r="CCH31" t="e">
        <v>#N/A</v>
      </c>
      <c r="CCI31" t="e">
        <v>#N/A</v>
      </c>
      <c r="CCJ31" t="e">
        <v>#N/A</v>
      </c>
      <c r="CCK31" t="e">
        <v>#N/A</v>
      </c>
      <c r="CCL31" t="e">
        <v>#N/A</v>
      </c>
      <c r="CCM31" t="e">
        <v>#N/A</v>
      </c>
      <c r="CCN31" t="e">
        <v>#N/A</v>
      </c>
      <c r="CCO31" t="e">
        <v>#N/A</v>
      </c>
      <c r="CCP31" t="e">
        <v>#N/A</v>
      </c>
      <c r="CCQ31" t="e">
        <v>#N/A</v>
      </c>
      <c r="CCR31" t="e">
        <v>#N/A</v>
      </c>
      <c r="CCS31" t="e">
        <v>#N/A</v>
      </c>
      <c r="CCT31" t="e">
        <v>#N/A</v>
      </c>
      <c r="CCU31" t="e">
        <v>#N/A</v>
      </c>
      <c r="CCV31" t="e">
        <v>#N/A</v>
      </c>
      <c r="CCW31" t="e">
        <v>#N/A</v>
      </c>
      <c r="CCX31" t="e">
        <v>#N/A</v>
      </c>
      <c r="CCY31" t="e">
        <v>#N/A</v>
      </c>
      <c r="CCZ31" t="e">
        <v>#N/A</v>
      </c>
      <c r="CDA31" t="e">
        <v>#N/A</v>
      </c>
      <c r="CDB31" t="e">
        <v>#N/A</v>
      </c>
      <c r="CDC31" t="e">
        <v>#N/A</v>
      </c>
      <c r="CDD31" t="e">
        <v>#N/A</v>
      </c>
      <c r="CDE31" t="e">
        <v>#N/A</v>
      </c>
      <c r="CDF31" t="e">
        <v>#N/A</v>
      </c>
      <c r="CDG31" t="e">
        <v>#N/A</v>
      </c>
      <c r="CDH31" t="e">
        <v>#N/A</v>
      </c>
      <c r="CDI31" t="e">
        <v>#N/A</v>
      </c>
      <c r="CDJ31" t="e">
        <v>#N/A</v>
      </c>
      <c r="CDK31" t="e">
        <v>#N/A</v>
      </c>
      <c r="CDL31" t="e">
        <v>#N/A</v>
      </c>
      <c r="CDM31" t="e">
        <v>#N/A</v>
      </c>
      <c r="CDN31" t="e">
        <v>#N/A</v>
      </c>
      <c r="CDO31" t="e">
        <v>#N/A</v>
      </c>
      <c r="CDP31" t="e">
        <v>#N/A</v>
      </c>
      <c r="CDQ31" t="e">
        <v>#N/A</v>
      </c>
      <c r="CDR31" t="e">
        <v>#N/A</v>
      </c>
      <c r="CDS31" t="e">
        <v>#N/A</v>
      </c>
      <c r="CDT31" t="e">
        <v>#N/A</v>
      </c>
      <c r="CDU31" t="e">
        <v>#N/A</v>
      </c>
      <c r="CDV31" t="e">
        <v>#N/A</v>
      </c>
      <c r="CDW31" t="e">
        <v>#N/A</v>
      </c>
      <c r="CDX31" t="e">
        <v>#N/A</v>
      </c>
      <c r="CDY31" t="e">
        <v>#N/A</v>
      </c>
      <c r="CDZ31" t="e">
        <v>#N/A</v>
      </c>
      <c r="CEA31" t="e">
        <v>#N/A</v>
      </c>
      <c r="CEB31" t="e">
        <v>#N/A</v>
      </c>
      <c r="CEC31" t="e">
        <v>#N/A</v>
      </c>
      <c r="CED31" t="e">
        <v>#N/A</v>
      </c>
      <c r="CEE31" t="e">
        <v>#N/A</v>
      </c>
      <c r="CEF31" t="e">
        <v>#N/A</v>
      </c>
      <c r="CEG31" t="e">
        <v>#N/A</v>
      </c>
      <c r="CEH31" t="e">
        <v>#N/A</v>
      </c>
      <c r="CEI31" t="e">
        <v>#N/A</v>
      </c>
      <c r="CEJ31" t="e">
        <v>#N/A</v>
      </c>
      <c r="CEK31" t="e">
        <v>#N/A</v>
      </c>
      <c r="CEL31" t="e">
        <v>#N/A</v>
      </c>
      <c r="CEM31" t="e">
        <v>#N/A</v>
      </c>
      <c r="CEN31" t="e">
        <v>#N/A</v>
      </c>
      <c r="CEO31" t="e">
        <v>#N/A</v>
      </c>
      <c r="CEP31" t="e">
        <v>#N/A</v>
      </c>
      <c r="CEQ31" t="e">
        <v>#N/A</v>
      </c>
      <c r="CER31" t="e">
        <v>#N/A</v>
      </c>
      <c r="CES31" t="e">
        <v>#N/A</v>
      </c>
      <c r="CET31" t="e">
        <v>#N/A</v>
      </c>
      <c r="CEU31" t="e">
        <v>#N/A</v>
      </c>
      <c r="CEV31" t="e">
        <v>#N/A</v>
      </c>
      <c r="CEW31" t="e">
        <v>#N/A</v>
      </c>
      <c r="CEX31" t="e">
        <v>#N/A</v>
      </c>
      <c r="CEY31" t="e">
        <v>#N/A</v>
      </c>
      <c r="CEZ31" t="e">
        <v>#N/A</v>
      </c>
      <c r="CFA31" t="e">
        <v>#N/A</v>
      </c>
      <c r="CFB31" t="e">
        <v>#N/A</v>
      </c>
      <c r="CFC31" t="e">
        <v>#N/A</v>
      </c>
      <c r="CFD31" t="e">
        <v>#N/A</v>
      </c>
      <c r="CFE31" t="e">
        <v>#N/A</v>
      </c>
      <c r="CFF31" t="e">
        <v>#N/A</v>
      </c>
      <c r="CFG31" t="e">
        <v>#N/A</v>
      </c>
      <c r="CFH31" t="e">
        <v>#N/A</v>
      </c>
      <c r="CFI31" t="e">
        <v>#N/A</v>
      </c>
      <c r="CFJ31" t="e">
        <v>#N/A</v>
      </c>
      <c r="CFK31" t="e">
        <v>#N/A</v>
      </c>
      <c r="CFL31" t="e">
        <v>#N/A</v>
      </c>
      <c r="CFM31" t="e">
        <v>#N/A</v>
      </c>
      <c r="CFN31" t="e">
        <v>#N/A</v>
      </c>
      <c r="CFO31" t="e">
        <v>#N/A</v>
      </c>
      <c r="CFP31" t="e">
        <v>#N/A</v>
      </c>
      <c r="CFQ31" t="e">
        <v>#N/A</v>
      </c>
      <c r="CFR31" t="e">
        <v>#N/A</v>
      </c>
      <c r="CFS31" t="e">
        <v>#N/A</v>
      </c>
      <c r="CFT31" t="e">
        <v>#N/A</v>
      </c>
      <c r="CFU31" t="e">
        <v>#N/A</v>
      </c>
      <c r="CFV31" t="e">
        <v>#N/A</v>
      </c>
      <c r="CFW31" t="e">
        <v>#N/A</v>
      </c>
      <c r="CFX31" t="e">
        <v>#N/A</v>
      </c>
      <c r="CFY31" t="e">
        <v>#N/A</v>
      </c>
      <c r="CFZ31" t="e">
        <v>#N/A</v>
      </c>
      <c r="CGA31" t="e">
        <v>#N/A</v>
      </c>
      <c r="CGB31" t="e">
        <v>#N/A</v>
      </c>
      <c r="CGC31" t="e">
        <v>#N/A</v>
      </c>
      <c r="CGD31" t="e">
        <v>#N/A</v>
      </c>
      <c r="CGE31" t="e">
        <v>#N/A</v>
      </c>
      <c r="CGF31" t="e">
        <v>#N/A</v>
      </c>
      <c r="CGG31" t="e">
        <v>#N/A</v>
      </c>
      <c r="CGH31" t="e">
        <v>#N/A</v>
      </c>
      <c r="CGI31" t="e">
        <v>#N/A</v>
      </c>
      <c r="CGJ31" t="e">
        <v>#N/A</v>
      </c>
      <c r="CGK31" t="e">
        <v>#N/A</v>
      </c>
      <c r="CGL31" t="e">
        <v>#N/A</v>
      </c>
      <c r="CGM31" t="e">
        <v>#N/A</v>
      </c>
      <c r="CGN31" t="e">
        <v>#N/A</v>
      </c>
      <c r="CGO31" t="e">
        <v>#N/A</v>
      </c>
      <c r="CGP31" t="e">
        <v>#N/A</v>
      </c>
      <c r="CGQ31" t="e">
        <v>#N/A</v>
      </c>
      <c r="CGR31" t="e">
        <v>#N/A</v>
      </c>
      <c r="CGS31" t="e">
        <v>#N/A</v>
      </c>
      <c r="CGT31" t="e">
        <v>#N/A</v>
      </c>
      <c r="CGU31" t="e">
        <v>#N/A</v>
      </c>
      <c r="CGV31" t="e">
        <v>#N/A</v>
      </c>
      <c r="CGW31" t="e">
        <v>#N/A</v>
      </c>
      <c r="CGX31" t="e">
        <v>#N/A</v>
      </c>
      <c r="CGY31" t="e">
        <v>#N/A</v>
      </c>
      <c r="CGZ31" t="e">
        <v>#N/A</v>
      </c>
      <c r="CHA31" t="e">
        <v>#N/A</v>
      </c>
      <c r="CHB31" t="e">
        <v>#N/A</v>
      </c>
      <c r="CHC31" t="e">
        <v>#N/A</v>
      </c>
      <c r="CHD31" t="e">
        <v>#N/A</v>
      </c>
      <c r="CHE31" t="e">
        <v>#N/A</v>
      </c>
      <c r="CHF31" t="e">
        <v>#N/A</v>
      </c>
      <c r="CHG31" t="e">
        <v>#N/A</v>
      </c>
      <c r="CHH31" t="e">
        <v>#N/A</v>
      </c>
      <c r="CHI31" t="e">
        <v>#N/A</v>
      </c>
      <c r="CHJ31" t="e">
        <v>#N/A</v>
      </c>
      <c r="CHK31" t="e">
        <v>#N/A</v>
      </c>
      <c r="CHL31" t="e">
        <v>#N/A</v>
      </c>
      <c r="CHM31" t="e">
        <v>#N/A</v>
      </c>
      <c r="CHN31" t="e">
        <v>#N/A</v>
      </c>
      <c r="CHO31" t="e">
        <v>#N/A</v>
      </c>
      <c r="CHP31" t="e">
        <v>#N/A</v>
      </c>
      <c r="CHQ31" t="e">
        <v>#N/A</v>
      </c>
      <c r="CHR31" t="e">
        <v>#N/A</v>
      </c>
      <c r="CHS31" t="e">
        <v>#N/A</v>
      </c>
      <c r="CHT31" t="e">
        <v>#N/A</v>
      </c>
      <c r="CHU31" t="e">
        <v>#N/A</v>
      </c>
      <c r="CHV31" t="e">
        <v>#N/A</v>
      </c>
      <c r="CHW31" t="e">
        <v>#N/A</v>
      </c>
      <c r="CHX31" t="e">
        <v>#N/A</v>
      </c>
      <c r="CHY31" t="e">
        <v>#N/A</v>
      </c>
      <c r="CHZ31" t="e">
        <v>#N/A</v>
      </c>
      <c r="CIA31" t="e">
        <v>#N/A</v>
      </c>
      <c r="CIB31" t="e">
        <v>#N/A</v>
      </c>
      <c r="CIC31" t="e">
        <v>#N/A</v>
      </c>
      <c r="CID31" t="e">
        <v>#N/A</v>
      </c>
      <c r="CIE31" t="e">
        <v>#N/A</v>
      </c>
      <c r="CIF31" t="e">
        <v>#N/A</v>
      </c>
      <c r="CIG31" t="e">
        <v>#N/A</v>
      </c>
      <c r="CIH31" t="e">
        <v>#N/A</v>
      </c>
      <c r="CII31" t="e">
        <v>#N/A</v>
      </c>
      <c r="CIJ31" t="e">
        <v>#N/A</v>
      </c>
      <c r="CIK31" t="e">
        <v>#N/A</v>
      </c>
      <c r="CIL31" t="e">
        <v>#N/A</v>
      </c>
      <c r="CIM31" t="e">
        <v>#N/A</v>
      </c>
      <c r="CIN31" t="e">
        <v>#N/A</v>
      </c>
      <c r="CIO31" t="e">
        <v>#N/A</v>
      </c>
      <c r="CIP31" t="e">
        <v>#N/A</v>
      </c>
      <c r="CIQ31" t="e">
        <v>#N/A</v>
      </c>
      <c r="CIR31" t="e">
        <v>#N/A</v>
      </c>
      <c r="CIS31" t="e">
        <v>#N/A</v>
      </c>
      <c r="CIT31" t="e">
        <v>#N/A</v>
      </c>
      <c r="CIU31" t="e">
        <v>#N/A</v>
      </c>
      <c r="CIV31" t="e">
        <v>#N/A</v>
      </c>
      <c r="CIW31" t="e">
        <v>#N/A</v>
      </c>
      <c r="CIX31" t="e">
        <v>#N/A</v>
      </c>
      <c r="CIY31" t="e">
        <v>#N/A</v>
      </c>
      <c r="CIZ31" t="e">
        <v>#N/A</v>
      </c>
      <c r="CJA31" t="e">
        <v>#N/A</v>
      </c>
      <c r="CJB31" t="e">
        <v>#N/A</v>
      </c>
      <c r="CJC31" t="e">
        <v>#N/A</v>
      </c>
      <c r="CJD31" t="e">
        <v>#N/A</v>
      </c>
      <c r="CJE31" t="e">
        <v>#N/A</v>
      </c>
      <c r="CJF31" t="e">
        <v>#N/A</v>
      </c>
      <c r="CJG31" t="e">
        <v>#N/A</v>
      </c>
      <c r="CJH31" t="e">
        <v>#N/A</v>
      </c>
      <c r="CJI31" t="e">
        <v>#N/A</v>
      </c>
      <c r="CJJ31" t="e">
        <v>#N/A</v>
      </c>
      <c r="CJK31" t="e">
        <v>#N/A</v>
      </c>
      <c r="CJL31" t="e">
        <v>#N/A</v>
      </c>
      <c r="CJM31" t="e">
        <v>#N/A</v>
      </c>
      <c r="CJN31" t="e">
        <v>#N/A</v>
      </c>
      <c r="CJO31" t="e">
        <v>#N/A</v>
      </c>
      <c r="CJP31" t="e">
        <v>#N/A</v>
      </c>
      <c r="CJQ31" t="e">
        <v>#N/A</v>
      </c>
      <c r="CJR31" t="e">
        <v>#N/A</v>
      </c>
      <c r="CJS31" t="e">
        <v>#N/A</v>
      </c>
      <c r="CJT31" t="e">
        <v>#N/A</v>
      </c>
      <c r="CJU31" t="e">
        <v>#N/A</v>
      </c>
      <c r="CJV31" t="e">
        <v>#N/A</v>
      </c>
      <c r="CJW31" t="e">
        <v>#N/A</v>
      </c>
      <c r="CJX31" t="e">
        <v>#N/A</v>
      </c>
      <c r="CJY31" t="e">
        <v>#N/A</v>
      </c>
      <c r="CJZ31" t="e">
        <v>#N/A</v>
      </c>
      <c r="CKA31" t="e">
        <v>#N/A</v>
      </c>
      <c r="CKB31" t="e">
        <v>#N/A</v>
      </c>
      <c r="CKC31" t="e">
        <v>#N/A</v>
      </c>
      <c r="CKD31" t="e">
        <v>#N/A</v>
      </c>
      <c r="CKE31" t="e">
        <v>#N/A</v>
      </c>
      <c r="CKF31" t="e">
        <v>#N/A</v>
      </c>
      <c r="CKG31" t="e">
        <v>#N/A</v>
      </c>
      <c r="CKH31" t="e">
        <v>#N/A</v>
      </c>
      <c r="CKI31" t="e">
        <v>#N/A</v>
      </c>
      <c r="CKJ31" t="e">
        <v>#N/A</v>
      </c>
      <c r="CKK31" t="e">
        <v>#N/A</v>
      </c>
      <c r="CKL31" t="e">
        <v>#N/A</v>
      </c>
      <c r="CKM31" t="e">
        <v>#N/A</v>
      </c>
      <c r="CKN31" t="e">
        <v>#N/A</v>
      </c>
      <c r="CKO31" t="e">
        <v>#N/A</v>
      </c>
      <c r="CKP31" t="e">
        <v>#N/A</v>
      </c>
      <c r="CKQ31" t="e">
        <v>#N/A</v>
      </c>
      <c r="CKR31" t="e">
        <v>#N/A</v>
      </c>
      <c r="CKS31" t="e">
        <v>#N/A</v>
      </c>
      <c r="CKT31" t="e">
        <v>#N/A</v>
      </c>
      <c r="CKU31" t="e">
        <v>#N/A</v>
      </c>
      <c r="CKV31" t="e">
        <v>#N/A</v>
      </c>
      <c r="CKW31" t="e">
        <v>#N/A</v>
      </c>
      <c r="CKX31" t="e">
        <v>#N/A</v>
      </c>
      <c r="CKY31" t="e">
        <v>#N/A</v>
      </c>
      <c r="CKZ31" t="e">
        <v>#N/A</v>
      </c>
      <c r="CLA31" t="e">
        <v>#N/A</v>
      </c>
      <c r="CLB31" t="e">
        <v>#N/A</v>
      </c>
      <c r="CLC31" t="e">
        <v>#N/A</v>
      </c>
      <c r="CLD31" t="e">
        <v>#N/A</v>
      </c>
      <c r="CLE31" t="e">
        <v>#N/A</v>
      </c>
      <c r="CLF31" t="e">
        <v>#N/A</v>
      </c>
      <c r="CLG31" t="e">
        <v>#N/A</v>
      </c>
      <c r="CLH31" t="e">
        <v>#N/A</v>
      </c>
      <c r="CLI31" t="e">
        <v>#N/A</v>
      </c>
      <c r="CLJ31" t="e">
        <v>#N/A</v>
      </c>
      <c r="CLK31" t="e">
        <v>#N/A</v>
      </c>
      <c r="CLL31" t="e">
        <v>#N/A</v>
      </c>
      <c r="CLM31" t="e">
        <v>#N/A</v>
      </c>
      <c r="CLN31" t="e">
        <v>#N/A</v>
      </c>
      <c r="CLO31" t="e">
        <v>#N/A</v>
      </c>
      <c r="CLP31" t="e">
        <v>#N/A</v>
      </c>
      <c r="CLQ31" t="e">
        <v>#N/A</v>
      </c>
      <c r="CLR31" t="e">
        <v>#N/A</v>
      </c>
      <c r="CLS31" t="e">
        <v>#N/A</v>
      </c>
      <c r="CLT31" t="e">
        <v>#N/A</v>
      </c>
      <c r="CLU31" t="e">
        <v>#N/A</v>
      </c>
      <c r="CLV31" t="e">
        <v>#N/A</v>
      </c>
      <c r="CLW31" t="e">
        <v>#N/A</v>
      </c>
      <c r="CLX31" t="e">
        <v>#N/A</v>
      </c>
      <c r="CLY31" t="e">
        <v>#N/A</v>
      </c>
      <c r="CLZ31" t="e">
        <v>#N/A</v>
      </c>
      <c r="CMA31" t="e">
        <v>#N/A</v>
      </c>
      <c r="CMB31" t="e">
        <v>#N/A</v>
      </c>
      <c r="CMC31" t="e">
        <v>#N/A</v>
      </c>
      <c r="CMD31" t="e">
        <v>#N/A</v>
      </c>
      <c r="CME31" t="e">
        <v>#N/A</v>
      </c>
      <c r="CMF31" t="e">
        <v>#N/A</v>
      </c>
      <c r="CMG31" t="e">
        <v>#N/A</v>
      </c>
      <c r="CMH31" t="e">
        <v>#N/A</v>
      </c>
      <c r="CMI31" t="e">
        <v>#N/A</v>
      </c>
      <c r="CMJ31" t="e">
        <v>#N/A</v>
      </c>
      <c r="CMK31" t="e">
        <v>#N/A</v>
      </c>
      <c r="CML31" t="e">
        <v>#N/A</v>
      </c>
      <c r="CMM31" t="e">
        <v>#N/A</v>
      </c>
      <c r="CMN31" t="e">
        <v>#N/A</v>
      </c>
      <c r="CMO31" t="e">
        <v>#N/A</v>
      </c>
      <c r="CMP31" t="e">
        <v>#N/A</v>
      </c>
      <c r="CMQ31" t="e">
        <v>#N/A</v>
      </c>
      <c r="CMR31" t="e">
        <v>#N/A</v>
      </c>
      <c r="CMS31" t="e">
        <v>#N/A</v>
      </c>
      <c r="CMT31" t="e">
        <v>#N/A</v>
      </c>
      <c r="CMU31" t="e">
        <v>#N/A</v>
      </c>
      <c r="CMV31" t="e">
        <v>#N/A</v>
      </c>
      <c r="CMW31" t="e">
        <v>#N/A</v>
      </c>
      <c r="CMX31" t="e">
        <v>#N/A</v>
      </c>
      <c r="CMY31" t="e">
        <v>#N/A</v>
      </c>
      <c r="CMZ31" t="e">
        <v>#N/A</v>
      </c>
      <c r="CNA31" t="e">
        <v>#N/A</v>
      </c>
      <c r="CNB31" t="e">
        <v>#N/A</v>
      </c>
      <c r="CNC31" t="e">
        <v>#N/A</v>
      </c>
      <c r="CND31" t="e">
        <v>#N/A</v>
      </c>
      <c r="CNE31" t="e">
        <v>#N/A</v>
      </c>
      <c r="CNF31" t="e">
        <v>#N/A</v>
      </c>
      <c r="CNG31" t="e">
        <v>#N/A</v>
      </c>
      <c r="CNH31" t="e">
        <v>#N/A</v>
      </c>
      <c r="CNI31" t="e">
        <v>#N/A</v>
      </c>
      <c r="CNJ31" t="e">
        <v>#N/A</v>
      </c>
      <c r="CNK31" t="e">
        <v>#N/A</v>
      </c>
      <c r="CNL31" t="e">
        <v>#N/A</v>
      </c>
      <c r="CNM31" t="e">
        <v>#N/A</v>
      </c>
      <c r="CNN31" t="e">
        <v>#N/A</v>
      </c>
      <c r="CNO31" t="e">
        <v>#N/A</v>
      </c>
      <c r="CNP31" t="e">
        <v>#N/A</v>
      </c>
      <c r="CNQ31" t="e">
        <v>#N/A</v>
      </c>
      <c r="CNR31" t="e">
        <v>#N/A</v>
      </c>
      <c r="CNS31" t="e">
        <v>#N/A</v>
      </c>
      <c r="CNT31" t="e">
        <v>#N/A</v>
      </c>
      <c r="CNU31" t="e">
        <v>#N/A</v>
      </c>
      <c r="CNV31" t="e">
        <v>#N/A</v>
      </c>
      <c r="CNW31" t="e">
        <v>#N/A</v>
      </c>
      <c r="CNX31" t="e">
        <v>#N/A</v>
      </c>
      <c r="CNY31" t="e">
        <v>#N/A</v>
      </c>
      <c r="CNZ31" t="e">
        <v>#N/A</v>
      </c>
      <c r="COA31" t="e">
        <v>#N/A</v>
      </c>
      <c r="COB31" t="e">
        <v>#N/A</v>
      </c>
      <c r="COC31" t="e">
        <v>#N/A</v>
      </c>
      <c r="COD31" t="e">
        <v>#N/A</v>
      </c>
      <c r="COE31" t="e">
        <v>#N/A</v>
      </c>
      <c r="COF31" t="e">
        <v>#N/A</v>
      </c>
      <c r="COG31" t="e">
        <v>#N/A</v>
      </c>
      <c r="COH31" t="e">
        <v>#N/A</v>
      </c>
      <c r="COI31" t="e">
        <v>#N/A</v>
      </c>
      <c r="COJ31" t="e">
        <v>#N/A</v>
      </c>
      <c r="COK31" t="e">
        <v>#N/A</v>
      </c>
      <c r="COL31" t="e">
        <v>#N/A</v>
      </c>
      <c r="COM31" t="e">
        <v>#N/A</v>
      </c>
      <c r="CON31" t="e">
        <v>#N/A</v>
      </c>
      <c r="COO31" t="e">
        <v>#N/A</v>
      </c>
      <c r="COP31" t="e">
        <v>#N/A</v>
      </c>
      <c r="COQ31" t="e">
        <v>#N/A</v>
      </c>
      <c r="COR31" t="e">
        <v>#N/A</v>
      </c>
      <c r="COS31" t="e">
        <v>#N/A</v>
      </c>
      <c r="COT31" t="e">
        <v>#N/A</v>
      </c>
      <c r="COU31" t="e">
        <v>#N/A</v>
      </c>
      <c r="COV31" t="e">
        <v>#N/A</v>
      </c>
      <c r="COW31" t="e">
        <v>#N/A</v>
      </c>
      <c r="COX31" t="e">
        <v>#N/A</v>
      </c>
      <c r="COY31" t="e">
        <v>#N/A</v>
      </c>
      <c r="COZ31" t="e">
        <v>#N/A</v>
      </c>
      <c r="CPA31" t="e">
        <v>#N/A</v>
      </c>
      <c r="CPB31" t="e">
        <v>#N/A</v>
      </c>
      <c r="CPC31" t="e">
        <v>#N/A</v>
      </c>
      <c r="CPD31" t="e">
        <v>#N/A</v>
      </c>
      <c r="CPE31" t="e">
        <v>#N/A</v>
      </c>
      <c r="CPF31" t="e">
        <v>#N/A</v>
      </c>
      <c r="CPG31" t="e">
        <v>#N/A</v>
      </c>
      <c r="CPH31" t="e">
        <v>#N/A</v>
      </c>
      <c r="CPI31" t="e">
        <v>#N/A</v>
      </c>
      <c r="CPJ31" t="e">
        <v>#N/A</v>
      </c>
      <c r="CPK31" t="e">
        <v>#N/A</v>
      </c>
      <c r="CPL31" t="e">
        <v>#N/A</v>
      </c>
      <c r="CPM31" t="e">
        <v>#N/A</v>
      </c>
      <c r="CPN31" t="e">
        <v>#N/A</v>
      </c>
      <c r="CPO31" t="e">
        <v>#N/A</v>
      </c>
      <c r="CPP31" t="e">
        <v>#N/A</v>
      </c>
      <c r="CPQ31" t="e">
        <v>#N/A</v>
      </c>
      <c r="CPR31" t="e">
        <v>#N/A</v>
      </c>
      <c r="CPS31" t="e">
        <v>#N/A</v>
      </c>
      <c r="CPT31" t="e">
        <v>#N/A</v>
      </c>
      <c r="CPU31" t="e">
        <v>#N/A</v>
      </c>
      <c r="CPV31" t="e">
        <v>#N/A</v>
      </c>
      <c r="CPW31" t="e">
        <v>#N/A</v>
      </c>
      <c r="CPX31" t="e">
        <v>#N/A</v>
      </c>
      <c r="CPY31" t="e">
        <v>#N/A</v>
      </c>
      <c r="CPZ31" t="e">
        <v>#N/A</v>
      </c>
      <c r="CQA31" t="e">
        <v>#N/A</v>
      </c>
      <c r="CQB31" t="e">
        <v>#N/A</v>
      </c>
      <c r="CQC31" t="e">
        <v>#N/A</v>
      </c>
      <c r="CQD31" t="e">
        <v>#N/A</v>
      </c>
      <c r="CQE31" t="e">
        <v>#N/A</v>
      </c>
      <c r="CQF31" t="e">
        <v>#N/A</v>
      </c>
      <c r="CQG31" t="e">
        <v>#N/A</v>
      </c>
      <c r="CQH31" t="e">
        <v>#N/A</v>
      </c>
      <c r="CQI31" t="e">
        <v>#N/A</v>
      </c>
      <c r="CQJ31" t="e">
        <v>#N/A</v>
      </c>
      <c r="CQK31" t="e">
        <v>#N/A</v>
      </c>
      <c r="CQL31" t="e">
        <v>#N/A</v>
      </c>
      <c r="CQM31" t="e">
        <v>#N/A</v>
      </c>
      <c r="CQN31" t="e">
        <v>#N/A</v>
      </c>
      <c r="CQO31" t="e">
        <v>#N/A</v>
      </c>
      <c r="CQP31" t="e">
        <v>#N/A</v>
      </c>
      <c r="CQQ31" t="e">
        <v>#N/A</v>
      </c>
      <c r="CQR31" t="e">
        <v>#N/A</v>
      </c>
      <c r="CQS31" t="e">
        <v>#N/A</v>
      </c>
      <c r="CQT31" t="e">
        <v>#N/A</v>
      </c>
      <c r="CQU31" t="e">
        <v>#N/A</v>
      </c>
      <c r="CQV31" t="e">
        <v>#N/A</v>
      </c>
      <c r="CQW31" t="e">
        <v>#N/A</v>
      </c>
      <c r="CQX31" t="e">
        <v>#N/A</v>
      </c>
      <c r="CQY31" t="e">
        <v>#N/A</v>
      </c>
      <c r="CQZ31" t="e">
        <v>#N/A</v>
      </c>
      <c r="CRA31" t="e">
        <v>#N/A</v>
      </c>
      <c r="CRB31" t="e">
        <v>#N/A</v>
      </c>
      <c r="CRC31" t="e">
        <v>#N/A</v>
      </c>
      <c r="CRD31" t="e">
        <v>#N/A</v>
      </c>
      <c r="CRE31" t="e">
        <v>#N/A</v>
      </c>
      <c r="CRF31" t="e">
        <v>#N/A</v>
      </c>
      <c r="CRG31" t="e">
        <v>#N/A</v>
      </c>
      <c r="CRH31" t="e">
        <v>#N/A</v>
      </c>
      <c r="CRI31" t="e">
        <v>#N/A</v>
      </c>
      <c r="CRJ31" t="e">
        <v>#N/A</v>
      </c>
      <c r="CRK31" t="e">
        <v>#N/A</v>
      </c>
      <c r="CRL31" t="e">
        <v>#N/A</v>
      </c>
      <c r="CRM31" t="e">
        <v>#N/A</v>
      </c>
      <c r="CRN31" t="e">
        <v>#N/A</v>
      </c>
      <c r="CRO31" t="e">
        <v>#N/A</v>
      </c>
      <c r="CRP31" t="e">
        <v>#N/A</v>
      </c>
      <c r="CRQ31" t="e">
        <v>#N/A</v>
      </c>
      <c r="CRR31" t="e">
        <v>#N/A</v>
      </c>
      <c r="CRS31" t="e">
        <v>#N/A</v>
      </c>
      <c r="CRT31" t="e">
        <v>#N/A</v>
      </c>
      <c r="CRU31" t="e">
        <v>#N/A</v>
      </c>
      <c r="CRV31" t="e">
        <v>#N/A</v>
      </c>
      <c r="CRW31" t="e">
        <v>#N/A</v>
      </c>
      <c r="CRX31" t="e">
        <v>#N/A</v>
      </c>
      <c r="CRY31" t="e">
        <v>#N/A</v>
      </c>
      <c r="CRZ31" t="e">
        <v>#N/A</v>
      </c>
      <c r="CSA31" t="e">
        <v>#N/A</v>
      </c>
      <c r="CSB31" t="e">
        <v>#N/A</v>
      </c>
      <c r="CSC31" t="e">
        <v>#N/A</v>
      </c>
      <c r="CSD31" t="e">
        <v>#N/A</v>
      </c>
      <c r="CSE31" t="e">
        <v>#N/A</v>
      </c>
      <c r="CSF31" t="e">
        <v>#N/A</v>
      </c>
      <c r="CSG31" t="e">
        <v>#N/A</v>
      </c>
      <c r="CSH31" t="e">
        <v>#N/A</v>
      </c>
      <c r="CSI31" t="e">
        <v>#N/A</v>
      </c>
      <c r="CSJ31" t="e">
        <v>#N/A</v>
      </c>
      <c r="CSK31" t="e">
        <v>#N/A</v>
      </c>
      <c r="CSL31" t="e">
        <v>#N/A</v>
      </c>
      <c r="CSM31" t="e">
        <v>#N/A</v>
      </c>
      <c r="CSN31" t="e">
        <v>#N/A</v>
      </c>
      <c r="CSO31" t="e">
        <v>#N/A</v>
      </c>
      <c r="CSP31" t="e">
        <v>#N/A</v>
      </c>
      <c r="CSQ31" t="e">
        <v>#N/A</v>
      </c>
      <c r="CSR31" t="e">
        <v>#N/A</v>
      </c>
      <c r="CSS31" t="e">
        <v>#N/A</v>
      </c>
      <c r="CST31" t="e">
        <v>#N/A</v>
      </c>
      <c r="CSU31" t="e">
        <v>#N/A</v>
      </c>
      <c r="CSV31" t="e">
        <v>#N/A</v>
      </c>
      <c r="CSW31" t="e">
        <v>#N/A</v>
      </c>
      <c r="CSX31" t="e">
        <v>#N/A</v>
      </c>
      <c r="CSY31" t="e">
        <v>#N/A</v>
      </c>
      <c r="CSZ31" t="e">
        <v>#N/A</v>
      </c>
      <c r="CTA31" t="e">
        <v>#N/A</v>
      </c>
      <c r="CTB31" t="e">
        <v>#N/A</v>
      </c>
      <c r="CTC31" t="e">
        <v>#N/A</v>
      </c>
      <c r="CTD31" t="e">
        <v>#N/A</v>
      </c>
      <c r="CTE31" t="e">
        <v>#N/A</v>
      </c>
      <c r="CTF31" t="e">
        <v>#N/A</v>
      </c>
      <c r="CTG31" t="e">
        <v>#N/A</v>
      </c>
      <c r="CTH31" t="e">
        <v>#N/A</v>
      </c>
      <c r="CTI31" t="e">
        <v>#N/A</v>
      </c>
      <c r="CTJ31" t="e">
        <v>#N/A</v>
      </c>
      <c r="CTK31" t="e">
        <v>#N/A</v>
      </c>
      <c r="CTL31" t="e">
        <v>#N/A</v>
      </c>
      <c r="CTM31" t="e">
        <v>#N/A</v>
      </c>
      <c r="CTN31" t="e">
        <v>#N/A</v>
      </c>
      <c r="CTO31" t="e">
        <v>#N/A</v>
      </c>
      <c r="CTP31" t="e">
        <v>#N/A</v>
      </c>
      <c r="CTQ31" t="e">
        <v>#N/A</v>
      </c>
      <c r="CTR31" t="e">
        <v>#N/A</v>
      </c>
      <c r="CTS31" t="e">
        <v>#N/A</v>
      </c>
      <c r="CTT31" t="e">
        <v>#N/A</v>
      </c>
      <c r="CTU31" t="e">
        <v>#N/A</v>
      </c>
      <c r="CTV31" t="e">
        <v>#N/A</v>
      </c>
      <c r="CTW31" t="e">
        <v>#N/A</v>
      </c>
      <c r="CTX31" t="e">
        <v>#N/A</v>
      </c>
      <c r="CTY31" t="e">
        <v>#N/A</v>
      </c>
      <c r="CTZ31" t="e">
        <v>#N/A</v>
      </c>
      <c r="CUA31" t="e">
        <v>#N/A</v>
      </c>
      <c r="CUB31" t="e">
        <v>#N/A</v>
      </c>
      <c r="CUC31" t="e">
        <v>#N/A</v>
      </c>
      <c r="CUD31" t="e">
        <v>#N/A</v>
      </c>
      <c r="CUE31" t="e">
        <v>#N/A</v>
      </c>
      <c r="CUF31" t="e">
        <v>#N/A</v>
      </c>
      <c r="CUG31" t="e">
        <v>#N/A</v>
      </c>
      <c r="CUH31" t="e">
        <v>#N/A</v>
      </c>
      <c r="CUI31" t="e">
        <v>#N/A</v>
      </c>
      <c r="CUJ31" t="e">
        <v>#N/A</v>
      </c>
      <c r="CUK31" t="e">
        <v>#N/A</v>
      </c>
      <c r="CUL31" t="e">
        <v>#N/A</v>
      </c>
      <c r="CUM31" t="e">
        <v>#N/A</v>
      </c>
      <c r="CUN31" t="e">
        <v>#N/A</v>
      </c>
      <c r="CUO31" t="e">
        <v>#N/A</v>
      </c>
      <c r="CUP31" t="e">
        <v>#N/A</v>
      </c>
      <c r="CUQ31" t="e">
        <v>#N/A</v>
      </c>
      <c r="CUR31" t="e">
        <v>#N/A</v>
      </c>
      <c r="CUS31" t="e">
        <v>#N/A</v>
      </c>
      <c r="CUT31" t="e">
        <v>#N/A</v>
      </c>
      <c r="CUU31" t="e">
        <v>#N/A</v>
      </c>
      <c r="CUV31" t="e">
        <v>#N/A</v>
      </c>
      <c r="CUW31" t="e">
        <v>#N/A</v>
      </c>
      <c r="CUX31" t="e">
        <v>#N/A</v>
      </c>
      <c r="CUY31" t="e">
        <v>#N/A</v>
      </c>
      <c r="CUZ31" t="e">
        <v>#N/A</v>
      </c>
      <c r="CVA31" t="e">
        <v>#N/A</v>
      </c>
      <c r="CVB31" t="e">
        <v>#N/A</v>
      </c>
      <c r="CVC31" t="e">
        <v>#N/A</v>
      </c>
      <c r="CVD31" t="e">
        <v>#N/A</v>
      </c>
      <c r="CVE31" t="e">
        <v>#N/A</v>
      </c>
      <c r="CVF31" t="e">
        <v>#N/A</v>
      </c>
      <c r="CVG31" t="e">
        <v>#N/A</v>
      </c>
      <c r="CVH31" t="e">
        <v>#N/A</v>
      </c>
      <c r="CVI31" t="e">
        <v>#N/A</v>
      </c>
      <c r="CVJ31" t="e">
        <v>#N/A</v>
      </c>
      <c r="CVK31" t="e">
        <v>#N/A</v>
      </c>
      <c r="CVL31" t="e">
        <v>#N/A</v>
      </c>
      <c r="CVM31" t="e">
        <v>#N/A</v>
      </c>
      <c r="CVN31" t="e">
        <v>#N/A</v>
      </c>
      <c r="CVO31" t="e">
        <v>#N/A</v>
      </c>
      <c r="CVP31" t="e">
        <v>#N/A</v>
      </c>
      <c r="CVQ31" t="e">
        <v>#N/A</v>
      </c>
      <c r="CVR31" t="e">
        <v>#N/A</v>
      </c>
      <c r="CVS31" t="e">
        <v>#N/A</v>
      </c>
      <c r="CVT31" t="e">
        <v>#N/A</v>
      </c>
      <c r="CVU31" t="e">
        <v>#N/A</v>
      </c>
      <c r="CVV31" t="e">
        <v>#N/A</v>
      </c>
      <c r="CVW31" t="e">
        <v>#N/A</v>
      </c>
      <c r="CVX31" t="e">
        <v>#N/A</v>
      </c>
      <c r="CVY31" t="e">
        <v>#N/A</v>
      </c>
      <c r="CVZ31" t="e">
        <v>#N/A</v>
      </c>
      <c r="CWA31" t="e">
        <v>#N/A</v>
      </c>
      <c r="CWB31" t="e">
        <v>#N/A</v>
      </c>
      <c r="CWC31" t="e">
        <v>#N/A</v>
      </c>
      <c r="CWD31" t="e">
        <v>#N/A</v>
      </c>
      <c r="CWE31" t="e">
        <v>#N/A</v>
      </c>
      <c r="CWF31" t="e">
        <v>#N/A</v>
      </c>
      <c r="CWG31" t="e">
        <v>#N/A</v>
      </c>
      <c r="CWH31" t="e">
        <v>#N/A</v>
      </c>
      <c r="CWI31" t="e">
        <v>#N/A</v>
      </c>
      <c r="CWJ31" t="e">
        <v>#N/A</v>
      </c>
      <c r="CWK31" t="e">
        <v>#N/A</v>
      </c>
      <c r="CWL31" t="e">
        <v>#N/A</v>
      </c>
      <c r="CWM31" t="e">
        <v>#N/A</v>
      </c>
      <c r="CWN31" t="e">
        <v>#N/A</v>
      </c>
      <c r="CWO31" t="e">
        <v>#N/A</v>
      </c>
      <c r="CWP31" t="e">
        <v>#N/A</v>
      </c>
      <c r="CWQ31" t="e">
        <v>#N/A</v>
      </c>
      <c r="CWR31" t="e">
        <v>#N/A</v>
      </c>
      <c r="CWS31" t="e">
        <v>#N/A</v>
      </c>
      <c r="CWT31" t="e">
        <v>#N/A</v>
      </c>
      <c r="CWU31" t="e">
        <v>#N/A</v>
      </c>
      <c r="CWV31" t="e">
        <v>#N/A</v>
      </c>
      <c r="CWW31" t="e">
        <v>#N/A</v>
      </c>
      <c r="CWX31" t="e">
        <v>#N/A</v>
      </c>
      <c r="CWY31" t="e">
        <v>#N/A</v>
      </c>
      <c r="CWZ31" t="e">
        <v>#N/A</v>
      </c>
      <c r="CXA31" t="e">
        <v>#N/A</v>
      </c>
      <c r="CXB31" t="e">
        <v>#N/A</v>
      </c>
      <c r="CXC31" t="e">
        <v>#N/A</v>
      </c>
      <c r="CXD31" t="e">
        <v>#N/A</v>
      </c>
      <c r="CXE31" t="e">
        <v>#N/A</v>
      </c>
      <c r="CXF31" t="e">
        <v>#N/A</v>
      </c>
      <c r="CXG31" t="e">
        <v>#N/A</v>
      </c>
      <c r="CXH31" t="e">
        <v>#N/A</v>
      </c>
      <c r="CXI31" t="e">
        <v>#N/A</v>
      </c>
      <c r="CXJ31" t="e">
        <v>#N/A</v>
      </c>
      <c r="CXK31" t="e">
        <v>#N/A</v>
      </c>
      <c r="CXL31" t="e">
        <v>#N/A</v>
      </c>
      <c r="CXM31" t="e">
        <v>#N/A</v>
      </c>
      <c r="CXN31" t="e">
        <v>#N/A</v>
      </c>
      <c r="CXO31" t="e">
        <v>#N/A</v>
      </c>
      <c r="CXP31" t="e">
        <v>#N/A</v>
      </c>
      <c r="CXQ31" t="e">
        <v>#N/A</v>
      </c>
      <c r="CXR31" t="e">
        <v>#N/A</v>
      </c>
      <c r="CXS31" t="e">
        <v>#N/A</v>
      </c>
      <c r="CXT31" t="e">
        <v>#N/A</v>
      </c>
      <c r="CXU31" t="e">
        <v>#N/A</v>
      </c>
      <c r="CXV31" t="e">
        <v>#N/A</v>
      </c>
      <c r="CXW31" t="e">
        <v>#N/A</v>
      </c>
      <c r="CXX31" t="e">
        <v>#N/A</v>
      </c>
      <c r="CXY31" t="e">
        <v>#N/A</v>
      </c>
      <c r="CXZ31" t="e">
        <v>#N/A</v>
      </c>
      <c r="CYA31" t="e">
        <v>#N/A</v>
      </c>
      <c r="CYB31" t="e">
        <v>#N/A</v>
      </c>
      <c r="CYC31" t="e">
        <v>#N/A</v>
      </c>
      <c r="CYD31" t="e">
        <v>#N/A</v>
      </c>
      <c r="CYE31" t="e">
        <v>#N/A</v>
      </c>
      <c r="CYF31" t="e">
        <v>#N/A</v>
      </c>
      <c r="CYG31" t="e">
        <v>#N/A</v>
      </c>
      <c r="CYH31" t="e">
        <v>#N/A</v>
      </c>
      <c r="CYI31" t="e">
        <v>#N/A</v>
      </c>
      <c r="CYJ31" t="e">
        <v>#N/A</v>
      </c>
      <c r="CYK31" t="e">
        <v>#N/A</v>
      </c>
      <c r="CYL31" t="e">
        <v>#N/A</v>
      </c>
      <c r="CYM31" t="e">
        <v>#N/A</v>
      </c>
      <c r="CYN31" t="e">
        <v>#N/A</v>
      </c>
      <c r="CYO31" t="e">
        <v>#N/A</v>
      </c>
      <c r="CYP31" t="e">
        <v>#N/A</v>
      </c>
      <c r="CYQ31" t="e">
        <v>#N/A</v>
      </c>
      <c r="CYR31" t="e">
        <v>#N/A</v>
      </c>
      <c r="CYS31" t="e">
        <v>#N/A</v>
      </c>
      <c r="CYT31" t="e">
        <v>#N/A</v>
      </c>
      <c r="CYU31" t="e">
        <v>#N/A</v>
      </c>
      <c r="CYV31" t="e">
        <v>#N/A</v>
      </c>
      <c r="CYW31" t="e">
        <v>#N/A</v>
      </c>
      <c r="CYX31" t="e">
        <v>#N/A</v>
      </c>
      <c r="CYY31" t="e">
        <v>#N/A</v>
      </c>
      <c r="CYZ31" t="e">
        <v>#N/A</v>
      </c>
      <c r="CZA31" t="e">
        <v>#N/A</v>
      </c>
      <c r="CZB31" t="e">
        <v>#N/A</v>
      </c>
      <c r="CZC31" t="e">
        <v>#N/A</v>
      </c>
      <c r="CZD31" t="e">
        <v>#N/A</v>
      </c>
      <c r="CZE31" t="e">
        <v>#N/A</v>
      </c>
      <c r="CZF31" t="e">
        <v>#N/A</v>
      </c>
      <c r="CZG31" t="e">
        <v>#N/A</v>
      </c>
      <c r="CZH31" t="e">
        <v>#N/A</v>
      </c>
      <c r="CZI31" t="e">
        <v>#N/A</v>
      </c>
      <c r="CZJ31" t="e">
        <v>#N/A</v>
      </c>
      <c r="CZK31" t="e">
        <v>#N/A</v>
      </c>
      <c r="CZL31" t="e">
        <v>#N/A</v>
      </c>
      <c r="CZM31" t="e">
        <v>#N/A</v>
      </c>
      <c r="CZN31" t="e">
        <v>#N/A</v>
      </c>
      <c r="CZO31" t="e">
        <v>#N/A</v>
      </c>
      <c r="CZP31" t="e">
        <v>#N/A</v>
      </c>
      <c r="CZQ31" t="e">
        <v>#N/A</v>
      </c>
      <c r="CZR31" t="e">
        <v>#N/A</v>
      </c>
      <c r="CZS31" t="e">
        <v>#N/A</v>
      </c>
      <c r="CZT31" t="e">
        <v>#N/A</v>
      </c>
      <c r="CZU31" t="e">
        <v>#N/A</v>
      </c>
      <c r="CZV31" t="e">
        <v>#N/A</v>
      </c>
      <c r="CZW31" t="e">
        <v>#N/A</v>
      </c>
      <c r="CZX31" t="e">
        <v>#N/A</v>
      </c>
      <c r="CZY31" t="e">
        <v>#N/A</v>
      </c>
      <c r="CZZ31" t="e">
        <v>#N/A</v>
      </c>
      <c r="DAA31" t="e">
        <v>#N/A</v>
      </c>
      <c r="DAB31" t="e">
        <v>#N/A</v>
      </c>
      <c r="DAC31" t="e">
        <v>#N/A</v>
      </c>
      <c r="DAD31" t="e">
        <v>#N/A</v>
      </c>
      <c r="DAE31" t="e">
        <v>#N/A</v>
      </c>
      <c r="DAF31" t="e">
        <v>#N/A</v>
      </c>
      <c r="DAG31" t="e">
        <v>#N/A</v>
      </c>
      <c r="DAH31" t="e">
        <v>#N/A</v>
      </c>
      <c r="DAI31" t="e">
        <v>#N/A</v>
      </c>
      <c r="DAJ31" t="e">
        <v>#N/A</v>
      </c>
      <c r="DAK31" t="e">
        <v>#N/A</v>
      </c>
      <c r="DAL31" t="e">
        <v>#N/A</v>
      </c>
      <c r="DAM31" t="e">
        <v>#N/A</v>
      </c>
      <c r="DAN31" t="e">
        <v>#N/A</v>
      </c>
      <c r="DAO31" t="e">
        <v>#N/A</v>
      </c>
      <c r="DAP31" t="e">
        <v>#N/A</v>
      </c>
      <c r="DAQ31" t="e">
        <v>#N/A</v>
      </c>
      <c r="DAR31" t="e">
        <v>#N/A</v>
      </c>
      <c r="DAS31" t="e">
        <v>#N/A</v>
      </c>
      <c r="DAT31" t="e">
        <v>#N/A</v>
      </c>
      <c r="DAU31" t="e">
        <v>#N/A</v>
      </c>
      <c r="DAV31" t="e">
        <v>#N/A</v>
      </c>
      <c r="DAW31" t="e">
        <v>#N/A</v>
      </c>
      <c r="DAX31" t="e">
        <v>#N/A</v>
      </c>
      <c r="DAY31" t="e">
        <v>#N/A</v>
      </c>
      <c r="DAZ31" t="e">
        <v>#N/A</v>
      </c>
      <c r="DBA31" t="e">
        <v>#N/A</v>
      </c>
      <c r="DBB31" t="e">
        <v>#N/A</v>
      </c>
      <c r="DBC31" t="e">
        <v>#N/A</v>
      </c>
      <c r="DBD31" t="e">
        <v>#N/A</v>
      </c>
      <c r="DBE31" t="e">
        <v>#N/A</v>
      </c>
      <c r="DBF31" t="e">
        <v>#N/A</v>
      </c>
      <c r="DBG31" t="e">
        <v>#N/A</v>
      </c>
      <c r="DBH31" t="e">
        <v>#N/A</v>
      </c>
      <c r="DBI31" t="e">
        <v>#N/A</v>
      </c>
      <c r="DBJ31" t="e">
        <v>#N/A</v>
      </c>
      <c r="DBK31" t="e">
        <v>#N/A</v>
      </c>
      <c r="DBL31" t="e">
        <v>#N/A</v>
      </c>
      <c r="DBM31" t="e">
        <v>#N/A</v>
      </c>
      <c r="DBN31" t="e">
        <v>#N/A</v>
      </c>
      <c r="DBO31" t="e">
        <v>#N/A</v>
      </c>
      <c r="DBP31" t="e">
        <v>#N/A</v>
      </c>
      <c r="DBQ31" t="e">
        <v>#N/A</v>
      </c>
      <c r="DBR31" t="e">
        <v>#N/A</v>
      </c>
      <c r="DBS31" t="e">
        <v>#N/A</v>
      </c>
      <c r="DBT31" t="e">
        <v>#N/A</v>
      </c>
      <c r="DBU31" t="e">
        <v>#N/A</v>
      </c>
      <c r="DBV31" t="e">
        <v>#N/A</v>
      </c>
      <c r="DBW31" t="e">
        <v>#N/A</v>
      </c>
      <c r="DBX31" t="e">
        <v>#N/A</v>
      </c>
      <c r="DBY31" t="e">
        <v>#N/A</v>
      </c>
      <c r="DBZ31" t="e">
        <v>#N/A</v>
      </c>
      <c r="DCA31" t="e">
        <v>#N/A</v>
      </c>
      <c r="DCB31" t="e">
        <v>#N/A</v>
      </c>
      <c r="DCC31" t="e">
        <v>#N/A</v>
      </c>
      <c r="DCD31" t="e">
        <v>#N/A</v>
      </c>
      <c r="DCE31" t="e">
        <v>#N/A</v>
      </c>
      <c r="DCF31" t="e">
        <v>#N/A</v>
      </c>
      <c r="DCG31" t="e">
        <v>#N/A</v>
      </c>
      <c r="DCH31" t="e">
        <v>#N/A</v>
      </c>
      <c r="DCI31" t="e">
        <v>#N/A</v>
      </c>
      <c r="DCJ31" t="e">
        <v>#N/A</v>
      </c>
      <c r="DCK31" t="e">
        <v>#N/A</v>
      </c>
      <c r="DCL31" t="e">
        <v>#N/A</v>
      </c>
      <c r="DCM31" t="e">
        <v>#N/A</v>
      </c>
      <c r="DCN31" t="e">
        <v>#N/A</v>
      </c>
      <c r="DCO31" t="e">
        <v>#N/A</v>
      </c>
      <c r="DCP31" t="e">
        <v>#N/A</v>
      </c>
      <c r="DCQ31" t="e">
        <v>#N/A</v>
      </c>
      <c r="DCR31" t="e">
        <v>#N/A</v>
      </c>
      <c r="DCS31" t="e">
        <v>#N/A</v>
      </c>
      <c r="DCT31" t="e">
        <v>#N/A</v>
      </c>
      <c r="DCU31" t="e">
        <v>#N/A</v>
      </c>
      <c r="DCV31" t="e">
        <v>#N/A</v>
      </c>
      <c r="DCW31" t="e">
        <v>#N/A</v>
      </c>
      <c r="DCX31" t="e">
        <v>#N/A</v>
      </c>
      <c r="DCY31" t="e">
        <v>#N/A</v>
      </c>
      <c r="DCZ31" t="e">
        <v>#N/A</v>
      </c>
      <c r="DDA31" t="e">
        <v>#N/A</v>
      </c>
      <c r="DDB31" t="e">
        <v>#N/A</v>
      </c>
      <c r="DDC31" t="e">
        <v>#N/A</v>
      </c>
      <c r="DDD31" t="e">
        <v>#N/A</v>
      </c>
      <c r="DDE31" t="e">
        <v>#N/A</v>
      </c>
      <c r="DDF31" t="e">
        <v>#N/A</v>
      </c>
      <c r="DDG31" t="e">
        <v>#N/A</v>
      </c>
      <c r="DDH31" t="e">
        <v>#N/A</v>
      </c>
      <c r="DDI31" t="e">
        <v>#N/A</v>
      </c>
      <c r="DDJ31" t="e">
        <v>#N/A</v>
      </c>
      <c r="DDK31" t="e">
        <v>#N/A</v>
      </c>
      <c r="DDL31" t="e">
        <v>#N/A</v>
      </c>
      <c r="DDM31" t="e">
        <v>#N/A</v>
      </c>
      <c r="DDN31" t="e">
        <v>#N/A</v>
      </c>
      <c r="DDO31" t="e">
        <v>#N/A</v>
      </c>
      <c r="DDP31" t="e">
        <v>#N/A</v>
      </c>
      <c r="DDQ31" t="e">
        <v>#N/A</v>
      </c>
      <c r="DDR31" t="e">
        <v>#N/A</v>
      </c>
      <c r="DDS31" t="e">
        <v>#N/A</v>
      </c>
      <c r="DDT31" t="e">
        <v>#N/A</v>
      </c>
      <c r="DDU31" t="e">
        <v>#N/A</v>
      </c>
      <c r="DDV31" t="e">
        <v>#N/A</v>
      </c>
      <c r="DDW31" t="e">
        <v>#N/A</v>
      </c>
      <c r="DDX31" t="e">
        <v>#N/A</v>
      </c>
      <c r="DDY31" t="e">
        <v>#N/A</v>
      </c>
      <c r="DDZ31" t="e">
        <v>#N/A</v>
      </c>
      <c r="DEA31" t="e">
        <v>#N/A</v>
      </c>
      <c r="DEB31" t="e">
        <v>#N/A</v>
      </c>
      <c r="DEC31" t="e">
        <v>#N/A</v>
      </c>
      <c r="DED31" t="e">
        <v>#N/A</v>
      </c>
      <c r="DEE31" t="e">
        <v>#N/A</v>
      </c>
      <c r="DEF31" t="e">
        <v>#N/A</v>
      </c>
      <c r="DEG31" t="e">
        <v>#N/A</v>
      </c>
      <c r="DEH31" t="e">
        <v>#N/A</v>
      </c>
      <c r="DEI31" t="e">
        <v>#N/A</v>
      </c>
      <c r="DEJ31" t="e">
        <v>#N/A</v>
      </c>
      <c r="DEK31" t="e">
        <v>#N/A</v>
      </c>
      <c r="DEL31" t="e">
        <v>#N/A</v>
      </c>
      <c r="DEM31" t="e">
        <v>#N/A</v>
      </c>
      <c r="DEN31" t="e">
        <v>#N/A</v>
      </c>
      <c r="DEO31" t="e">
        <v>#N/A</v>
      </c>
      <c r="DEP31" t="e">
        <v>#N/A</v>
      </c>
      <c r="DEQ31" t="e">
        <v>#N/A</v>
      </c>
      <c r="DER31" t="e">
        <v>#N/A</v>
      </c>
      <c r="DES31" t="e">
        <v>#N/A</v>
      </c>
      <c r="DET31" t="e">
        <v>#N/A</v>
      </c>
      <c r="DEU31" t="e">
        <v>#N/A</v>
      </c>
      <c r="DEV31" t="e">
        <v>#N/A</v>
      </c>
      <c r="DEW31" t="e">
        <v>#N/A</v>
      </c>
      <c r="DEX31" t="e">
        <v>#N/A</v>
      </c>
      <c r="DEY31" t="e">
        <v>#N/A</v>
      </c>
      <c r="DEZ31" t="e">
        <v>#N/A</v>
      </c>
      <c r="DFA31" t="e">
        <v>#N/A</v>
      </c>
      <c r="DFB31" t="e">
        <v>#N/A</v>
      </c>
      <c r="DFC31" t="e">
        <v>#N/A</v>
      </c>
      <c r="DFD31" t="e">
        <v>#N/A</v>
      </c>
      <c r="DFE31" t="e">
        <v>#N/A</v>
      </c>
      <c r="DFF31" t="e">
        <v>#N/A</v>
      </c>
      <c r="DFG31" t="e">
        <v>#N/A</v>
      </c>
      <c r="DFH31" t="e">
        <v>#N/A</v>
      </c>
      <c r="DFI31" t="e">
        <v>#N/A</v>
      </c>
      <c r="DFJ31" t="e">
        <v>#N/A</v>
      </c>
      <c r="DFK31" t="e">
        <v>#N/A</v>
      </c>
      <c r="DFL31" t="e">
        <v>#N/A</v>
      </c>
      <c r="DFM31" t="e">
        <v>#N/A</v>
      </c>
      <c r="DFN31" t="e">
        <v>#N/A</v>
      </c>
      <c r="DFO31" t="e">
        <v>#N/A</v>
      </c>
      <c r="DFP31" t="e">
        <v>#N/A</v>
      </c>
      <c r="DFQ31" t="e">
        <v>#N/A</v>
      </c>
      <c r="DFR31" t="e">
        <v>#N/A</v>
      </c>
      <c r="DFS31" t="e">
        <v>#N/A</v>
      </c>
      <c r="DFT31" t="e">
        <v>#N/A</v>
      </c>
      <c r="DFU31" t="e">
        <v>#N/A</v>
      </c>
      <c r="DFV31" t="e">
        <v>#N/A</v>
      </c>
      <c r="DFW31" t="e">
        <v>#N/A</v>
      </c>
      <c r="DFX31" t="e">
        <v>#N/A</v>
      </c>
      <c r="DFY31" t="e">
        <v>#N/A</v>
      </c>
      <c r="DFZ31" t="e">
        <v>#N/A</v>
      </c>
      <c r="DGA31" t="e">
        <v>#N/A</v>
      </c>
      <c r="DGB31" t="e">
        <v>#N/A</v>
      </c>
      <c r="DGC31" t="e">
        <v>#N/A</v>
      </c>
      <c r="DGD31" t="e">
        <v>#N/A</v>
      </c>
      <c r="DGE31" t="e">
        <v>#N/A</v>
      </c>
      <c r="DGF31" t="e">
        <v>#N/A</v>
      </c>
      <c r="DGG31" t="e">
        <v>#N/A</v>
      </c>
      <c r="DGH31" t="e">
        <v>#N/A</v>
      </c>
      <c r="DGI31" t="e">
        <v>#N/A</v>
      </c>
      <c r="DGJ31" t="e">
        <v>#N/A</v>
      </c>
      <c r="DGK31" t="e">
        <v>#N/A</v>
      </c>
      <c r="DGL31" t="e">
        <v>#N/A</v>
      </c>
      <c r="DGM31" t="e">
        <v>#N/A</v>
      </c>
      <c r="DGN31" t="e">
        <v>#N/A</v>
      </c>
      <c r="DGO31" t="e">
        <v>#N/A</v>
      </c>
      <c r="DGP31" t="e">
        <v>#N/A</v>
      </c>
      <c r="DGQ31" t="e">
        <v>#N/A</v>
      </c>
      <c r="DGR31" t="e">
        <v>#N/A</v>
      </c>
      <c r="DGS31" t="e">
        <v>#N/A</v>
      </c>
      <c r="DGT31" t="e">
        <v>#N/A</v>
      </c>
      <c r="DGU31" t="e">
        <v>#N/A</v>
      </c>
      <c r="DGV31" t="e">
        <v>#N/A</v>
      </c>
      <c r="DGW31" t="e">
        <v>#N/A</v>
      </c>
      <c r="DGX31" t="e">
        <v>#N/A</v>
      </c>
      <c r="DGY31" t="e">
        <v>#N/A</v>
      </c>
      <c r="DGZ31" t="e">
        <v>#N/A</v>
      </c>
      <c r="DHA31" t="e">
        <v>#N/A</v>
      </c>
      <c r="DHB31" t="e">
        <v>#N/A</v>
      </c>
      <c r="DHC31" t="e">
        <v>#N/A</v>
      </c>
      <c r="DHD31" t="e">
        <v>#N/A</v>
      </c>
      <c r="DHE31" t="e">
        <v>#N/A</v>
      </c>
      <c r="DHF31" t="e">
        <v>#N/A</v>
      </c>
      <c r="DHG31" t="e">
        <v>#N/A</v>
      </c>
      <c r="DHH31" t="e">
        <v>#N/A</v>
      </c>
      <c r="DHI31" t="e">
        <v>#N/A</v>
      </c>
      <c r="DHJ31" t="e">
        <v>#N/A</v>
      </c>
      <c r="DHK31" t="e">
        <v>#N/A</v>
      </c>
      <c r="DHL31" t="e">
        <v>#N/A</v>
      </c>
      <c r="DHM31" t="e">
        <v>#N/A</v>
      </c>
      <c r="DHN31" t="e">
        <v>#N/A</v>
      </c>
      <c r="DHO31" t="e">
        <v>#N/A</v>
      </c>
      <c r="DHP31" t="e">
        <v>#N/A</v>
      </c>
      <c r="DHQ31" t="e">
        <v>#N/A</v>
      </c>
      <c r="DHR31" t="e">
        <v>#N/A</v>
      </c>
      <c r="DHS31" t="e">
        <v>#N/A</v>
      </c>
      <c r="DHT31" t="e">
        <v>#N/A</v>
      </c>
      <c r="DHU31" t="e">
        <v>#N/A</v>
      </c>
      <c r="DHV31" t="e">
        <v>#N/A</v>
      </c>
      <c r="DHW31" t="e">
        <v>#N/A</v>
      </c>
      <c r="DHX31" t="e">
        <v>#N/A</v>
      </c>
      <c r="DHY31" t="e">
        <v>#N/A</v>
      </c>
      <c r="DHZ31" t="e">
        <v>#N/A</v>
      </c>
      <c r="DIA31" t="e">
        <v>#N/A</v>
      </c>
      <c r="DIB31" t="e">
        <v>#N/A</v>
      </c>
      <c r="DIC31" t="e">
        <v>#N/A</v>
      </c>
      <c r="DID31" t="e">
        <v>#N/A</v>
      </c>
      <c r="DIE31" t="e">
        <v>#N/A</v>
      </c>
      <c r="DIF31" t="e">
        <v>#N/A</v>
      </c>
      <c r="DIG31" t="e">
        <v>#N/A</v>
      </c>
      <c r="DIH31" t="e">
        <v>#N/A</v>
      </c>
      <c r="DII31" t="e">
        <v>#N/A</v>
      </c>
      <c r="DIJ31" t="e">
        <v>#N/A</v>
      </c>
      <c r="DIK31" t="e">
        <v>#N/A</v>
      </c>
      <c r="DIL31" t="e">
        <v>#N/A</v>
      </c>
      <c r="DIM31" t="e">
        <v>#N/A</v>
      </c>
      <c r="DIN31" t="e">
        <v>#N/A</v>
      </c>
      <c r="DIO31" t="e">
        <v>#N/A</v>
      </c>
      <c r="DIP31" t="e">
        <v>#N/A</v>
      </c>
      <c r="DIQ31" t="e">
        <v>#N/A</v>
      </c>
      <c r="DIR31" t="e">
        <v>#N/A</v>
      </c>
      <c r="DIS31" t="e">
        <v>#N/A</v>
      </c>
      <c r="DIT31" t="e">
        <v>#N/A</v>
      </c>
      <c r="DIU31" t="e">
        <v>#N/A</v>
      </c>
      <c r="DIV31" t="e">
        <v>#N/A</v>
      </c>
      <c r="DIW31" t="e">
        <v>#N/A</v>
      </c>
      <c r="DIX31" t="e">
        <v>#N/A</v>
      </c>
      <c r="DIY31" t="e">
        <v>#N/A</v>
      </c>
      <c r="DIZ31" t="e">
        <v>#N/A</v>
      </c>
      <c r="DJA31" t="e">
        <v>#N/A</v>
      </c>
      <c r="DJB31" t="e">
        <v>#N/A</v>
      </c>
      <c r="DJC31" t="e">
        <v>#N/A</v>
      </c>
      <c r="DJD31" t="e">
        <v>#N/A</v>
      </c>
      <c r="DJE31" t="e">
        <v>#N/A</v>
      </c>
      <c r="DJF31" t="e">
        <v>#N/A</v>
      </c>
      <c r="DJG31" t="e">
        <v>#N/A</v>
      </c>
      <c r="DJH31" t="e">
        <v>#N/A</v>
      </c>
      <c r="DJI31" t="e">
        <v>#N/A</v>
      </c>
      <c r="DJJ31" t="e">
        <v>#N/A</v>
      </c>
      <c r="DJK31" t="e">
        <v>#N/A</v>
      </c>
      <c r="DJL31" t="e">
        <v>#N/A</v>
      </c>
      <c r="DJM31" t="e">
        <v>#N/A</v>
      </c>
      <c r="DJN31" t="e">
        <v>#N/A</v>
      </c>
      <c r="DJO31" t="e">
        <v>#N/A</v>
      </c>
      <c r="DJP31" t="e">
        <v>#N/A</v>
      </c>
      <c r="DJQ31" t="e">
        <v>#N/A</v>
      </c>
      <c r="DJR31" t="e">
        <v>#N/A</v>
      </c>
      <c r="DJS31" t="e">
        <v>#N/A</v>
      </c>
      <c r="DJT31" t="e">
        <v>#N/A</v>
      </c>
      <c r="DJU31" t="e">
        <v>#N/A</v>
      </c>
      <c r="DJV31" t="e">
        <v>#N/A</v>
      </c>
      <c r="DJW31" t="e">
        <v>#N/A</v>
      </c>
      <c r="DJX31" t="e">
        <v>#N/A</v>
      </c>
      <c r="DJY31" t="e">
        <v>#N/A</v>
      </c>
      <c r="DJZ31" t="e">
        <v>#N/A</v>
      </c>
      <c r="DKA31" t="e">
        <v>#N/A</v>
      </c>
      <c r="DKB31" t="e">
        <v>#N/A</v>
      </c>
      <c r="DKC31" t="e">
        <v>#N/A</v>
      </c>
      <c r="DKD31" t="e">
        <v>#N/A</v>
      </c>
      <c r="DKE31" t="e">
        <v>#N/A</v>
      </c>
      <c r="DKF31" t="e">
        <v>#N/A</v>
      </c>
      <c r="DKG31" t="e">
        <v>#N/A</v>
      </c>
      <c r="DKH31" t="e">
        <v>#N/A</v>
      </c>
      <c r="DKI31" t="e">
        <v>#N/A</v>
      </c>
      <c r="DKJ31" t="e">
        <v>#N/A</v>
      </c>
      <c r="DKK31" t="e">
        <v>#N/A</v>
      </c>
      <c r="DKL31" t="e">
        <v>#N/A</v>
      </c>
      <c r="DKM31" t="e">
        <v>#N/A</v>
      </c>
      <c r="DKN31" t="e">
        <v>#N/A</v>
      </c>
      <c r="DKO31" t="e">
        <v>#N/A</v>
      </c>
      <c r="DKP31" t="e">
        <v>#N/A</v>
      </c>
      <c r="DKQ31" t="e">
        <v>#N/A</v>
      </c>
      <c r="DKR31" t="e">
        <v>#N/A</v>
      </c>
      <c r="DKS31" t="e">
        <v>#N/A</v>
      </c>
      <c r="DKT31" t="e">
        <v>#N/A</v>
      </c>
      <c r="DKU31" t="e">
        <v>#N/A</v>
      </c>
      <c r="DKV31" t="e">
        <v>#N/A</v>
      </c>
      <c r="DKW31" t="e">
        <v>#N/A</v>
      </c>
      <c r="DKX31" t="e">
        <v>#N/A</v>
      </c>
      <c r="DKY31" t="e">
        <v>#N/A</v>
      </c>
      <c r="DKZ31" t="e">
        <v>#N/A</v>
      </c>
      <c r="DLA31" t="e">
        <v>#N/A</v>
      </c>
      <c r="DLB31" t="e">
        <v>#N/A</v>
      </c>
      <c r="DLC31" t="e">
        <v>#N/A</v>
      </c>
      <c r="DLD31" t="e">
        <v>#N/A</v>
      </c>
      <c r="DLE31" t="e">
        <v>#N/A</v>
      </c>
      <c r="DLF31" t="e">
        <v>#N/A</v>
      </c>
      <c r="DLG31" t="e">
        <v>#N/A</v>
      </c>
      <c r="DLH31" t="e">
        <v>#N/A</v>
      </c>
      <c r="DLI31" t="e">
        <v>#N/A</v>
      </c>
      <c r="DLJ31" t="e">
        <v>#N/A</v>
      </c>
      <c r="DLK31" t="e">
        <v>#N/A</v>
      </c>
      <c r="DLL31" t="e">
        <v>#N/A</v>
      </c>
      <c r="DLM31" t="e">
        <v>#N/A</v>
      </c>
      <c r="DLN31" t="e">
        <v>#N/A</v>
      </c>
      <c r="DLO31" t="e">
        <v>#N/A</v>
      </c>
      <c r="DLP31" t="e">
        <v>#N/A</v>
      </c>
      <c r="DLQ31" t="e">
        <v>#N/A</v>
      </c>
      <c r="DLR31" t="e">
        <v>#N/A</v>
      </c>
      <c r="DLS31" t="e">
        <v>#N/A</v>
      </c>
      <c r="DLT31" t="e">
        <v>#N/A</v>
      </c>
      <c r="DLU31" t="e">
        <v>#N/A</v>
      </c>
      <c r="DLV31" t="e">
        <v>#N/A</v>
      </c>
      <c r="DLW31" t="e">
        <v>#N/A</v>
      </c>
      <c r="DLX31" t="e">
        <v>#N/A</v>
      </c>
      <c r="DLY31" t="e">
        <v>#N/A</v>
      </c>
      <c r="DLZ31" t="e">
        <v>#N/A</v>
      </c>
      <c r="DMA31" t="e">
        <v>#N/A</v>
      </c>
      <c r="DMB31" t="e">
        <v>#N/A</v>
      </c>
      <c r="DMC31" t="e">
        <v>#N/A</v>
      </c>
      <c r="DMD31" t="e">
        <v>#N/A</v>
      </c>
      <c r="DME31" t="e">
        <v>#N/A</v>
      </c>
      <c r="DMF31" t="e">
        <v>#N/A</v>
      </c>
      <c r="DMG31" t="e">
        <v>#N/A</v>
      </c>
      <c r="DMH31" t="e">
        <v>#N/A</v>
      </c>
      <c r="DMI31" t="e">
        <v>#N/A</v>
      </c>
      <c r="DMJ31" t="e">
        <v>#N/A</v>
      </c>
      <c r="DMK31" t="e">
        <v>#N/A</v>
      </c>
      <c r="DML31" t="e">
        <v>#N/A</v>
      </c>
      <c r="DMM31" t="e">
        <v>#N/A</v>
      </c>
      <c r="DMN31" t="e">
        <v>#N/A</v>
      </c>
      <c r="DMO31" t="e">
        <v>#N/A</v>
      </c>
      <c r="DMP31" t="e">
        <v>#N/A</v>
      </c>
      <c r="DMQ31" t="e">
        <v>#N/A</v>
      </c>
      <c r="DMR31" t="e">
        <v>#N/A</v>
      </c>
      <c r="DMS31" t="e">
        <v>#N/A</v>
      </c>
      <c r="DMT31" t="e">
        <v>#N/A</v>
      </c>
      <c r="DMU31" t="e">
        <v>#N/A</v>
      </c>
      <c r="DMV31" t="e">
        <v>#N/A</v>
      </c>
      <c r="DMW31" t="e">
        <v>#N/A</v>
      </c>
      <c r="DMX31" t="e">
        <v>#N/A</v>
      </c>
      <c r="DMY31" t="e">
        <v>#N/A</v>
      </c>
      <c r="DMZ31" t="e">
        <v>#N/A</v>
      </c>
      <c r="DNA31" t="e">
        <v>#N/A</v>
      </c>
      <c r="DNB31" t="e">
        <v>#N/A</v>
      </c>
      <c r="DNC31" t="e">
        <v>#N/A</v>
      </c>
      <c r="DND31" t="e">
        <v>#N/A</v>
      </c>
      <c r="DNE31" t="e">
        <v>#N/A</v>
      </c>
      <c r="DNF31" t="e">
        <v>#N/A</v>
      </c>
      <c r="DNG31" t="e">
        <v>#N/A</v>
      </c>
      <c r="DNH31" t="e">
        <v>#N/A</v>
      </c>
      <c r="DNI31" t="e">
        <v>#N/A</v>
      </c>
      <c r="DNJ31" t="e">
        <v>#N/A</v>
      </c>
      <c r="DNK31" t="e">
        <v>#N/A</v>
      </c>
      <c r="DNL31" t="e">
        <v>#N/A</v>
      </c>
      <c r="DNM31" t="e">
        <v>#N/A</v>
      </c>
      <c r="DNN31" t="e">
        <v>#N/A</v>
      </c>
      <c r="DNO31" t="e">
        <v>#N/A</v>
      </c>
      <c r="DNP31" t="e">
        <v>#N/A</v>
      </c>
      <c r="DNQ31" t="e">
        <v>#N/A</v>
      </c>
      <c r="DNR31" t="e">
        <v>#N/A</v>
      </c>
      <c r="DNS31" t="e">
        <v>#N/A</v>
      </c>
      <c r="DNT31" t="e">
        <v>#N/A</v>
      </c>
      <c r="DNU31" t="e">
        <v>#N/A</v>
      </c>
      <c r="DNV31" t="e">
        <v>#N/A</v>
      </c>
      <c r="DNW31" t="e">
        <v>#N/A</v>
      </c>
      <c r="DNX31" t="e">
        <v>#N/A</v>
      </c>
      <c r="DNY31" t="e">
        <v>#N/A</v>
      </c>
      <c r="DNZ31" t="e">
        <v>#N/A</v>
      </c>
      <c r="DOA31" t="e">
        <v>#N/A</v>
      </c>
      <c r="DOB31" t="e">
        <v>#N/A</v>
      </c>
      <c r="DOC31" t="e">
        <v>#N/A</v>
      </c>
      <c r="DOD31" t="e">
        <v>#N/A</v>
      </c>
      <c r="DOE31" t="e">
        <v>#N/A</v>
      </c>
      <c r="DOF31" t="e">
        <v>#N/A</v>
      </c>
      <c r="DOG31" t="e">
        <v>#N/A</v>
      </c>
      <c r="DOH31" t="e">
        <v>#N/A</v>
      </c>
      <c r="DOI31" t="e">
        <v>#N/A</v>
      </c>
      <c r="DOJ31" t="e">
        <v>#N/A</v>
      </c>
      <c r="DOK31" t="e">
        <v>#N/A</v>
      </c>
      <c r="DOL31" t="e">
        <v>#N/A</v>
      </c>
      <c r="DOM31" t="e">
        <v>#N/A</v>
      </c>
      <c r="DON31" t="e">
        <v>#N/A</v>
      </c>
      <c r="DOO31" t="e">
        <v>#N/A</v>
      </c>
      <c r="DOP31" t="e">
        <v>#N/A</v>
      </c>
      <c r="DOQ31" t="e">
        <v>#N/A</v>
      </c>
      <c r="DOR31" t="e">
        <v>#N/A</v>
      </c>
      <c r="DOS31" t="e">
        <v>#N/A</v>
      </c>
      <c r="DOT31" t="e">
        <v>#N/A</v>
      </c>
      <c r="DOU31" t="e">
        <v>#N/A</v>
      </c>
      <c r="DOV31" t="e">
        <v>#N/A</v>
      </c>
      <c r="DOW31" t="e">
        <v>#N/A</v>
      </c>
      <c r="DOX31" t="e">
        <v>#N/A</v>
      </c>
      <c r="DOY31" t="e">
        <v>#N/A</v>
      </c>
      <c r="DOZ31" t="e">
        <v>#N/A</v>
      </c>
      <c r="DPA31" t="e">
        <v>#N/A</v>
      </c>
      <c r="DPB31" t="e">
        <v>#N/A</v>
      </c>
      <c r="DPC31" t="e">
        <v>#N/A</v>
      </c>
      <c r="DPD31" t="e">
        <v>#N/A</v>
      </c>
      <c r="DPE31" t="e">
        <v>#N/A</v>
      </c>
      <c r="DPF31" t="e">
        <v>#N/A</v>
      </c>
      <c r="DPG31" t="e">
        <v>#N/A</v>
      </c>
      <c r="DPH31" t="e">
        <v>#N/A</v>
      </c>
      <c r="DPI31" t="e">
        <v>#N/A</v>
      </c>
      <c r="DPJ31" t="e">
        <v>#N/A</v>
      </c>
      <c r="DPK31" t="e">
        <v>#N/A</v>
      </c>
      <c r="DPL31" t="e">
        <v>#N/A</v>
      </c>
      <c r="DPM31" t="e">
        <v>#N/A</v>
      </c>
      <c r="DPN31" t="e">
        <v>#N/A</v>
      </c>
      <c r="DPO31" t="e">
        <v>#N/A</v>
      </c>
      <c r="DPP31" t="e">
        <v>#N/A</v>
      </c>
      <c r="DPQ31" t="e">
        <v>#N/A</v>
      </c>
      <c r="DPR31" t="e">
        <v>#N/A</v>
      </c>
      <c r="DPS31" t="e">
        <v>#N/A</v>
      </c>
      <c r="DPT31" t="e">
        <v>#N/A</v>
      </c>
      <c r="DPU31" t="e">
        <v>#N/A</v>
      </c>
      <c r="DPV31" t="e">
        <v>#N/A</v>
      </c>
      <c r="DPW31" t="e">
        <v>#N/A</v>
      </c>
      <c r="DPX31" t="e">
        <v>#N/A</v>
      </c>
      <c r="DPY31" t="e">
        <v>#N/A</v>
      </c>
      <c r="DPZ31" t="e">
        <v>#N/A</v>
      </c>
      <c r="DQA31" t="e">
        <v>#N/A</v>
      </c>
      <c r="DQB31" t="e">
        <v>#N/A</v>
      </c>
      <c r="DQC31" t="e">
        <v>#N/A</v>
      </c>
      <c r="DQD31" t="e">
        <v>#N/A</v>
      </c>
      <c r="DQE31" t="e">
        <v>#N/A</v>
      </c>
      <c r="DQF31" t="e">
        <v>#N/A</v>
      </c>
      <c r="DQG31" t="e">
        <v>#N/A</v>
      </c>
      <c r="DQH31" t="e">
        <v>#N/A</v>
      </c>
      <c r="DQI31" t="e">
        <v>#N/A</v>
      </c>
      <c r="DQJ31" t="e">
        <v>#N/A</v>
      </c>
      <c r="DQK31" t="e">
        <v>#N/A</v>
      </c>
      <c r="DQL31" t="e">
        <v>#N/A</v>
      </c>
      <c r="DQM31" t="e">
        <v>#N/A</v>
      </c>
      <c r="DQN31" t="e">
        <v>#N/A</v>
      </c>
      <c r="DQO31" t="e">
        <v>#N/A</v>
      </c>
      <c r="DQP31" t="e">
        <v>#N/A</v>
      </c>
      <c r="DQQ31" t="e">
        <v>#N/A</v>
      </c>
      <c r="DQR31" t="e">
        <v>#N/A</v>
      </c>
      <c r="DQS31" t="e">
        <v>#N/A</v>
      </c>
      <c r="DQT31" t="e">
        <v>#N/A</v>
      </c>
      <c r="DQU31" t="e">
        <v>#N/A</v>
      </c>
      <c r="DQV31" t="e">
        <v>#N/A</v>
      </c>
      <c r="DQW31" t="e">
        <v>#N/A</v>
      </c>
      <c r="DQX31" t="e">
        <v>#N/A</v>
      </c>
      <c r="DQY31" t="e">
        <v>#N/A</v>
      </c>
      <c r="DQZ31" t="e">
        <v>#N/A</v>
      </c>
      <c r="DRA31" t="e">
        <v>#N/A</v>
      </c>
      <c r="DRB31" t="e">
        <v>#N/A</v>
      </c>
      <c r="DRC31" t="e">
        <v>#N/A</v>
      </c>
      <c r="DRD31" t="e">
        <v>#N/A</v>
      </c>
      <c r="DRE31" t="e">
        <v>#N/A</v>
      </c>
      <c r="DRF31" t="e">
        <v>#N/A</v>
      </c>
      <c r="DRG31" t="e">
        <v>#N/A</v>
      </c>
      <c r="DRH31" t="e">
        <v>#N/A</v>
      </c>
      <c r="DRI31" t="e">
        <v>#N/A</v>
      </c>
      <c r="DRJ31" t="e">
        <v>#N/A</v>
      </c>
      <c r="DRK31" t="e">
        <v>#N/A</v>
      </c>
      <c r="DRL31" t="e">
        <v>#N/A</v>
      </c>
      <c r="DRM31" t="e">
        <v>#N/A</v>
      </c>
      <c r="DRN31" t="e">
        <v>#N/A</v>
      </c>
      <c r="DRO31" t="e">
        <v>#N/A</v>
      </c>
      <c r="DRP31" t="e">
        <v>#N/A</v>
      </c>
      <c r="DRQ31" t="e">
        <v>#N/A</v>
      </c>
      <c r="DRR31" t="e">
        <v>#N/A</v>
      </c>
      <c r="DRS31" t="e">
        <v>#N/A</v>
      </c>
      <c r="DRT31" t="e">
        <v>#N/A</v>
      </c>
      <c r="DRU31" t="e">
        <v>#N/A</v>
      </c>
      <c r="DRV31" t="e">
        <v>#N/A</v>
      </c>
      <c r="DRW31" t="e">
        <v>#N/A</v>
      </c>
      <c r="DRX31" t="e">
        <v>#N/A</v>
      </c>
      <c r="DRY31" t="e">
        <v>#N/A</v>
      </c>
      <c r="DRZ31" t="e">
        <v>#N/A</v>
      </c>
      <c r="DSA31" t="e">
        <v>#N/A</v>
      </c>
      <c r="DSB31" t="e">
        <v>#N/A</v>
      </c>
      <c r="DSC31" t="e">
        <v>#N/A</v>
      </c>
      <c r="DSD31" t="e">
        <v>#N/A</v>
      </c>
      <c r="DSE31" t="e">
        <v>#N/A</v>
      </c>
      <c r="DSF31" t="e">
        <v>#N/A</v>
      </c>
      <c r="DSG31" t="e">
        <v>#N/A</v>
      </c>
      <c r="DSH31" t="e">
        <v>#N/A</v>
      </c>
      <c r="DSI31" t="e">
        <v>#N/A</v>
      </c>
      <c r="DSJ31" t="e">
        <v>#N/A</v>
      </c>
      <c r="DSK31" t="e">
        <v>#N/A</v>
      </c>
      <c r="DSL31" t="e">
        <v>#N/A</v>
      </c>
      <c r="DSM31" t="e">
        <v>#N/A</v>
      </c>
      <c r="DSN31" t="e">
        <v>#N/A</v>
      </c>
      <c r="DSO31" t="e">
        <v>#N/A</v>
      </c>
      <c r="DSP31" t="e">
        <v>#N/A</v>
      </c>
      <c r="DSQ31" t="e">
        <v>#N/A</v>
      </c>
      <c r="DSR31" t="e">
        <v>#N/A</v>
      </c>
      <c r="DSS31" t="e">
        <v>#N/A</v>
      </c>
      <c r="DST31" t="e">
        <v>#N/A</v>
      </c>
      <c r="DSU31" t="e">
        <v>#N/A</v>
      </c>
      <c r="DSV31" t="e">
        <v>#N/A</v>
      </c>
      <c r="DSW31" t="e">
        <v>#N/A</v>
      </c>
      <c r="DSX31" t="e">
        <v>#N/A</v>
      </c>
      <c r="DSY31" t="e">
        <v>#N/A</v>
      </c>
      <c r="DSZ31" t="e">
        <v>#N/A</v>
      </c>
      <c r="DTA31" t="e">
        <v>#N/A</v>
      </c>
      <c r="DTB31" t="e">
        <v>#N/A</v>
      </c>
      <c r="DTC31" t="e">
        <v>#N/A</v>
      </c>
      <c r="DTD31" t="e">
        <v>#N/A</v>
      </c>
      <c r="DTE31" t="e">
        <v>#N/A</v>
      </c>
      <c r="DTF31" t="e">
        <v>#N/A</v>
      </c>
      <c r="DTG31" t="e">
        <v>#N/A</v>
      </c>
      <c r="DTH31" t="e">
        <v>#N/A</v>
      </c>
      <c r="DTI31" t="e">
        <v>#N/A</v>
      </c>
      <c r="DTJ31" t="e">
        <v>#N/A</v>
      </c>
      <c r="DTK31" t="e">
        <v>#N/A</v>
      </c>
      <c r="DTL31" t="e">
        <v>#N/A</v>
      </c>
      <c r="DTM31" t="e">
        <v>#N/A</v>
      </c>
      <c r="DTN31" t="e">
        <v>#N/A</v>
      </c>
      <c r="DTO31" t="e">
        <v>#N/A</v>
      </c>
      <c r="DTP31" t="e">
        <v>#N/A</v>
      </c>
      <c r="DTQ31" t="e">
        <v>#N/A</v>
      </c>
      <c r="DTR31" t="e">
        <v>#N/A</v>
      </c>
      <c r="DTS31" t="e">
        <v>#N/A</v>
      </c>
      <c r="DTT31" t="e">
        <v>#N/A</v>
      </c>
      <c r="DTU31" t="e">
        <v>#N/A</v>
      </c>
      <c r="DTV31" t="e">
        <v>#N/A</v>
      </c>
      <c r="DTW31" t="e">
        <v>#N/A</v>
      </c>
      <c r="DTX31" t="e">
        <v>#N/A</v>
      </c>
      <c r="DTY31" t="e">
        <v>#N/A</v>
      </c>
      <c r="DTZ31" t="e">
        <v>#N/A</v>
      </c>
      <c r="DUA31" t="e">
        <v>#N/A</v>
      </c>
      <c r="DUB31" t="e">
        <v>#N/A</v>
      </c>
      <c r="DUC31" t="e">
        <v>#N/A</v>
      </c>
      <c r="DUD31" t="e">
        <v>#N/A</v>
      </c>
      <c r="DUE31" t="e">
        <v>#N/A</v>
      </c>
      <c r="DUF31" t="e">
        <v>#N/A</v>
      </c>
      <c r="DUG31" t="e">
        <v>#N/A</v>
      </c>
      <c r="DUH31" t="e">
        <v>#N/A</v>
      </c>
      <c r="DUI31" t="e">
        <v>#N/A</v>
      </c>
      <c r="DUJ31" t="e">
        <v>#N/A</v>
      </c>
      <c r="DUK31" t="e">
        <v>#N/A</v>
      </c>
      <c r="DUL31" t="e">
        <v>#N/A</v>
      </c>
      <c r="DUM31" t="e">
        <v>#N/A</v>
      </c>
      <c r="DUN31" t="e">
        <v>#N/A</v>
      </c>
      <c r="DUO31" t="e">
        <v>#N/A</v>
      </c>
      <c r="DUP31" t="e">
        <v>#N/A</v>
      </c>
      <c r="DUQ31" t="e">
        <v>#N/A</v>
      </c>
      <c r="DUR31" t="e">
        <v>#N/A</v>
      </c>
      <c r="DUS31" t="e">
        <v>#N/A</v>
      </c>
      <c r="DUT31" t="e">
        <v>#N/A</v>
      </c>
      <c r="DUU31" t="e">
        <v>#N/A</v>
      </c>
      <c r="DUV31" t="e">
        <v>#N/A</v>
      </c>
      <c r="DUW31" t="e">
        <v>#N/A</v>
      </c>
      <c r="DUX31" t="e">
        <v>#N/A</v>
      </c>
      <c r="DUY31" t="e">
        <v>#N/A</v>
      </c>
      <c r="DUZ31" t="e">
        <v>#N/A</v>
      </c>
      <c r="DVA31" t="e">
        <v>#N/A</v>
      </c>
      <c r="DVB31" t="e">
        <v>#N/A</v>
      </c>
      <c r="DVC31" t="e">
        <v>#N/A</v>
      </c>
      <c r="DVD31" t="e">
        <v>#N/A</v>
      </c>
      <c r="DVE31" t="e">
        <v>#N/A</v>
      </c>
      <c r="DVF31" t="e">
        <v>#N/A</v>
      </c>
      <c r="DVG31" t="e">
        <v>#N/A</v>
      </c>
      <c r="DVH31" t="e">
        <v>#N/A</v>
      </c>
      <c r="DVI31" t="e">
        <v>#N/A</v>
      </c>
      <c r="DVJ31" t="e">
        <v>#N/A</v>
      </c>
      <c r="DVK31" t="e">
        <v>#N/A</v>
      </c>
      <c r="DVL31" t="e">
        <v>#N/A</v>
      </c>
      <c r="DVM31" t="e">
        <v>#N/A</v>
      </c>
      <c r="DVN31" t="e">
        <v>#N/A</v>
      </c>
      <c r="DVO31" t="e">
        <v>#N/A</v>
      </c>
      <c r="DVP31" t="e">
        <v>#N/A</v>
      </c>
      <c r="DVQ31" t="e">
        <v>#N/A</v>
      </c>
      <c r="DVR31" t="e">
        <v>#N/A</v>
      </c>
      <c r="DVS31" t="e">
        <v>#N/A</v>
      </c>
      <c r="DVT31" t="e">
        <v>#N/A</v>
      </c>
      <c r="DVU31" t="e">
        <v>#N/A</v>
      </c>
      <c r="DVV31" t="e">
        <v>#N/A</v>
      </c>
      <c r="DVW31" t="e">
        <v>#N/A</v>
      </c>
      <c r="DVX31" t="e">
        <v>#N/A</v>
      </c>
      <c r="DVY31" t="e">
        <v>#N/A</v>
      </c>
      <c r="DVZ31" t="e">
        <v>#N/A</v>
      </c>
      <c r="DWA31" t="e">
        <v>#N/A</v>
      </c>
      <c r="DWB31" t="e">
        <v>#N/A</v>
      </c>
      <c r="DWC31" t="e">
        <v>#N/A</v>
      </c>
      <c r="DWD31" t="e">
        <v>#N/A</v>
      </c>
      <c r="DWE31" t="e">
        <v>#N/A</v>
      </c>
      <c r="DWF31" t="e">
        <v>#N/A</v>
      </c>
      <c r="DWG31" t="e">
        <v>#N/A</v>
      </c>
      <c r="DWH31" t="e">
        <v>#N/A</v>
      </c>
      <c r="DWI31" t="e">
        <v>#N/A</v>
      </c>
      <c r="DWJ31" t="e">
        <v>#N/A</v>
      </c>
      <c r="DWK31" t="e">
        <v>#N/A</v>
      </c>
      <c r="DWL31" t="e">
        <v>#N/A</v>
      </c>
      <c r="DWM31" t="e">
        <v>#N/A</v>
      </c>
      <c r="DWN31" t="e">
        <v>#N/A</v>
      </c>
      <c r="DWO31" t="e">
        <v>#N/A</v>
      </c>
      <c r="DWP31" t="e">
        <v>#N/A</v>
      </c>
      <c r="DWQ31" t="e">
        <v>#N/A</v>
      </c>
      <c r="DWR31" t="e">
        <v>#N/A</v>
      </c>
      <c r="DWS31" t="e">
        <v>#N/A</v>
      </c>
      <c r="DWT31" t="e">
        <v>#N/A</v>
      </c>
      <c r="DWU31" t="e">
        <v>#N/A</v>
      </c>
      <c r="DWV31" t="e">
        <v>#N/A</v>
      </c>
      <c r="DWW31" t="e">
        <v>#N/A</v>
      </c>
      <c r="DWX31" t="e">
        <v>#N/A</v>
      </c>
      <c r="DWY31" t="e">
        <v>#N/A</v>
      </c>
      <c r="DWZ31" t="e">
        <v>#N/A</v>
      </c>
      <c r="DXA31" t="e">
        <v>#N/A</v>
      </c>
      <c r="DXB31" t="e">
        <v>#N/A</v>
      </c>
      <c r="DXC31" t="e">
        <v>#N/A</v>
      </c>
      <c r="DXD31" t="e">
        <v>#N/A</v>
      </c>
      <c r="DXE31" t="e">
        <v>#N/A</v>
      </c>
      <c r="DXF31" t="e">
        <v>#N/A</v>
      </c>
      <c r="DXG31" t="e">
        <v>#N/A</v>
      </c>
      <c r="DXH31" t="e">
        <v>#N/A</v>
      </c>
      <c r="DXI31" t="e">
        <v>#N/A</v>
      </c>
      <c r="DXJ31" t="e">
        <v>#N/A</v>
      </c>
      <c r="DXK31" t="e">
        <v>#N/A</v>
      </c>
      <c r="DXL31" t="e">
        <v>#N/A</v>
      </c>
      <c r="DXM31" t="e">
        <v>#N/A</v>
      </c>
      <c r="DXN31" t="e">
        <v>#N/A</v>
      </c>
      <c r="DXO31" t="e">
        <v>#N/A</v>
      </c>
      <c r="DXP31" t="e">
        <v>#N/A</v>
      </c>
      <c r="DXQ31" t="e">
        <v>#N/A</v>
      </c>
      <c r="DXR31" t="e">
        <v>#N/A</v>
      </c>
      <c r="DXS31" t="e">
        <v>#N/A</v>
      </c>
      <c r="DXT31" t="e">
        <v>#N/A</v>
      </c>
      <c r="DXU31" t="e">
        <v>#N/A</v>
      </c>
      <c r="DXV31" t="e">
        <v>#N/A</v>
      </c>
      <c r="DXW31" t="e">
        <v>#N/A</v>
      </c>
      <c r="DXX31" t="e">
        <v>#N/A</v>
      </c>
      <c r="DXY31" t="e">
        <v>#N/A</v>
      </c>
      <c r="DXZ31" t="e">
        <v>#N/A</v>
      </c>
      <c r="DYA31" t="e">
        <v>#N/A</v>
      </c>
      <c r="DYB31" t="e">
        <v>#N/A</v>
      </c>
      <c r="DYC31" t="e">
        <v>#N/A</v>
      </c>
      <c r="DYD31" t="e">
        <v>#N/A</v>
      </c>
      <c r="DYE31" t="e">
        <v>#N/A</v>
      </c>
      <c r="DYF31" t="e">
        <v>#N/A</v>
      </c>
      <c r="DYG31" t="e">
        <v>#N/A</v>
      </c>
      <c r="DYH31" t="e">
        <v>#N/A</v>
      </c>
      <c r="DYI31" t="e">
        <v>#N/A</v>
      </c>
      <c r="DYJ31" t="e">
        <v>#N/A</v>
      </c>
      <c r="DYK31" t="e">
        <v>#N/A</v>
      </c>
      <c r="DYL31" t="e">
        <v>#N/A</v>
      </c>
      <c r="DYM31" t="e">
        <v>#N/A</v>
      </c>
      <c r="DYN31" t="e">
        <v>#N/A</v>
      </c>
      <c r="DYO31" t="e">
        <v>#N/A</v>
      </c>
      <c r="DYP31" t="e">
        <v>#N/A</v>
      </c>
      <c r="DYQ31" t="e">
        <v>#N/A</v>
      </c>
      <c r="DYR31" t="e">
        <v>#N/A</v>
      </c>
      <c r="DYS31" t="e">
        <v>#N/A</v>
      </c>
      <c r="DYT31" t="e">
        <v>#N/A</v>
      </c>
      <c r="DYU31" t="e">
        <v>#N/A</v>
      </c>
      <c r="DYV31" t="e">
        <v>#N/A</v>
      </c>
      <c r="DYW31" t="e">
        <v>#N/A</v>
      </c>
      <c r="DYX31" t="e">
        <v>#N/A</v>
      </c>
      <c r="DYY31" t="e">
        <v>#N/A</v>
      </c>
      <c r="DYZ31" t="e">
        <v>#N/A</v>
      </c>
      <c r="DZA31" t="e">
        <v>#N/A</v>
      </c>
      <c r="DZB31" t="e">
        <v>#N/A</v>
      </c>
      <c r="DZC31" t="e">
        <v>#N/A</v>
      </c>
      <c r="DZD31" t="e">
        <v>#N/A</v>
      </c>
      <c r="DZE31" t="e">
        <v>#N/A</v>
      </c>
      <c r="DZF31" t="e">
        <v>#N/A</v>
      </c>
      <c r="DZG31" t="e">
        <v>#N/A</v>
      </c>
      <c r="DZH31" t="e">
        <v>#N/A</v>
      </c>
      <c r="DZI31" t="e">
        <v>#N/A</v>
      </c>
      <c r="DZJ31" t="e">
        <v>#N/A</v>
      </c>
      <c r="DZK31" t="e">
        <v>#N/A</v>
      </c>
      <c r="DZL31" t="e">
        <v>#N/A</v>
      </c>
      <c r="DZM31" t="e">
        <v>#N/A</v>
      </c>
      <c r="DZN31" t="e">
        <v>#N/A</v>
      </c>
      <c r="DZO31" t="e">
        <v>#N/A</v>
      </c>
      <c r="DZP31" t="e">
        <v>#N/A</v>
      </c>
      <c r="DZQ31" t="e">
        <v>#N/A</v>
      </c>
      <c r="DZR31" t="e">
        <v>#N/A</v>
      </c>
      <c r="DZS31" t="e">
        <v>#N/A</v>
      </c>
      <c r="DZT31" t="e">
        <v>#N/A</v>
      </c>
      <c r="DZU31" t="e">
        <v>#N/A</v>
      </c>
      <c r="DZV31" t="e">
        <v>#N/A</v>
      </c>
      <c r="DZW31" t="e">
        <v>#N/A</v>
      </c>
      <c r="DZX31" t="e">
        <v>#N/A</v>
      </c>
      <c r="DZY31" t="e">
        <v>#N/A</v>
      </c>
      <c r="DZZ31" t="e">
        <v>#N/A</v>
      </c>
      <c r="EAA31" t="e">
        <v>#N/A</v>
      </c>
      <c r="EAB31" t="e">
        <v>#N/A</v>
      </c>
      <c r="EAC31" t="e">
        <v>#N/A</v>
      </c>
      <c r="EAD31" t="e">
        <v>#N/A</v>
      </c>
      <c r="EAE31" t="e">
        <v>#N/A</v>
      </c>
      <c r="EAF31" t="e">
        <v>#N/A</v>
      </c>
      <c r="EAG31" t="e">
        <v>#N/A</v>
      </c>
      <c r="EAH31" t="e">
        <v>#N/A</v>
      </c>
      <c r="EAI31" t="e">
        <v>#N/A</v>
      </c>
      <c r="EAJ31" t="e">
        <v>#N/A</v>
      </c>
      <c r="EAK31" t="e">
        <v>#N/A</v>
      </c>
      <c r="EAL31" t="e">
        <v>#N/A</v>
      </c>
      <c r="EAM31" t="e">
        <v>#N/A</v>
      </c>
      <c r="EAN31" t="e">
        <v>#N/A</v>
      </c>
      <c r="EAO31" t="e">
        <v>#N/A</v>
      </c>
      <c r="EAP31" t="e">
        <v>#N/A</v>
      </c>
      <c r="EAQ31" t="e">
        <v>#N/A</v>
      </c>
      <c r="EAR31" t="e">
        <v>#N/A</v>
      </c>
      <c r="EAS31" t="e">
        <v>#N/A</v>
      </c>
      <c r="EAT31" t="e">
        <v>#N/A</v>
      </c>
      <c r="EAU31" t="e">
        <v>#N/A</v>
      </c>
      <c r="EAV31" t="e">
        <v>#N/A</v>
      </c>
      <c r="EAW31" t="e">
        <v>#N/A</v>
      </c>
      <c r="EAX31" t="e">
        <v>#N/A</v>
      </c>
      <c r="EAY31" t="e">
        <v>#N/A</v>
      </c>
      <c r="EAZ31" t="e">
        <v>#N/A</v>
      </c>
      <c r="EBA31" t="e">
        <v>#N/A</v>
      </c>
      <c r="EBB31" t="e">
        <v>#N/A</v>
      </c>
      <c r="EBC31" t="e">
        <v>#N/A</v>
      </c>
      <c r="EBD31" t="e">
        <v>#N/A</v>
      </c>
      <c r="EBE31" t="e">
        <v>#N/A</v>
      </c>
      <c r="EBF31" t="e">
        <v>#N/A</v>
      </c>
      <c r="EBG31" t="e">
        <v>#N/A</v>
      </c>
      <c r="EBH31" t="e">
        <v>#N/A</v>
      </c>
      <c r="EBI31" t="e">
        <v>#N/A</v>
      </c>
      <c r="EBJ31" t="e">
        <v>#N/A</v>
      </c>
      <c r="EBK31" t="e">
        <v>#N/A</v>
      </c>
      <c r="EBL31" t="e">
        <v>#N/A</v>
      </c>
      <c r="EBM31" t="e">
        <v>#N/A</v>
      </c>
      <c r="EBN31" t="e">
        <v>#N/A</v>
      </c>
      <c r="EBO31" t="e">
        <v>#N/A</v>
      </c>
      <c r="EBP31" t="e">
        <v>#N/A</v>
      </c>
      <c r="EBQ31" t="e">
        <v>#N/A</v>
      </c>
      <c r="EBR31" t="e">
        <v>#N/A</v>
      </c>
      <c r="EBS31" t="e">
        <v>#N/A</v>
      </c>
      <c r="EBT31" t="e">
        <v>#N/A</v>
      </c>
      <c r="EBU31" t="e">
        <v>#N/A</v>
      </c>
      <c r="EBV31" t="e">
        <v>#N/A</v>
      </c>
      <c r="EBW31" t="e">
        <v>#N/A</v>
      </c>
      <c r="EBX31" t="e">
        <v>#N/A</v>
      </c>
      <c r="EBY31" t="e">
        <v>#N/A</v>
      </c>
      <c r="EBZ31" t="e">
        <v>#N/A</v>
      </c>
      <c r="ECA31" t="e">
        <v>#N/A</v>
      </c>
      <c r="ECB31" t="e">
        <v>#N/A</v>
      </c>
      <c r="ECC31" t="e">
        <v>#N/A</v>
      </c>
      <c r="ECD31" t="e">
        <v>#N/A</v>
      </c>
      <c r="ECE31" t="e">
        <v>#N/A</v>
      </c>
      <c r="ECF31" t="e">
        <v>#N/A</v>
      </c>
      <c r="ECG31" t="e">
        <v>#N/A</v>
      </c>
      <c r="ECH31" t="e">
        <v>#N/A</v>
      </c>
      <c r="ECI31" t="e">
        <v>#N/A</v>
      </c>
      <c r="ECJ31" t="e">
        <v>#N/A</v>
      </c>
      <c r="ECK31" t="e">
        <v>#N/A</v>
      </c>
      <c r="ECL31" t="e">
        <v>#N/A</v>
      </c>
      <c r="ECM31" t="e">
        <v>#N/A</v>
      </c>
      <c r="ECN31" t="e">
        <v>#N/A</v>
      </c>
      <c r="ECO31" t="e">
        <v>#N/A</v>
      </c>
      <c r="ECP31" t="e">
        <v>#N/A</v>
      </c>
      <c r="ECQ31" t="e">
        <v>#N/A</v>
      </c>
      <c r="ECR31" t="e">
        <v>#N/A</v>
      </c>
      <c r="ECS31" t="e">
        <v>#N/A</v>
      </c>
      <c r="ECT31" t="e">
        <v>#N/A</v>
      </c>
      <c r="ECU31" t="e">
        <v>#N/A</v>
      </c>
      <c r="ECV31" t="e">
        <v>#N/A</v>
      </c>
      <c r="ECW31" t="e">
        <v>#N/A</v>
      </c>
      <c r="ECX31" t="e">
        <v>#N/A</v>
      </c>
      <c r="ECY31" t="e">
        <v>#N/A</v>
      </c>
      <c r="ECZ31" t="e">
        <v>#N/A</v>
      </c>
      <c r="EDA31" t="e">
        <v>#N/A</v>
      </c>
      <c r="EDB31" t="e">
        <v>#N/A</v>
      </c>
      <c r="EDC31" t="e">
        <v>#N/A</v>
      </c>
      <c r="EDD31" t="e">
        <v>#N/A</v>
      </c>
      <c r="EDE31" t="e">
        <v>#N/A</v>
      </c>
      <c r="EDF31" t="e">
        <v>#N/A</v>
      </c>
      <c r="EDG31" t="e">
        <v>#N/A</v>
      </c>
      <c r="EDH31" t="e">
        <v>#N/A</v>
      </c>
      <c r="EDI31" t="e">
        <v>#N/A</v>
      </c>
      <c r="EDJ31" t="e">
        <v>#N/A</v>
      </c>
      <c r="EDK31" t="e">
        <v>#N/A</v>
      </c>
      <c r="EDL31" t="e">
        <v>#N/A</v>
      </c>
      <c r="EDM31" t="e">
        <v>#N/A</v>
      </c>
      <c r="EDN31" t="e">
        <v>#N/A</v>
      </c>
      <c r="EDO31" t="e">
        <v>#N/A</v>
      </c>
      <c r="EDP31" t="e">
        <v>#N/A</v>
      </c>
      <c r="EDQ31" t="e">
        <v>#N/A</v>
      </c>
      <c r="EDR31" t="e">
        <v>#N/A</v>
      </c>
      <c r="EDS31" t="e">
        <v>#N/A</v>
      </c>
      <c r="EDT31" t="e">
        <v>#N/A</v>
      </c>
      <c r="EDU31" t="e">
        <v>#N/A</v>
      </c>
      <c r="EDV31" t="e">
        <v>#N/A</v>
      </c>
      <c r="EDW31" t="e">
        <v>#N/A</v>
      </c>
      <c r="EDX31" t="e">
        <v>#N/A</v>
      </c>
      <c r="EDY31" t="e">
        <v>#N/A</v>
      </c>
      <c r="EDZ31" t="e">
        <v>#N/A</v>
      </c>
      <c r="EEA31" t="e">
        <v>#N/A</v>
      </c>
      <c r="EEB31" t="e">
        <v>#N/A</v>
      </c>
      <c r="EEC31" t="e">
        <v>#N/A</v>
      </c>
      <c r="EED31" t="e">
        <v>#N/A</v>
      </c>
      <c r="EEE31" t="e">
        <v>#N/A</v>
      </c>
      <c r="EEF31" t="e">
        <v>#N/A</v>
      </c>
      <c r="EEG31" t="e">
        <v>#N/A</v>
      </c>
      <c r="EEH31" t="e">
        <v>#N/A</v>
      </c>
      <c r="EEI31" t="e">
        <v>#N/A</v>
      </c>
      <c r="EEJ31" t="e">
        <v>#N/A</v>
      </c>
      <c r="EEK31" t="e">
        <v>#N/A</v>
      </c>
      <c r="EEL31" t="e">
        <v>#N/A</v>
      </c>
      <c r="EEM31" t="e">
        <v>#N/A</v>
      </c>
      <c r="EEN31" t="e">
        <v>#N/A</v>
      </c>
      <c r="EEO31" t="e">
        <v>#N/A</v>
      </c>
      <c r="EEP31" t="e">
        <v>#N/A</v>
      </c>
      <c r="EEQ31" t="e">
        <v>#N/A</v>
      </c>
      <c r="EER31" t="e">
        <v>#N/A</v>
      </c>
      <c r="EES31" t="e">
        <v>#N/A</v>
      </c>
      <c r="EET31" t="e">
        <v>#N/A</v>
      </c>
      <c r="EEU31" t="e">
        <v>#N/A</v>
      </c>
      <c r="EEV31" t="e">
        <v>#N/A</v>
      </c>
      <c r="EEW31" t="e">
        <v>#N/A</v>
      </c>
      <c r="EEX31" t="e">
        <v>#N/A</v>
      </c>
      <c r="EEY31" t="e">
        <v>#N/A</v>
      </c>
      <c r="EEZ31" t="e">
        <v>#N/A</v>
      </c>
      <c r="EFA31" t="e">
        <v>#N/A</v>
      </c>
      <c r="EFB31" t="e">
        <v>#N/A</v>
      </c>
      <c r="EFC31" t="e">
        <v>#N/A</v>
      </c>
      <c r="EFD31" t="e">
        <v>#N/A</v>
      </c>
      <c r="EFE31" t="e">
        <v>#N/A</v>
      </c>
      <c r="EFF31" t="e">
        <v>#N/A</v>
      </c>
      <c r="EFG31" t="e">
        <v>#N/A</v>
      </c>
      <c r="EFH31" t="e">
        <v>#N/A</v>
      </c>
      <c r="EFI31" t="e">
        <v>#N/A</v>
      </c>
      <c r="EFJ31" t="e">
        <v>#N/A</v>
      </c>
      <c r="EFK31" t="e">
        <v>#N/A</v>
      </c>
      <c r="EFL31" t="e">
        <v>#N/A</v>
      </c>
      <c r="EFM31" t="e">
        <v>#N/A</v>
      </c>
      <c r="EFN31" t="e">
        <v>#N/A</v>
      </c>
      <c r="EFO31" t="e">
        <v>#N/A</v>
      </c>
      <c r="EFP31" t="e">
        <v>#N/A</v>
      </c>
      <c r="EFQ31" t="e">
        <v>#N/A</v>
      </c>
      <c r="EFR31" t="e">
        <v>#N/A</v>
      </c>
      <c r="EFS31" t="e">
        <v>#N/A</v>
      </c>
      <c r="EFT31" t="e">
        <v>#N/A</v>
      </c>
      <c r="EFU31" t="e">
        <v>#N/A</v>
      </c>
      <c r="EFV31" t="e">
        <v>#N/A</v>
      </c>
      <c r="EFW31" t="e">
        <v>#N/A</v>
      </c>
      <c r="EFX31" t="e">
        <v>#N/A</v>
      </c>
      <c r="EFY31" t="e">
        <v>#N/A</v>
      </c>
      <c r="EFZ31" t="e">
        <v>#N/A</v>
      </c>
      <c r="EGA31" t="e">
        <v>#N/A</v>
      </c>
      <c r="EGB31" t="e">
        <v>#N/A</v>
      </c>
      <c r="EGC31" t="e">
        <v>#N/A</v>
      </c>
      <c r="EGD31" t="e">
        <v>#N/A</v>
      </c>
      <c r="EGE31" t="e">
        <v>#N/A</v>
      </c>
      <c r="EGF31" t="e">
        <v>#N/A</v>
      </c>
      <c r="EGG31" t="e">
        <v>#N/A</v>
      </c>
      <c r="EGH31" t="e">
        <v>#N/A</v>
      </c>
      <c r="EGI31" t="e">
        <v>#N/A</v>
      </c>
      <c r="EGJ31" t="e">
        <v>#N/A</v>
      </c>
      <c r="EGK31" t="e">
        <v>#N/A</v>
      </c>
      <c r="EGL31" t="e">
        <v>#N/A</v>
      </c>
      <c r="EGM31" t="e">
        <v>#N/A</v>
      </c>
      <c r="EGN31" t="e">
        <v>#N/A</v>
      </c>
      <c r="EGO31" t="e">
        <v>#N/A</v>
      </c>
      <c r="EGP31" t="e">
        <v>#N/A</v>
      </c>
      <c r="EGQ31" t="e">
        <v>#N/A</v>
      </c>
      <c r="EGR31" t="e">
        <v>#N/A</v>
      </c>
      <c r="EGS31" t="e">
        <v>#N/A</v>
      </c>
      <c r="EGT31" t="e">
        <v>#N/A</v>
      </c>
      <c r="EGU31" t="e">
        <v>#N/A</v>
      </c>
      <c r="EGV31" t="e">
        <v>#N/A</v>
      </c>
      <c r="EGW31" t="e">
        <v>#N/A</v>
      </c>
      <c r="EGX31" t="e">
        <v>#N/A</v>
      </c>
      <c r="EGY31" t="e">
        <v>#N/A</v>
      </c>
      <c r="EGZ31" t="e">
        <v>#N/A</v>
      </c>
      <c r="EHA31" t="e">
        <v>#N/A</v>
      </c>
      <c r="EHB31" t="e">
        <v>#N/A</v>
      </c>
      <c r="EHC31" t="e">
        <v>#N/A</v>
      </c>
      <c r="EHD31" t="e">
        <v>#N/A</v>
      </c>
      <c r="EHE31" t="e">
        <v>#N/A</v>
      </c>
      <c r="EHF31" t="e">
        <v>#N/A</v>
      </c>
      <c r="EHG31" t="e">
        <v>#N/A</v>
      </c>
      <c r="EHH31" t="e">
        <v>#N/A</v>
      </c>
      <c r="EHI31" t="e">
        <v>#N/A</v>
      </c>
      <c r="EHJ31" t="e">
        <v>#N/A</v>
      </c>
      <c r="EHK31" t="e">
        <v>#N/A</v>
      </c>
      <c r="EHL31" t="e">
        <v>#N/A</v>
      </c>
      <c r="EHM31" t="e">
        <v>#N/A</v>
      </c>
      <c r="EHN31" t="e">
        <v>#N/A</v>
      </c>
      <c r="EHO31" t="e">
        <v>#N/A</v>
      </c>
      <c r="EHP31" t="e">
        <v>#N/A</v>
      </c>
      <c r="EHQ31" t="e">
        <v>#N/A</v>
      </c>
      <c r="EHR31" t="e">
        <v>#N/A</v>
      </c>
      <c r="EHS31" t="e">
        <v>#N/A</v>
      </c>
      <c r="EHT31" t="e">
        <v>#N/A</v>
      </c>
      <c r="EHU31" t="e">
        <v>#N/A</v>
      </c>
      <c r="EHV31" t="e">
        <v>#N/A</v>
      </c>
      <c r="EHW31" t="e">
        <v>#N/A</v>
      </c>
      <c r="EHX31" t="e">
        <v>#N/A</v>
      </c>
      <c r="EHY31" t="e">
        <v>#N/A</v>
      </c>
      <c r="EHZ31" t="e">
        <v>#N/A</v>
      </c>
      <c r="EIA31" t="e">
        <v>#N/A</v>
      </c>
      <c r="EIB31" t="e">
        <v>#N/A</v>
      </c>
      <c r="EIC31" t="e">
        <v>#N/A</v>
      </c>
      <c r="EID31" t="e">
        <v>#N/A</v>
      </c>
      <c r="EIE31" t="e">
        <v>#N/A</v>
      </c>
      <c r="EIF31" t="e">
        <v>#N/A</v>
      </c>
      <c r="EIG31" t="e">
        <v>#N/A</v>
      </c>
      <c r="EIH31" t="e">
        <v>#N/A</v>
      </c>
      <c r="EII31" t="e">
        <v>#N/A</v>
      </c>
      <c r="EIJ31" t="e">
        <v>#N/A</v>
      </c>
      <c r="EIK31" t="e">
        <v>#N/A</v>
      </c>
      <c r="EIL31" t="e">
        <v>#N/A</v>
      </c>
      <c r="EIM31" t="e">
        <v>#N/A</v>
      </c>
      <c r="EIN31" t="e">
        <v>#N/A</v>
      </c>
      <c r="EIO31" t="e">
        <v>#N/A</v>
      </c>
      <c r="EIP31" t="e">
        <v>#N/A</v>
      </c>
      <c r="EIQ31" t="e">
        <v>#N/A</v>
      </c>
      <c r="EIR31" t="e">
        <v>#N/A</v>
      </c>
      <c r="EIS31" t="e">
        <v>#N/A</v>
      </c>
      <c r="EIT31" t="e">
        <v>#N/A</v>
      </c>
      <c r="EIU31" t="e">
        <v>#N/A</v>
      </c>
      <c r="EIV31" t="e">
        <v>#N/A</v>
      </c>
      <c r="EIW31" t="e">
        <v>#N/A</v>
      </c>
      <c r="EIX31" t="e">
        <v>#N/A</v>
      </c>
      <c r="EIY31" t="e">
        <v>#N/A</v>
      </c>
      <c r="EIZ31" t="e">
        <v>#N/A</v>
      </c>
      <c r="EJA31" t="e">
        <v>#N/A</v>
      </c>
      <c r="EJB31" t="e">
        <v>#N/A</v>
      </c>
      <c r="EJC31" t="e">
        <v>#N/A</v>
      </c>
      <c r="EJD31" t="e">
        <v>#N/A</v>
      </c>
      <c r="EJE31" t="e">
        <v>#N/A</v>
      </c>
      <c r="EJF31" t="e">
        <v>#N/A</v>
      </c>
      <c r="EJG31" t="e">
        <v>#N/A</v>
      </c>
      <c r="EJH31" t="e">
        <v>#N/A</v>
      </c>
      <c r="EJI31" t="e">
        <v>#N/A</v>
      </c>
      <c r="EJJ31" t="e">
        <v>#N/A</v>
      </c>
      <c r="EJK31" t="e">
        <v>#N/A</v>
      </c>
      <c r="EJL31" t="e">
        <v>#N/A</v>
      </c>
      <c r="EJM31" t="e">
        <v>#N/A</v>
      </c>
      <c r="EJN31" t="e">
        <v>#N/A</v>
      </c>
      <c r="EJO31" t="e">
        <v>#N/A</v>
      </c>
      <c r="EJP31" t="e">
        <v>#N/A</v>
      </c>
      <c r="EJQ31" t="e">
        <v>#N/A</v>
      </c>
      <c r="EJR31" t="e">
        <v>#N/A</v>
      </c>
      <c r="EJS31" t="e">
        <v>#N/A</v>
      </c>
      <c r="EJT31" t="e">
        <v>#N/A</v>
      </c>
      <c r="EJU31" t="e">
        <v>#N/A</v>
      </c>
      <c r="EJV31" t="e">
        <v>#N/A</v>
      </c>
      <c r="EJW31" t="e">
        <v>#N/A</v>
      </c>
      <c r="EJX31" t="e">
        <v>#N/A</v>
      </c>
      <c r="EJY31" t="e">
        <v>#N/A</v>
      </c>
      <c r="EJZ31" t="e">
        <v>#N/A</v>
      </c>
      <c r="EKA31" t="e">
        <v>#N/A</v>
      </c>
      <c r="EKB31" t="e">
        <v>#N/A</v>
      </c>
      <c r="EKC31" t="e">
        <v>#N/A</v>
      </c>
      <c r="EKD31" t="e">
        <v>#N/A</v>
      </c>
      <c r="EKE31" t="e">
        <v>#N/A</v>
      </c>
      <c r="EKF31" t="e">
        <v>#N/A</v>
      </c>
      <c r="EKG31" t="e">
        <v>#N/A</v>
      </c>
      <c r="EKH31" t="e">
        <v>#N/A</v>
      </c>
      <c r="EKI31" t="e">
        <v>#N/A</v>
      </c>
      <c r="EKJ31" t="e">
        <v>#N/A</v>
      </c>
      <c r="EKK31" t="e">
        <v>#N/A</v>
      </c>
      <c r="EKL31" t="e">
        <v>#N/A</v>
      </c>
      <c r="EKM31" t="e">
        <v>#N/A</v>
      </c>
      <c r="EKN31" t="e">
        <v>#N/A</v>
      </c>
      <c r="EKO31" t="e">
        <v>#N/A</v>
      </c>
      <c r="EKP31" t="e">
        <v>#N/A</v>
      </c>
      <c r="EKQ31" t="e">
        <v>#N/A</v>
      </c>
      <c r="EKR31" t="e">
        <v>#N/A</v>
      </c>
      <c r="EKS31" t="e">
        <v>#N/A</v>
      </c>
      <c r="EKT31" t="e">
        <v>#N/A</v>
      </c>
      <c r="EKU31" t="e">
        <v>#N/A</v>
      </c>
      <c r="EKV31" t="e">
        <v>#N/A</v>
      </c>
      <c r="EKW31" t="e">
        <v>#N/A</v>
      </c>
      <c r="EKX31" t="e">
        <v>#N/A</v>
      </c>
      <c r="EKY31" t="e">
        <v>#N/A</v>
      </c>
      <c r="EKZ31" t="e">
        <v>#N/A</v>
      </c>
      <c r="ELA31" t="e">
        <v>#N/A</v>
      </c>
      <c r="ELB31" t="e">
        <v>#N/A</v>
      </c>
      <c r="ELC31" t="e">
        <v>#N/A</v>
      </c>
      <c r="ELD31" t="e">
        <v>#N/A</v>
      </c>
      <c r="ELE31" t="e">
        <v>#N/A</v>
      </c>
      <c r="ELF31" t="e">
        <v>#N/A</v>
      </c>
      <c r="ELG31" t="e">
        <v>#N/A</v>
      </c>
      <c r="ELH31" t="e">
        <v>#N/A</v>
      </c>
      <c r="ELI31" t="e">
        <v>#N/A</v>
      </c>
      <c r="ELJ31" t="e">
        <v>#N/A</v>
      </c>
      <c r="ELK31" t="e">
        <v>#N/A</v>
      </c>
      <c r="ELL31" t="e">
        <v>#N/A</v>
      </c>
      <c r="ELM31" t="e">
        <v>#N/A</v>
      </c>
      <c r="ELN31" t="e">
        <v>#N/A</v>
      </c>
      <c r="ELO31" t="e">
        <v>#N/A</v>
      </c>
      <c r="ELP31" t="e">
        <v>#N/A</v>
      </c>
      <c r="ELQ31" t="e">
        <v>#N/A</v>
      </c>
      <c r="ELR31" t="e">
        <v>#N/A</v>
      </c>
      <c r="ELS31" t="e">
        <v>#N/A</v>
      </c>
      <c r="ELT31" t="e">
        <v>#N/A</v>
      </c>
      <c r="ELU31" t="e">
        <v>#N/A</v>
      </c>
      <c r="ELV31" t="e">
        <v>#N/A</v>
      </c>
      <c r="ELW31" t="e">
        <v>#N/A</v>
      </c>
      <c r="ELX31" t="e">
        <v>#N/A</v>
      </c>
      <c r="ELY31" t="e">
        <v>#N/A</v>
      </c>
      <c r="ELZ31" t="e">
        <v>#N/A</v>
      </c>
      <c r="EMA31" t="e">
        <v>#N/A</v>
      </c>
      <c r="EMB31" t="e">
        <v>#N/A</v>
      </c>
      <c r="EMC31" t="e">
        <v>#N/A</v>
      </c>
      <c r="EMD31" t="e">
        <v>#N/A</v>
      </c>
      <c r="EME31" t="e">
        <v>#N/A</v>
      </c>
      <c r="EMF31" t="e">
        <v>#N/A</v>
      </c>
      <c r="EMG31" t="e">
        <v>#N/A</v>
      </c>
      <c r="EMH31" t="e">
        <v>#N/A</v>
      </c>
      <c r="EMI31" t="e">
        <v>#N/A</v>
      </c>
      <c r="EMJ31" t="e">
        <v>#N/A</v>
      </c>
      <c r="EMK31" t="e">
        <v>#N/A</v>
      </c>
      <c r="EML31" t="e">
        <v>#N/A</v>
      </c>
      <c r="EMM31" t="e">
        <v>#N/A</v>
      </c>
      <c r="EMN31" t="e">
        <v>#N/A</v>
      </c>
      <c r="EMO31" t="e">
        <v>#N/A</v>
      </c>
      <c r="EMP31" t="e">
        <v>#N/A</v>
      </c>
      <c r="EMQ31" t="e">
        <v>#N/A</v>
      </c>
      <c r="EMR31" t="e">
        <v>#N/A</v>
      </c>
      <c r="EMS31" t="e">
        <v>#N/A</v>
      </c>
      <c r="EMT31" t="e">
        <v>#N/A</v>
      </c>
      <c r="EMU31" t="e">
        <v>#N/A</v>
      </c>
      <c r="EMV31" t="e">
        <v>#N/A</v>
      </c>
      <c r="EMW31" t="e">
        <v>#N/A</v>
      </c>
      <c r="EMX31" t="e">
        <v>#N/A</v>
      </c>
      <c r="EMY31" t="e">
        <v>#N/A</v>
      </c>
      <c r="EMZ31" t="e">
        <v>#N/A</v>
      </c>
      <c r="ENA31" t="e">
        <v>#N/A</v>
      </c>
      <c r="ENB31" t="e">
        <v>#N/A</v>
      </c>
      <c r="ENC31" t="e">
        <v>#N/A</v>
      </c>
      <c r="END31" t="e">
        <v>#N/A</v>
      </c>
      <c r="ENE31" t="e">
        <v>#N/A</v>
      </c>
      <c r="ENF31" t="e">
        <v>#N/A</v>
      </c>
      <c r="ENG31" t="e">
        <v>#N/A</v>
      </c>
      <c r="ENH31" t="e">
        <v>#N/A</v>
      </c>
      <c r="ENI31" t="e">
        <v>#N/A</v>
      </c>
      <c r="ENJ31" t="e">
        <v>#N/A</v>
      </c>
      <c r="ENK31" t="e">
        <v>#N/A</v>
      </c>
      <c r="ENL31" t="e">
        <v>#N/A</v>
      </c>
      <c r="ENM31" t="e">
        <v>#N/A</v>
      </c>
      <c r="ENN31" t="e">
        <v>#N/A</v>
      </c>
      <c r="ENO31" t="e">
        <v>#N/A</v>
      </c>
      <c r="ENP31" t="e">
        <v>#N/A</v>
      </c>
      <c r="ENQ31" t="e">
        <v>#N/A</v>
      </c>
      <c r="ENR31" t="e">
        <v>#N/A</v>
      </c>
      <c r="ENS31" t="e">
        <v>#N/A</v>
      </c>
      <c r="ENT31" t="e">
        <v>#N/A</v>
      </c>
      <c r="ENU31" t="e">
        <v>#N/A</v>
      </c>
      <c r="ENV31" t="e">
        <v>#N/A</v>
      </c>
      <c r="ENW31" t="e">
        <v>#N/A</v>
      </c>
      <c r="ENX31" t="e">
        <v>#N/A</v>
      </c>
      <c r="ENY31" t="e">
        <v>#N/A</v>
      </c>
      <c r="ENZ31" t="e">
        <v>#N/A</v>
      </c>
      <c r="EOA31" t="e">
        <v>#N/A</v>
      </c>
      <c r="EOB31" t="e">
        <v>#N/A</v>
      </c>
      <c r="EOC31" t="e">
        <v>#N/A</v>
      </c>
      <c r="EOD31" t="e">
        <v>#N/A</v>
      </c>
      <c r="EOE31" t="e">
        <v>#N/A</v>
      </c>
      <c r="EOF31" t="e">
        <v>#N/A</v>
      </c>
      <c r="EOG31" t="e">
        <v>#N/A</v>
      </c>
      <c r="EOH31" t="e">
        <v>#N/A</v>
      </c>
      <c r="EOI31" t="e">
        <v>#N/A</v>
      </c>
      <c r="EOJ31" t="e">
        <v>#N/A</v>
      </c>
      <c r="EOK31" t="e">
        <v>#N/A</v>
      </c>
      <c r="EOL31" t="e">
        <v>#N/A</v>
      </c>
      <c r="EOM31" t="e">
        <v>#N/A</v>
      </c>
      <c r="EON31" t="e">
        <v>#N/A</v>
      </c>
      <c r="EOO31" t="e">
        <v>#N/A</v>
      </c>
      <c r="EOP31" t="e">
        <v>#N/A</v>
      </c>
      <c r="EOQ31" t="e">
        <v>#N/A</v>
      </c>
      <c r="EOR31" t="e">
        <v>#N/A</v>
      </c>
      <c r="EOS31" t="e">
        <v>#N/A</v>
      </c>
      <c r="EOT31" t="e">
        <v>#N/A</v>
      </c>
      <c r="EOU31" t="e">
        <v>#N/A</v>
      </c>
      <c r="EOV31" t="e">
        <v>#N/A</v>
      </c>
      <c r="EOW31" t="e">
        <v>#N/A</v>
      </c>
      <c r="EOX31" t="e">
        <v>#N/A</v>
      </c>
      <c r="EOY31" t="e">
        <v>#N/A</v>
      </c>
      <c r="EOZ31" t="e">
        <v>#N/A</v>
      </c>
      <c r="EPA31" t="e">
        <v>#N/A</v>
      </c>
      <c r="EPB31" t="e">
        <v>#N/A</v>
      </c>
      <c r="EPC31" t="e">
        <v>#N/A</v>
      </c>
      <c r="EPD31" t="e">
        <v>#N/A</v>
      </c>
      <c r="EPE31" t="e">
        <v>#N/A</v>
      </c>
      <c r="EPF31" t="e">
        <v>#N/A</v>
      </c>
      <c r="EPG31" t="e">
        <v>#N/A</v>
      </c>
      <c r="EPH31" t="e">
        <v>#N/A</v>
      </c>
      <c r="EPI31" t="e">
        <v>#N/A</v>
      </c>
      <c r="EPJ31" t="e">
        <v>#N/A</v>
      </c>
      <c r="EPK31" t="e">
        <v>#N/A</v>
      </c>
      <c r="EPL31" t="e">
        <v>#N/A</v>
      </c>
      <c r="EPM31" t="e">
        <v>#N/A</v>
      </c>
      <c r="EPN31" t="e">
        <v>#N/A</v>
      </c>
      <c r="EPO31" t="e">
        <v>#N/A</v>
      </c>
      <c r="EPP31" t="e">
        <v>#N/A</v>
      </c>
      <c r="EPQ31" t="e">
        <v>#N/A</v>
      </c>
      <c r="EPR31" t="e">
        <v>#N/A</v>
      </c>
      <c r="EPS31" t="e">
        <v>#N/A</v>
      </c>
      <c r="EPT31" t="e">
        <v>#N/A</v>
      </c>
      <c r="EPU31" t="e">
        <v>#N/A</v>
      </c>
      <c r="EPV31" t="e">
        <v>#N/A</v>
      </c>
      <c r="EPW31" t="e">
        <v>#N/A</v>
      </c>
      <c r="EPX31" t="e">
        <v>#N/A</v>
      </c>
      <c r="EPY31" t="e">
        <v>#N/A</v>
      </c>
      <c r="EPZ31" t="e">
        <v>#N/A</v>
      </c>
      <c r="EQA31" t="e">
        <v>#N/A</v>
      </c>
      <c r="EQB31" t="e">
        <v>#N/A</v>
      </c>
      <c r="EQC31" t="e">
        <v>#N/A</v>
      </c>
      <c r="EQD31" t="e">
        <v>#N/A</v>
      </c>
      <c r="EQE31" t="e">
        <v>#N/A</v>
      </c>
      <c r="EQF31" t="e">
        <v>#N/A</v>
      </c>
      <c r="EQG31" t="e">
        <v>#N/A</v>
      </c>
      <c r="EQH31" t="e">
        <v>#N/A</v>
      </c>
      <c r="EQI31" t="e">
        <v>#N/A</v>
      </c>
      <c r="EQJ31" t="e">
        <v>#N/A</v>
      </c>
      <c r="EQK31" t="e">
        <v>#N/A</v>
      </c>
      <c r="EQL31" t="e">
        <v>#N/A</v>
      </c>
      <c r="EQM31" t="e">
        <v>#N/A</v>
      </c>
      <c r="EQN31" t="e">
        <v>#N/A</v>
      </c>
      <c r="EQO31" t="e">
        <v>#N/A</v>
      </c>
      <c r="EQP31" t="e">
        <v>#N/A</v>
      </c>
      <c r="EQQ31" t="e">
        <v>#N/A</v>
      </c>
      <c r="EQR31" t="e">
        <v>#N/A</v>
      </c>
      <c r="EQS31" t="e">
        <v>#N/A</v>
      </c>
      <c r="EQT31" t="e">
        <v>#N/A</v>
      </c>
      <c r="EQU31" t="e">
        <v>#N/A</v>
      </c>
      <c r="EQV31" t="e">
        <v>#N/A</v>
      </c>
      <c r="EQW31" t="e">
        <v>#N/A</v>
      </c>
      <c r="EQX31" t="e">
        <v>#N/A</v>
      </c>
      <c r="EQY31" t="e">
        <v>#N/A</v>
      </c>
      <c r="EQZ31" t="e">
        <v>#N/A</v>
      </c>
      <c r="ERA31" t="e">
        <v>#N/A</v>
      </c>
      <c r="ERB31" t="e">
        <v>#N/A</v>
      </c>
      <c r="ERC31" t="e">
        <v>#N/A</v>
      </c>
      <c r="ERD31" t="e">
        <v>#N/A</v>
      </c>
      <c r="ERE31" t="e">
        <v>#N/A</v>
      </c>
      <c r="ERF31" t="e">
        <v>#N/A</v>
      </c>
      <c r="ERG31" t="e">
        <v>#N/A</v>
      </c>
      <c r="ERH31" t="e">
        <v>#N/A</v>
      </c>
      <c r="ERI31" t="e">
        <v>#N/A</v>
      </c>
      <c r="ERJ31" t="e">
        <v>#N/A</v>
      </c>
      <c r="ERK31" t="e">
        <v>#N/A</v>
      </c>
      <c r="ERL31" t="e">
        <v>#N/A</v>
      </c>
      <c r="ERM31" t="e">
        <v>#N/A</v>
      </c>
      <c r="ERN31" t="e">
        <v>#N/A</v>
      </c>
      <c r="ERO31" t="e">
        <v>#N/A</v>
      </c>
      <c r="ERP31" t="e">
        <v>#N/A</v>
      </c>
      <c r="ERQ31" t="e">
        <v>#N/A</v>
      </c>
      <c r="ERR31" t="e">
        <v>#N/A</v>
      </c>
      <c r="ERS31" t="e">
        <v>#N/A</v>
      </c>
      <c r="ERT31" t="e">
        <v>#N/A</v>
      </c>
      <c r="ERU31" t="e">
        <v>#N/A</v>
      </c>
      <c r="ERV31" t="e">
        <v>#N/A</v>
      </c>
      <c r="ERW31" t="e">
        <v>#N/A</v>
      </c>
      <c r="ERX31" t="e">
        <v>#N/A</v>
      </c>
      <c r="ERY31" t="e">
        <v>#N/A</v>
      </c>
      <c r="ERZ31" t="e">
        <v>#N/A</v>
      </c>
      <c r="ESA31" t="e">
        <v>#N/A</v>
      </c>
      <c r="ESB31" t="e">
        <v>#N/A</v>
      </c>
      <c r="ESC31" t="e">
        <v>#N/A</v>
      </c>
      <c r="ESD31" t="e">
        <v>#N/A</v>
      </c>
      <c r="ESE31" t="e">
        <v>#N/A</v>
      </c>
      <c r="ESF31" t="e">
        <v>#N/A</v>
      </c>
      <c r="ESG31" t="e">
        <v>#N/A</v>
      </c>
      <c r="ESH31" t="e">
        <v>#N/A</v>
      </c>
      <c r="ESI31" t="e">
        <v>#N/A</v>
      </c>
      <c r="ESJ31" t="e">
        <v>#N/A</v>
      </c>
      <c r="ESK31" t="e">
        <v>#N/A</v>
      </c>
      <c r="ESL31" t="e">
        <v>#N/A</v>
      </c>
      <c r="ESM31" t="e">
        <v>#N/A</v>
      </c>
      <c r="ESN31" t="e">
        <v>#N/A</v>
      </c>
      <c r="ESO31" t="e">
        <v>#N/A</v>
      </c>
      <c r="ESP31" t="e">
        <v>#N/A</v>
      </c>
      <c r="ESQ31" t="e">
        <v>#N/A</v>
      </c>
      <c r="ESR31" t="e">
        <v>#N/A</v>
      </c>
      <c r="ESS31" t="e">
        <v>#N/A</v>
      </c>
      <c r="EST31" t="e">
        <v>#N/A</v>
      </c>
      <c r="ESU31" t="e">
        <v>#N/A</v>
      </c>
      <c r="ESV31" t="e">
        <v>#N/A</v>
      </c>
      <c r="ESW31" t="e">
        <v>#N/A</v>
      </c>
      <c r="ESX31" t="e">
        <v>#N/A</v>
      </c>
      <c r="ESY31" t="e">
        <v>#N/A</v>
      </c>
      <c r="ESZ31" t="e">
        <v>#N/A</v>
      </c>
      <c r="ETA31" t="e">
        <v>#N/A</v>
      </c>
      <c r="ETB31" t="e">
        <v>#N/A</v>
      </c>
      <c r="ETC31" t="e">
        <v>#N/A</v>
      </c>
      <c r="ETD31" t="e">
        <v>#N/A</v>
      </c>
      <c r="ETE31" t="e">
        <v>#N/A</v>
      </c>
      <c r="ETF31" t="e">
        <v>#N/A</v>
      </c>
      <c r="ETG31" t="e">
        <v>#N/A</v>
      </c>
      <c r="ETH31" t="e">
        <v>#N/A</v>
      </c>
      <c r="ETI31" t="e">
        <v>#N/A</v>
      </c>
      <c r="ETJ31" t="e">
        <v>#N/A</v>
      </c>
      <c r="ETK31" t="e">
        <v>#N/A</v>
      </c>
      <c r="ETL31" t="e">
        <v>#N/A</v>
      </c>
      <c r="ETM31" t="e">
        <v>#N/A</v>
      </c>
      <c r="ETN31" t="e">
        <v>#N/A</v>
      </c>
      <c r="ETO31" t="e">
        <v>#N/A</v>
      </c>
      <c r="ETP31" t="e">
        <v>#N/A</v>
      </c>
      <c r="ETQ31" t="e">
        <v>#N/A</v>
      </c>
      <c r="ETR31" t="e">
        <v>#N/A</v>
      </c>
      <c r="ETS31" t="e">
        <v>#N/A</v>
      </c>
      <c r="ETT31" t="e">
        <v>#N/A</v>
      </c>
      <c r="ETU31" t="e">
        <v>#N/A</v>
      </c>
      <c r="ETV31" t="e">
        <v>#N/A</v>
      </c>
      <c r="ETW31" t="e">
        <v>#N/A</v>
      </c>
      <c r="ETX31" t="e">
        <v>#N/A</v>
      </c>
      <c r="ETY31" t="e">
        <v>#N/A</v>
      </c>
      <c r="ETZ31" t="e">
        <v>#N/A</v>
      </c>
      <c r="EUA31" t="e">
        <v>#N/A</v>
      </c>
      <c r="EUB31" t="e">
        <v>#N/A</v>
      </c>
      <c r="EUC31" t="e">
        <v>#N/A</v>
      </c>
      <c r="EUD31" t="e">
        <v>#N/A</v>
      </c>
      <c r="EUE31" t="e">
        <v>#N/A</v>
      </c>
      <c r="EUF31" t="e">
        <v>#N/A</v>
      </c>
      <c r="EUG31" t="e">
        <v>#N/A</v>
      </c>
      <c r="EUH31" t="e">
        <v>#N/A</v>
      </c>
      <c r="EUI31" t="e">
        <v>#N/A</v>
      </c>
      <c r="EUJ31" t="e">
        <v>#N/A</v>
      </c>
      <c r="EUK31" t="e">
        <v>#N/A</v>
      </c>
      <c r="EUL31" t="e">
        <v>#N/A</v>
      </c>
      <c r="EUM31" t="e">
        <v>#N/A</v>
      </c>
      <c r="EUN31" t="e">
        <v>#N/A</v>
      </c>
      <c r="EUO31" t="e">
        <v>#N/A</v>
      </c>
      <c r="EUP31" t="e">
        <v>#N/A</v>
      </c>
      <c r="EUQ31" t="e">
        <v>#N/A</v>
      </c>
      <c r="EUR31" t="e">
        <v>#N/A</v>
      </c>
      <c r="EUS31" t="e">
        <v>#N/A</v>
      </c>
      <c r="EUT31" t="e">
        <v>#N/A</v>
      </c>
      <c r="EUU31" t="e">
        <v>#N/A</v>
      </c>
      <c r="EUV31" t="e">
        <v>#N/A</v>
      </c>
      <c r="EUW31" t="e">
        <v>#N/A</v>
      </c>
      <c r="EUX31" t="e">
        <v>#N/A</v>
      </c>
      <c r="EUY31" t="e">
        <v>#N/A</v>
      </c>
      <c r="EUZ31" t="e">
        <v>#N/A</v>
      </c>
      <c r="EVA31" t="e">
        <v>#N/A</v>
      </c>
      <c r="EVB31" t="e">
        <v>#N/A</v>
      </c>
      <c r="EVC31" t="e">
        <v>#N/A</v>
      </c>
      <c r="EVD31" t="e">
        <v>#N/A</v>
      </c>
      <c r="EVE31" t="e">
        <v>#N/A</v>
      </c>
      <c r="EVF31" t="e">
        <v>#N/A</v>
      </c>
      <c r="EVG31" t="e">
        <v>#N/A</v>
      </c>
      <c r="EVH31" t="e">
        <v>#N/A</v>
      </c>
      <c r="EVI31" t="e">
        <v>#N/A</v>
      </c>
      <c r="EVJ31" t="e">
        <v>#N/A</v>
      </c>
      <c r="EVK31" t="e">
        <v>#N/A</v>
      </c>
      <c r="EVL31" t="e">
        <v>#N/A</v>
      </c>
      <c r="EVM31" t="e">
        <v>#N/A</v>
      </c>
      <c r="EVN31" t="e">
        <v>#N/A</v>
      </c>
      <c r="EVO31" t="e">
        <v>#N/A</v>
      </c>
      <c r="EVP31" t="e">
        <v>#N/A</v>
      </c>
      <c r="EVQ31" t="e">
        <v>#N/A</v>
      </c>
      <c r="EVR31" t="e">
        <v>#N/A</v>
      </c>
      <c r="EVS31" t="e">
        <v>#N/A</v>
      </c>
      <c r="EVT31" t="e">
        <v>#N/A</v>
      </c>
      <c r="EVU31" t="e">
        <v>#N/A</v>
      </c>
      <c r="EVV31" t="e">
        <v>#N/A</v>
      </c>
      <c r="EVW31" t="e">
        <v>#N/A</v>
      </c>
      <c r="EVX31" t="e">
        <v>#N/A</v>
      </c>
      <c r="EVY31" t="e">
        <v>#N/A</v>
      </c>
      <c r="EVZ31" t="e">
        <v>#N/A</v>
      </c>
      <c r="EWA31" t="e">
        <v>#N/A</v>
      </c>
      <c r="EWB31" t="e">
        <v>#N/A</v>
      </c>
      <c r="EWC31" t="e">
        <v>#N/A</v>
      </c>
      <c r="EWD31" t="e">
        <v>#N/A</v>
      </c>
      <c r="EWE31" t="e">
        <v>#N/A</v>
      </c>
      <c r="EWF31" t="e">
        <v>#N/A</v>
      </c>
      <c r="EWG31" t="e">
        <v>#N/A</v>
      </c>
      <c r="EWH31" t="e">
        <v>#N/A</v>
      </c>
      <c r="EWI31" t="e">
        <v>#N/A</v>
      </c>
      <c r="EWJ31" t="e">
        <v>#N/A</v>
      </c>
      <c r="EWK31" t="e">
        <v>#N/A</v>
      </c>
      <c r="EWL31" t="e">
        <v>#N/A</v>
      </c>
      <c r="EWM31" t="e">
        <v>#N/A</v>
      </c>
      <c r="EWN31" t="e">
        <v>#N/A</v>
      </c>
      <c r="EWO31" t="e">
        <v>#N/A</v>
      </c>
      <c r="EWP31" t="e">
        <v>#N/A</v>
      </c>
      <c r="EWQ31" t="e">
        <v>#N/A</v>
      </c>
      <c r="EWR31" t="e">
        <v>#N/A</v>
      </c>
      <c r="EWS31" t="e">
        <v>#N/A</v>
      </c>
      <c r="EWT31" t="e">
        <v>#N/A</v>
      </c>
      <c r="EWU31" t="e">
        <v>#N/A</v>
      </c>
      <c r="EWV31" t="e">
        <v>#N/A</v>
      </c>
      <c r="EWW31" t="e">
        <v>#N/A</v>
      </c>
      <c r="EWX31" t="e">
        <v>#N/A</v>
      </c>
      <c r="EWY31" t="e">
        <v>#N/A</v>
      </c>
      <c r="EWZ31" t="e">
        <v>#N/A</v>
      </c>
      <c r="EXA31" t="e">
        <v>#N/A</v>
      </c>
      <c r="EXB31" t="e">
        <v>#N/A</v>
      </c>
      <c r="EXC31" t="e">
        <v>#N/A</v>
      </c>
      <c r="EXD31" t="e">
        <v>#N/A</v>
      </c>
      <c r="EXE31" t="e">
        <v>#N/A</v>
      </c>
      <c r="EXF31" t="e">
        <v>#N/A</v>
      </c>
      <c r="EXG31" t="e">
        <v>#N/A</v>
      </c>
      <c r="EXH31" t="e">
        <v>#N/A</v>
      </c>
      <c r="EXI31" t="e">
        <v>#N/A</v>
      </c>
      <c r="EXJ31" t="e">
        <v>#N/A</v>
      </c>
      <c r="EXK31" t="e">
        <v>#N/A</v>
      </c>
      <c r="EXL31" t="e">
        <v>#N/A</v>
      </c>
      <c r="EXM31" t="e">
        <v>#N/A</v>
      </c>
      <c r="EXN31" t="e">
        <v>#N/A</v>
      </c>
      <c r="EXO31" t="e">
        <v>#N/A</v>
      </c>
      <c r="EXP31" t="e">
        <v>#N/A</v>
      </c>
      <c r="EXQ31" t="e">
        <v>#N/A</v>
      </c>
      <c r="EXR31" t="e">
        <v>#N/A</v>
      </c>
      <c r="EXS31" t="e">
        <v>#N/A</v>
      </c>
      <c r="EXT31" t="e">
        <v>#N/A</v>
      </c>
      <c r="EXU31" t="e">
        <v>#N/A</v>
      </c>
      <c r="EXV31" t="e">
        <v>#N/A</v>
      </c>
      <c r="EXW31" t="e">
        <v>#N/A</v>
      </c>
      <c r="EXX31" t="e">
        <v>#N/A</v>
      </c>
      <c r="EXY31" t="e">
        <v>#N/A</v>
      </c>
      <c r="EXZ31" t="e">
        <v>#N/A</v>
      </c>
      <c r="EYA31" t="e">
        <v>#N/A</v>
      </c>
      <c r="EYB31" t="e">
        <v>#N/A</v>
      </c>
      <c r="EYC31" t="e">
        <v>#N/A</v>
      </c>
      <c r="EYD31" t="e">
        <v>#N/A</v>
      </c>
      <c r="EYE31" t="e">
        <v>#N/A</v>
      </c>
      <c r="EYF31" t="e">
        <v>#N/A</v>
      </c>
      <c r="EYG31" t="e">
        <v>#N/A</v>
      </c>
      <c r="EYH31" t="e">
        <v>#N/A</v>
      </c>
      <c r="EYI31" t="e">
        <v>#N/A</v>
      </c>
      <c r="EYJ31" t="e">
        <v>#N/A</v>
      </c>
      <c r="EYK31" t="e">
        <v>#N/A</v>
      </c>
      <c r="EYL31" t="e">
        <v>#N/A</v>
      </c>
      <c r="EYM31" t="e">
        <v>#N/A</v>
      </c>
      <c r="EYN31" t="e">
        <v>#N/A</v>
      </c>
      <c r="EYO31" t="e">
        <v>#N/A</v>
      </c>
      <c r="EYP31" t="e">
        <v>#N/A</v>
      </c>
      <c r="EYQ31" t="e">
        <v>#N/A</v>
      </c>
      <c r="EYR31" t="e">
        <v>#N/A</v>
      </c>
      <c r="EYS31" t="e">
        <v>#N/A</v>
      </c>
      <c r="EYT31" t="e">
        <v>#N/A</v>
      </c>
      <c r="EYU31" t="e">
        <v>#N/A</v>
      </c>
      <c r="EYV31" t="e">
        <v>#N/A</v>
      </c>
      <c r="EYW31" t="e">
        <v>#N/A</v>
      </c>
      <c r="EYX31" t="e">
        <v>#N/A</v>
      </c>
      <c r="EYY31" t="e">
        <v>#N/A</v>
      </c>
      <c r="EYZ31" t="e">
        <v>#N/A</v>
      </c>
      <c r="EZA31" t="e">
        <v>#N/A</v>
      </c>
      <c r="EZB31" t="e">
        <v>#N/A</v>
      </c>
      <c r="EZC31" t="e">
        <v>#N/A</v>
      </c>
      <c r="EZD31" t="e">
        <v>#N/A</v>
      </c>
      <c r="EZE31" t="e">
        <v>#N/A</v>
      </c>
      <c r="EZF31" t="e">
        <v>#N/A</v>
      </c>
      <c r="EZG31" t="e">
        <v>#N/A</v>
      </c>
      <c r="EZH31" t="e">
        <v>#N/A</v>
      </c>
      <c r="EZI31" t="e">
        <v>#N/A</v>
      </c>
      <c r="EZJ31" t="e">
        <v>#N/A</v>
      </c>
      <c r="EZK31" t="e">
        <v>#N/A</v>
      </c>
      <c r="EZL31" t="e">
        <v>#N/A</v>
      </c>
      <c r="EZM31" t="e">
        <v>#N/A</v>
      </c>
      <c r="EZN31" t="e">
        <v>#N/A</v>
      </c>
      <c r="EZO31" t="e">
        <v>#N/A</v>
      </c>
      <c r="EZP31" t="e">
        <v>#N/A</v>
      </c>
      <c r="EZQ31" t="e">
        <v>#N/A</v>
      </c>
      <c r="EZR31" t="e">
        <v>#N/A</v>
      </c>
      <c r="EZS31" t="e">
        <v>#N/A</v>
      </c>
      <c r="EZT31" t="e">
        <v>#N/A</v>
      </c>
      <c r="EZU31" t="e">
        <v>#N/A</v>
      </c>
      <c r="EZV31" t="e">
        <v>#N/A</v>
      </c>
      <c r="EZW31" t="e">
        <v>#N/A</v>
      </c>
      <c r="EZX31" t="e">
        <v>#N/A</v>
      </c>
      <c r="EZY31" t="e">
        <v>#N/A</v>
      </c>
      <c r="EZZ31" t="e">
        <v>#N/A</v>
      </c>
      <c r="FAA31" t="e">
        <v>#N/A</v>
      </c>
      <c r="FAB31" t="e">
        <v>#N/A</v>
      </c>
      <c r="FAC31" t="e">
        <v>#N/A</v>
      </c>
      <c r="FAD31" t="e">
        <v>#N/A</v>
      </c>
      <c r="FAE31" t="e">
        <v>#N/A</v>
      </c>
      <c r="FAF31" t="e">
        <v>#N/A</v>
      </c>
      <c r="FAG31" t="e">
        <v>#N/A</v>
      </c>
      <c r="FAH31" t="e">
        <v>#N/A</v>
      </c>
      <c r="FAI31" t="e">
        <v>#N/A</v>
      </c>
      <c r="FAJ31" t="e">
        <v>#N/A</v>
      </c>
      <c r="FAK31" t="e">
        <v>#N/A</v>
      </c>
      <c r="FAL31" t="e">
        <v>#N/A</v>
      </c>
      <c r="FAM31" t="e">
        <v>#N/A</v>
      </c>
      <c r="FAN31" t="e">
        <v>#N/A</v>
      </c>
      <c r="FAO31" t="e">
        <v>#N/A</v>
      </c>
      <c r="FAP31" t="e">
        <v>#N/A</v>
      </c>
      <c r="FAQ31" t="e">
        <v>#N/A</v>
      </c>
      <c r="FAR31" t="e">
        <v>#N/A</v>
      </c>
      <c r="FAS31" t="e">
        <v>#N/A</v>
      </c>
      <c r="FAT31" t="e">
        <v>#N/A</v>
      </c>
      <c r="FAU31" t="e">
        <v>#N/A</v>
      </c>
      <c r="FAV31" t="e">
        <v>#N/A</v>
      </c>
      <c r="FAW31" t="e">
        <v>#N/A</v>
      </c>
      <c r="FAX31" t="e">
        <v>#N/A</v>
      </c>
      <c r="FAY31" t="e">
        <v>#N/A</v>
      </c>
      <c r="FAZ31" t="e">
        <v>#N/A</v>
      </c>
      <c r="FBA31" t="e">
        <v>#N/A</v>
      </c>
      <c r="FBB31" t="e">
        <v>#N/A</v>
      </c>
      <c r="FBC31" t="e">
        <v>#N/A</v>
      </c>
      <c r="FBD31" t="e">
        <v>#N/A</v>
      </c>
      <c r="FBE31" t="e">
        <v>#N/A</v>
      </c>
      <c r="FBF31" t="e">
        <v>#N/A</v>
      </c>
      <c r="FBG31" t="e">
        <v>#N/A</v>
      </c>
      <c r="FBH31" t="e">
        <v>#N/A</v>
      </c>
      <c r="FBI31" t="e">
        <v>#N/A</v>
      </c>
      <c r="FBJ31" t="e">
        <v>#N/A</v>
      </c>
      <c r="FBK31" t="e">
        <v>#N/A</v>
      </c>
      <c r="FBL31" t="e">
        <v>#N/A</v>
      </c>
      <c r="FBM31" t="e">
        <v>#N/A</v>
      </c>
      <c r="FBN31" t="e">
        <v>#N/A</v>
      </c>
      <c r="FBO31" t="e">
        <v>#N/A</v>
      </c>
      <c r="FBP31" t="e">
        <v>#N/A</v>
      </c>
      <c r="FBQ31" t="e">
        <v>#N/A</v>
      </c>
      <c r="FBR31" t="e">
        <v>#N/A</v>
      </c>
      <c r="FBS31" t="e">
        <v>#N/A</v>
      </c>
      <c r="FBT31" t="e">
        <v>#N/A</v>
      </c>
      <c r="FBU31" t="e">
        <v>#N/A</v>
      </c>
      <c r="FBV31" t="e">
        <v>#N/A</v>
      </c>
      <c r="FBW31" t="e">
        <v>#N/A</v>
      </c>
      <c r="FBX31" t="e">
        <v>#N/A</v>
      </c>
      <c r="FBY31" t="e">
        <v>#N/A</v>
      </c>
      <c r="FBZ31" t="e">
        <v>#N/A</v>
      </c>
      <c r="FCA31" t="e">
        <v>#N/A</v>
      </c>
      <c r="FCB31" t="e">
        <v>#N/A</v>
      </c>
      <c r="FCC31" t="e">
        <v>#N/A</v>
      </c>
      <c r="FCD31" t="e">
        <v>#N/A</v>
      </c>
      <c r="FCE31" t="e">
        <v>#N/A</v>
      </c>
      <c r="FCF31" t="e">
        <v>#N/A</v>
      </c>
      <c r="FCG31" t="e">
        <v>#N/A</v>
      </c>
      <c r="FCH31" t="e">
        <v>#N/A</v>
      </c>
      <c r="FCI31" t="e">
        <v>#N/A</v>
      </c>
      <c r="FCJ31" t="e">
        <v>#N/A</v>
      </c>
      <c r="FCK31" t="e">
        <v>#N/A</v>
      </c>
      <c r="FCL31" t="e">
        <v>#N/A</v>
      </c>
      <c r="FCM31" t="e">
        <v>#N/A</v>
      </c>
      <c r="FCN31" t="e">
        <v>#N/A</v>
      </c>
      <c r="FCO31" t="e">
        <v>#N/A</v>
      </c>
      <c r="FCP31" t="e">
        <v>#N/A</v>
      </c>
      <c r="FCQ31" t="e">
        <v>#N/A</v>
      </c>
      <c r="FCR31" t="e">
        <v>#N/A</v>
      </c>
      <c r="FCS31" t="e">
        <v>#N/A</v>
      </c>
      <c r="FCT31" t="e">
        <v>#N/A</v>
      </c>
      <c r="FCU31" t="e">
        <v>#N/A</v>
      </c>
      <c r="FCV31" t="e">
        <v>#N/A</v>
      </c>
      <c r="FCW31" t="e">
        <v>#N/A</v>
      </c>
      <c r="FCX31" t="e">
        <v>#N/A</v>
      </c>
      <c r="FCY31" t="e">
        <v>#N/A</v>
      </c>
      <c r="FCZ31" t="e">
        <v>#N/A</v>
      </c>
      <c r="FDA31" t="e">
        <v>#N/A</v>
      </c>
      <c r="FDB31" t="e">
        <v>#N/A</v>
      </c>
      <c r="FDC31" t="e">
        <v>#N/A</v>
      </c>
      <c r="FDD31" t="e">
        <v>#N/A</v>
      </c>
      <c r="FDE31" t="e">
        <v>#N/A</v>
      </c>
      <c r="FDF31" t="e">
        <v>#N/A</v>
      </c>
      <c r="FDG31" t="e">
        <v>#N/A</v>
      </c>
      <c r="FDH31" t="e">
        <v>#N/A</v>
      </c>
      <c r="FDI31" t="e">
        <v>#N/A</v>
      </c>
      <c r="FDJ31" t="e">
        <v>#N/A</v>
      </c>
      <c r="FDK31" t="e">
        <v>#N/A</v>
      </c>
      <c r="FDL31" t="e">
        <v>#N/A</v>
      </c>
      <c r="FDM31" t="e">
        <v>#N/A</v>
      </c>
      <c r="FDN31" t="e">
        <v>#N/A</v>
      </c>
      <c r="FDO31" t="e">
        <v>#N/A</v>
      </c>
      <c r="FDP31" t="e">
        <v>#N/A</v>
      </c>
      <c r="FDQ31" t="e">
        <v>#N/A</v>
      </c>
      <c r="FDR31" t="e">
        <v>#N/A</v>
      </c>
      <c r="FDS31" t="e">
        <v>#N/A</v>
      </c>
      <c r="FDT31" t="e">
        <v>#N/A</v>
      </c>
      <c r="FDU31" t="e">
        <v>#N/A</v>
      </c>
      <c r="FDV31" t="e">
        <v>#N/A</v>
      </c>
      <c r="FDW31" t="e">
        <v>#N/A</v>
      </c>
      <c r="FDX31" t="e">
        <v>#N/A</v>
      </c>
      <c r="FDY31" t="e">
        <v>#N/A</v>
      </c>
      <c r="FDZ31" t="e">
        <v>#N/A</v>
      </c>
      <c r="FEA31" t="e">
        <v>#N/A</v>
      </c>
      <c r="FEB31" t="e">
        <v>#N/A</v>
      </c>
      <c r="FEC31" t="e">
        <v>#N/A</v>
      </c>
      <c r="FED31" t="e">
        <v>#N/A</v>
      </c>
      <c r="FEE31" t="e">
        <v>#N/A</v>
      </c>
      <c r="FEF31" t="e">
        <v>#N/A</v>
      </c>
      <c r="FEG31" t="e">
        <v>#N/A</v>
      </c>
      <c r="FEH31" t="e">
        <v>#N/A</v>
      </c>
      <c r="FEI31" t="e">
        <v>#N/A</v>
      </c>
      <c r="FEJ31" t="e">
        <v>#N/A</v>
      </c>
      <c r="FEK31" t="e">
        <v>#N/A</v>
      </c>
      <c r="FEL31" t="e">
        <v>#N/A</v>
      </c>
      <c r="FEM31" t="e">
        <v>#N/A</v>
      </c>
      <c r="FEN31" t="e">
        <v>#N/A</v>
      </c>
      <c r="FEO31" t="e">
        <v>#N/A</v>
      </c>
      <c r="FEP31" t="e">
        <v>#N/A</v>
      </c>
      <c r="FEQ31" t="e">
        <v>#N/A</v>
      </c>
      <c r="FER31" t="e">
        <v>#N/A</v>
      </c>
      <c r="FES31" t="e">
        <v>#N/A</v>
      </c>
      <c r="FET31" t="e">
        <v>#N/A</v>
      </c>
      <c r="FEU31" t="e">
        <v>#N/A</v>
      </c>
      <c r="FEV31" t="e">
        <v>#N/A</v>
      </c>
      <c r="FEW31" t="e">
        <v>#N/A</v>
      </c>
      <c r="FEX31" t="e">
        <v>#N/A</v>
      </c>
      <c r="FEY31" t="e">
        <v>#N/A</v>
      </c>
      <c r="FEZ31" t="e">
        <v>#N/A</v>
      </c>
      <c r="FFA31" t="e">
        <v>#N/A</v>
      </c>
      <c r="FFB31" t="e">
        <v>#N/A</v>
      </c>
      <c r="FFC31" t="e">
        <v>#N/A</v>
      </c>
      <c r="FFD31" t="e">
        <v>#N/A</v>
      </c>
      <c r="FFE31" t="e">
        <v>#N/A</v>
      </c>
      <c r="FFF31" t="e">
        <v>#N/A</v>
      </c>
      <c r="FFG31" t="e">
        <v>#N/A</v>
      </c>
      <c r="FFH31" t="e">
        <v>#N/A</v>
      </c>
      <c r="FFI31" t="e">
        <v>#N/A</v>
      </c>
      <c r="FFJ31" t="e">
        <v>#N/A</v>
      </c>
      <c r="FFK31" t="e">
        <v>#N/A</v>
      </c>
      <c r="FFL31" t="e">
        <v>#N/A</v>
      </c>
      <c r="FFM31" t="e">
        <v>#N/A</v>
      </c>
      <c r="FFN31" t="e">
        <v>#N/A</v>
      </c>
      <c r="FFO31" t="e">
        <v>#N/A</v>
      </c>
      <c r="FFP31" t="e">
        <v>#N/A</v>
      </c>
      <c r="FFQ31" t="e">
        <v>#N/A</v>
      </c>
      <c r="FFR31" t="e">
        <v>#N/A</v>
      </c>
      <c r="FFS31" t="e">
        <v>#N/A</v>
      </c>
      <c r="FFT31" t="e">
        <v>#N/A</v>
      </c>
      <c r="FFU31" t="e">
        <v>#N/A</v>
      </c>
      <c r="FFV31" t="e">
        <v>#N/A</v>
      </c>
      <c r="FFW31" t="e">
        <v>#N/A</v>
      </c>
      <c r="FFX31" t="e">
        <v>#N/A</v>
      </c>
      <c r="FFY31" t="e">
        <v>#N/A</v>
      </c>
      <c r="FFZ31" t="e">
        <v>#N/A</v>
      </c>
      <c r="FGA31" t="e">
        <v>#N/A</v>
      </c>
      <c r="FGB31" t="e">
        <v>#N/A</v>
      </c>
      <c r="FGC31" t="e">
        <v>#N/A</v>
      </c>
      <c r="FGD31" t="e">
        <v>#N/A</v>
      </c>
      <c r="FGE31" t="e">
        <v>#N/A</v>
      </c>
      <c r="FGF31" t="e">
        <v>#N/A</v>
      </c>
      <c r="FGG31" t="e">
        <v>#N/A</v>
      </c>
      <c r="FGH31" t="e">
        <v>#N/A</v>
      </c>
      <c r="FGI31" t="e">
        <v>#N/A</v>
      </c>
      <c r="FGJ31" t="e">
        <v>#N/A</v>
      </c>
      <c r="FGK31" t="e">
        <v>#N/A</v>
      </c>
      <c r="FGL31" t="e">
        <v>#N/A</v>
      </c>
      <c r="FGM31" t="e">
        <v>#N/A</v>
      </c>
      <c r="FGN31" t="e">
        <v>#N/A</v>
      </c>
      <c r="FGO31" t="e">
        <v>#N/A</v>
      </c>
      <c r="FGP31" t="e">
        <v>#N/A</v>
      </c>
      <c r="FGQ31" t="e">
        <v>#N/A</v>
      </c>
      <c r="FGR31" t="e">
        <v>#N/A</v>
      </c>
      <c r="FGS31" t="e">
        <v>#N/A</v>
      </c>
      <c r="FGT31" t="e">
        <v>#N/A</v>
      </c>
      <c r="FGU31" t="e">
        <v>#N/A</v>
      </c>
      <c r="FGV31" t="e">
        <v>#N/A</v>
      </c>
      <c r="FGW31" t="e">
        <v>#N/A</v>
      </c>
      <c r="FGX31" t="e">
        <v>#N/A</v>
      </c>
      <c r="FGY31" t="e">
        <v>#N/A</v>
      </c>
      <c r="FGZ31" t="e">
        <v>#N/A</v>
      </c>
      <c r="FHA31" t="e">
        <v>#N/A</v>
      </c>
      <c r="FHB31" t="e">
        <v>#N/A</v>
      </c>
      <c r="FHC31" t="e">
        <v>#N/A</v>
      </c>
      <c r="FHD31" t="e">
        <v>#N/A</v>
      </c>
      <c r="FHE31" t="e">
        <v>#N/A</v>
      </c>
      <c r="FHF31" t="e">
        <v>#N/A</v>
      </c>
      <c r="FHG31" t="e">
        <v>#N/A</v>
      </c>
      <c r="FHH31" t="e">
        <v>#N/A</v>
      </c>
      <c r="FHI31" t="e">
        <v>#N/A</v>
      </c>
      <c r="FHJ31" t="e">
        <v>#N/A</v>
      </c>
      <c r="FHK31" t="e">
        <v>#N/A</v>
      </c>
      <c r="FHL31" t="e">
        <v>#N/A</v>
      </c>
      <c r="FHM31" t="e">
        <v>#N/A</v>
      </c>
      <c r="FHN31" t="e">
        <v>#N/A</v>
      </c>
      <c r="FHO31" t="e">
        <v>#N/A</v>
      </c>
      <c r="FHP31" t="e">
        <v>#N/A</v>
      </c>
      <c r="FHQ31" t="e">
        <v>#N/A</v>
      </c>
      <c r="FHR31" t="e">
        <v>#N/A</v>
      </c>
      <c r="FHS31" t="e">
        <v>#N/A</v>
      </c>
      <c r="FHT31" t="e">
        <v>#N/A</v>
      </c>
      <c r="FHU31" t="e">
        <v>#N/A</v>
      </c>
      <c r="FHV31" t="e">
        <v>#N/A</v>
      </c>
      <c r="FHW31" t="e">
        <v>#N/A</v>
      </c>
      <c r="FHX31" t="e">
        <v>#N/A</v>
      </c>
      <c r="FHY31" t="e">
        <v>#N/A</v>
      </c>
      <c r="FHZ31" t="e">
        <v>#N/A</v>
      </c>
      <c r="FIA31" t="e">
        <v>#N/A</v>
      </c>
      <c r="FIB31" t="e">
        <v>#N/A</v>
      </c>
      <c r="FIC31" t="e">
        <v>#N/A</v>
      </c>
      <c r="FID31" t="e">
        <v>#N/A</v>
      </c>
      <c r="FIE31" t="e">
        <v>#N/A</v>
      </c>
      <c r="FIF31" t="e">
        <v>#N/A</v>
      </c>
      <c r="FIG31" t="e">
        <v>#N/A</v>
      </c>
      <c r="FIH31" t="e">
        <v>#N/A</v>
      </c>
      <c r="FII31" t="e">
        <v>#N/A</v>
      </c>
      <c r="FIJ31" t="e">
        <v>#N/A</v>
      </c>
      <c r="FIK31" t="e">
        <v>#N/A</v>
      </c>
      <c r="FIL31" t="e">
        <v>#N/A</v>
      </c>
      <c r="FIM31" t="e">
        <v>#N/A</v>
      </c>
      <c r="FIN31" t="e">
        <v>#N/A</v>
      </c>
      <c r="FIO31" t="e">
        <v>#N/A</v>
      </c>
      <c r="FIP31" t="e">
        <v>#N/A</v>
      </c>
      <c r="FIQ31" t="e">
        <v>#N/A</v>
      </c>
      <c r="FIR31" t="e">
        <v>#N/A</v>
      </c>
      <c r="FIS31" t="e">
        <v>#N/A</v>
      </c>
      <c r="FIT31" t="e">
        <v>#N/A</v>
      </c>
      <c r="FIU31" t="e">
        <v>#N/A</v>
      </c>
      <c r="FIV31" t="e">
        <v>#N/A</v>
      </c>
      <c r="FIW31" t="e">
        <v>#N/A</v>
      </c>
      <c r="FIX31" t="e">
        <v>#N/A</v>
      </c>
      <c r="FIY31" t="e">
        <v>#N/A</v>
      </c>
      <c r="FIZ31" t="e">
        <v>#N/A</v>
      </c>
      <c r="FJA31" t="e">
        <v>#N/A</v>
      </c>
      <c r="FJB31" t="e">
        <v>#N/A</v>
      </c>
      <c r="FJC31" t="e">
        <v>#N/A</v>
      </c>
      <c r="FJD31" t="e">
        <v>#N/A</v>
      </c>
      <c r="FJE31" t="e">
        <v>#N/A</v>
      </c>
      <c r="FJF31" t="e">
        <v>#N/A</v>
      </c>
      <c r="FJG31" t="e">
        <v>#N/A</v>
      </c>
      <c r="FJH31" t="e">
        <v>#N/A</v>
      </c>
      <c r="FJI31" t="e">
        <v>#N/A</v>
      </c>
      <c r="FJJ31" t="e">
        <v>#N/A</v>
      </c>
      <c r="FJK31" t="e">
        <v>#N/A</v>
      </c>
      <c r="FJL31" t="e">
        <v>#N/A</v>
      </c>
      <c r="FJM31" t="e">
        <v>#N/A</v>
      </c>
      <c r="FJN31" t="e">
        <v>#N/A</v>
      </c>
      <c r="FJO31" t="e">
        <v>#N/A</v>
      </c>
      <c r="FJP31" t="e">
        <v>#N/A</v>
      </c>
      <c r="FJQ31" t="e">
        <v>#N/A</v>
      </c>
      <c r="FJR31" t="e">
        <v>#N/A</v>
      </c>
      <c r="FJS31" t="e">
        <v>#N/A</v>
      </c>
      <c r="FJT31" t="e">
        <v>#N/A</v>
      </c>
      <c r="FJU31" t="e">
        <v>#N/A</v>
      </c>
      <c r="FJV31" t="e">
        <v>#N/A</v>
      </c>
      <c r="FJW31" t="e">
        <v>#N/A</v>
      </c>
      <c r="FJX31" t="e">
        <v>#N/A</v>
      </c>
      <c r="FJY31" t="e">
        <v>#N/A</v>
      </c>
      <c r="FJZ31" t="e">
        <v>#N/A</v>
      </c>
      <c r="FKA31" t="e">
        <v>#N/A</v>
      </c>
      <c r="FKB31" t="e">
        <v>#N/A</v>
      </c>
      <c r="FKC31" t="e">
        <v>#N/A</v>
      </c>
      <c r="FKD31" t="e">
        <v>#N/A</v>
      </c>
      <c r="FKE31" t="e">
        <v>#N/A</v>
      </c>
      <c r="FKF31" t="e">
        <v>#N/A</v>
      </c>
      <c r="FKG31" t="e">
        <v>#N/A</v>
      </c>
      <c r="FKH31" t="e">
        <v>#N/A</v>
      </c>
      <c r="FKI31" t="e">
        <v>#N/A</v>
      </c>
      <c r="FKJ31" t="e">
        <v>#N/A</v>
      </c>
      <c r="FKK31" t="e">
        <v>#N/A</v>
      </c>
      <c r="FKL31" t="e">
        <v>#N/A</v>
      </c>
      <c r="FKM31" t="e">
        <v>#N/A</v>
      </c>
      <c r="FKN31" t="e">
        <v>#N/A</v>
      </c>
      <c r="FKO31" t="e">
        <v>#N/A</v>
      </c>
      <c r="FKP31" t="e">
        <v>#N/A</v>
      </c>
      <c r="FKQ31" t="e">
        <v>#N/A</v>
      </c>
      <c r="FKR31" t="e">
        <v>#N/A</v>
      </c>
      <c r="FKS31" t="e">
        <v>#N/A</v>
      </c>
      <c r="FKT31" t="e">
        <v>#N/A</v>
      </c>
      <c r="FKU31" t="e">
        <v>#N/A</v>
      </c>
      <c r="FKV31" t="e">
        <v>#N/A</v>
      </c>
      <c r="FKW31" t="e">
        <v>#N/A</v>
      </c>
      <c r="FKX31" t="e">
        <v>#N/A</v>
      </c>
      <c r="FKY31" t="e">
        <v>#N/A</v>
      </c>
      <c r="FKZ31" t="e">
        <v>#N/A</v>
      </c>
      <c r="FLA31" t="e">
        <v>#N/A</v>
      </c>
      <c r="FLB31" t="e">
        <v>#N/A</v>
      </c>
      <c r="FLC31" t="e">
        <v>#N/A</v>
      </c>
      <c r="FLD31" t="e">
        <v>#N/A</v>
      </c>
      <c r="FLE31" t="e">
        <v>#N/A</v>
      </c>
      <c r="FLF31" t="e">
        <v>#N/A</v>
      </c>
      <c r="FLG31" t="e">
        <v>#N/A</v>
      </c>
      <c r="FLH31" t="e">
        <v>#N/A</v>
      </c>
      <c r="FLI31" t="e">
        <v>#N/A</v>
      </c>
      <c r="FLJ31" t="e">
        <v>#N/A</v>
      </c>
      <c r="FLK31" t="e">
        <v>#N/A</v>
      </c>
      <c r="FLL31" t="e">
        <v>#N/A</v>
      </c>
      <c r="FLM31" t="e">
        <v>#N/A</v>
      </c>
      <c r="FLN31" t="e">
        <v>#N/A</v>
      </c>
      <c r="FLO31" t="e">
        <v>#N/A</v>
      </c>
      <c r="FLP31" t="e">
        <v>#N/A</v>
      </c>
      <c r="FLQ31" t="e">
        <v>#N/A</v>
      </c>
      <c r="FLR31" t="e">
        <v>#N/A</v>
      </c>
      <c r="FLS31" t="e">
        <v>#N/A</v>
      </c>
      <c r="FLT31" t="e">
        <v>#N/A</v>
      </c>
      <c r="FLU31" t="e">
        <v>#N/A</v>
      </c>
      <c r="FLV31" t="e">
        <v>#N/A</v>
      </c>
      <c r="FLW31" t="e">
        <v>#N/A</v>
      </c>
      <c r="FLX31" t="e">
        <v>#N/A</v>
      </c>
      <c r="FLY31" t="e">
        <v>#N/A</v>
      </c>
      <c r="FLZ31" t="e">
        <v>#N/A</v>
      </c>
      <c r="FMA31" t="e">
        <v>#N/A</v>
      </c>
      <c r="FMB31" t="e">
        <v>#N/A</v>
      </c>
      <c r="FMC31" t="e">
        <v>#N/A</v>
      </c>
      <c r="FMD31" t="e">
        <v>#N/A</v>
      </c>
      <c r="FME31" t="e">
        <v>#N/A</v>
      </c>
      <c r="FMF31" t="e">
        <v>#N/A</v>
      </c>
      <c r="FMG31" t="e">
        <v>#N/A</v>
      </c>
      <c r="FMH31" t="e">
        <v>#N/A</v>
      </c>
      <c r="FMI31" t="e">
        <v>#N/A</v>
      </c>
      <c r="FMJ31" t="e">
        <v>#N/A</v>
      </c>
      <c r="FMK31" t="e">
        <v>#N/A</v>
      </c>
      <c r="FML31" t="e">
        <v>#N/A</v>
      </c>
      <c r="FMM31" t="e">
        <v>#N/A</v>
      </c>
      <c r="FMN31" t="e">
        <v>#N/A</v>
      </c>
      <c r="FMO31" t="e">
        <v>#N/A</v>
      </c>
      <c r="FMP31" t="e">
        <v>#N/A</v>
      </c>
      <c r="FMQ31" t="e">
        <v>#N/A</v>
      </c>
      <c r="FMR31" t="e">
        <v>#N/A</v>
      </c>
      <c r="FMS31" t="e">
        <v>#N/A</v>
      </c>
      <c r="FMT31" t="e">
        <v>#N/A</v>
      </c>
      <c r="FMU31" t="e">
        <v>#N/A</v>
      </c>
      <c r="FMV31" t="e">
        <v>#N/A</v>
      </c>
      <c r="FMW31" t="e">
        <v>#N/A</v>
      </c>
      <c r="FMX31" t="e">
        <v>#N/A</v>
      </c>
      <c r="FMY31" t="e">
        <v>#N/A</v>
      </c>
      <c r="FMZ31" t="e">
        <v>#N/A</v>
      </c>
      <c r="FNA31" t="e">
        <v>#N/A</v>
      </c>
      <c r="FNB31" t="e">
        <v>#N/A</v>
      </c>
      <c r="FNC31" t="e">
        <v>#N/A</v>
      </c>
      <c r="FND31" t="e">
        <v>#N/A</v>
      </c>
      <c r="FNE31" t="e">
        <v>#N/A</v>
      </c>
      <c r="FNF31" t="e">
        <v>#N/A</v>
      </c>
      <c r="FNG31" t="e">
        <v>#N/A</v>
      </c>
      <c r="FNH31" t="e">
        <v>#N/A</v>
      </c>
      <c r="FNI31" t="e">
        <v>#N/A</v>
      </c>
      <c r="FNJ31" t="e">
        <v>#N/A</v>
      </c>
      <c r="FNK31" t="e">
        <v>#N/A</v>
      </c>
      <c r="FNL31" t="e">
        <v>#N/A</v>
      </c>
      <c r="FNM31" t="e">
        <v>#N/A</v>
      </c>
      <c r="FNN31" t="e">
        <v>#N/A</v>
      </c>
      <c r="FNO31" t="e">
        <v>#N/A</v>
      </c>
      <c r="FNP31" t="e">
        <v>#N/A</v>
      </c>
      <c r="FNQ31" t="e">
        <v>#N/A</v>
      </c>
      <c r="FNR31" t="e">
        <v>#N/A</v>
      </c>
      <c r="FNS31" t="e">
        <v>#N/A</v>
      </c>
      <c r="FNT31" t="e">
        <v>#N/A</v>
      </c>
      <c r="FNU31" t="e">
        <v>#N/A</v>
      </c>
      <c r="FNV31" t="e">
        <v>#N/A</v>
      </c>
      <c r="FNW31" t="e">
        <v>#N/A</v>
      </c>
      <c r="FNX31" t="e">
        <v>#N/A</v>
      </c>
      <c r="FNY31" t="e">
        <v>#N/A</v>
      </c>
      <c r="FNZ31" t="e">
        <v>#N/A</v>
      </c>
      <c r="FOA31" t="e">
        <v>#N/A</v>
      </c>
      <c r="FOB31" t="e">
        <v>#N/A</v>
      </c>
      <c r="FOC31" t="e">
        <v>#N/A</v>
      </c>
      <c r="FOD31" t="e">
        <v>#N/A</v>
      </c>
      <c r="FOE31" t="e">
        <v>#N/A</v>
      </c>
      <c r="FOF31" t="e">
        <v>#N/A</v>
      </c>
      <c r="FOG31" t="e">
        <v>#N/A</v>
      </c>
      <c r="FOH31" t="e">
        <v>#N/A</v>
      </c>
      <c r="FOI31" t="e">
        <v>#N/A</v>
      </c>
      <c r="FOJ31" t="e">
        <v>#N/A</v>
      </c>
      <c r="FOK31" t="e">
        <v>#N/A</v>
      </c>
      <c r="FOL31" t="e">
        <v>#N/A</v>
      </c>
      <c r="FOM31" t="e">
        <v>#N/A</v>
      </c>
      <c r="FON31" t="e">
        <v>#N/A</v>
      </c>
      <c r="FOO31" t="e">
        <v>#N/A</v>
      </c>
      <c r="FOP31" t="e">
        <v>#N/A</v>
      </c>
      <c r="FOQ31" t="e">
        <v>#N/A</v>
      </c>
      <c r="FOR31" t="e">
        <v>#N/A</v>
      </c>
      <c r="FOS31" t="e">
        <v>#N/A</v>
      </c>
      <c r="FOT31" t="e">
        <v>#N/A</v>
      </c>
      <c r="FOU31" t="e">
        <v>#N/A</v>
      </c>
      <c r="FOV31" t="e">
        <v>#N/A</v>
      </c>
      <c r="FOW31" t="e">
        <v>#N/A</v>
      </c>
      <c r="FOX31" t="e">
        <v>#N/A</v>
      </c>
      <c r="FOY31" t="e">
        <v>#N/A</v>
      </c>
      <c r="FOZ31" t="e">
        <v>#N/A</v>
      </c>
      <c r="FPA31" t="e">
        <v>#N/A</v>
      </c>
      <c r="FPB31" t="e">
        <v>#N/A</v>
      </c>
      <c r="FPC31" t="e">
        <v>#N/A</v>
      </c>
      <c r="FPD31" t="e">
        <v>#N/A</v>
      </c>
      <c r="FPE31" t="e">
        <v>#N/A</v>
      </c>
      <c r="FPF31" t="e">
        <v>#N/A</v>
      </c>
      <c r="FPG31" t="e">
        <v>#N/A</v>
      </c>
      <c r="FPH31" t="e">
        <v>#N/A</v>
      </c>
      <c r="FPI31" t="e">
        <v>#N/A</v>
      </c>
      <c r="FPJ31" t="e">
        <v>#N/A</v>
      </c>
      <c r="FPK31" t="e">
        <v>#N/A</v>
      </c>
      <c r="FPL31" t="e">
        <v>#N/A</v>
      </c>
      <c r="FPM31" t="e">
        <v>#N/A</v>
      </c>
      <c r="FPN31" t="e">
        <v>#N/A</v>
      </c>
      <c r="FPO31" t="e">
        <v>#N/A</v>
      </c>
      <c r="FPP31" t="e">
        <v>#N/A</v>
      </c>
      <c r="FPQ31" t="e">
        <v>#N/A</v>
      </c>
      <c r="FPR31" t="e">
        <v>#N/A</v>
      </c>
      <c r="FPS31" t="e">
        <v>#N/A</v>
      </c>
      <c r="FPT31" t="e">
        <v>#N/A</v>
      </c>
      <c r="FPU31" t="e">
        <v>#N/A</v>
      </c>
      <c r="FPV31" t="e">
        <v>#N/A</v>
      </c>
      <c r="FPW31" t="e">
        <v>#N/A</v>
      </c>
      <c r="FPX31" t="e">
        <v>#N/A</v>
      </c>
      <c r="FPY31" t="e">
        <v>#N/A</v>
      </c>
      <c r="FPZ31" t="e">
        <v>#N/A</v>
      </c>
      <c r="FQA31" t="e">
        <v>#N/A</v>
      </c>
      <c r="FQB31" t="e">
        <v>#N/A</v>
      </c>
      <c r="FQC31" t="e">
        <v>#N/A</v>
      </c>
      <c r="FQD31" t="e">
        <v>#N/A</v>
      </c>
      <c r="FQE31" t="e">
        <v>#N/A</v>
      </c>
      <c r="FQF31" t="e">
        <v>#N/A</v>
      </c>
      <c r="FQG31" t="e">
        <v>#N/A</v>
      </c>
      <c r="FQH31" t="e">
        <v>#N/A</v>
      </c>
      <c r="FQI31" t="e">
        <v>#N/A</v>
      </c>
      <c r="FQJ31" t="e">
        <v>#N/A</v>
      </c>
      <c r="FQK31" t="e">
        <v>#N/A</v>
      </c>
      <c r="FQL31" t="e">
        <v>#N/A</v>
      </c>
      <c r="FQM31" t="e">
        <v>#N/A</v>
      </c>
      <c r="FQN31" t="e">
        <v>#N/A</v>
      </c>
      <c r="FQO31" t="e">
        <v>#N/A</v>
      </c>
      <c r="FQP31" t="e">
        <v>#N/A</v>
      </c>
      <c r="FQQ31" t="e">
        <v>#N/A</v>
      </c>
      <c r="FQR31" t="e">
        <v>#N/A</v>
      </c>
      <c r="FQS31" t="e">
        <v>#N/A</v>
      </c>
      <c r="FQT31" t="e">
        <v>#N/A</v>
      </c>
      <c r="FQU31" t="e">
        <v>#N/A</v>
      </c>
      <c r="FQV31" t="e">
        <v>#N/A</v>
      </c>
      <c r="FQW31" t="e">
        <v>#N/A</v>
      </c>
      <c r="FQX31" t="e">
        <v>#N/A</v>
      </c>
      <c r="FQY31" t="e">
        <v>#N/A</v>
      </c>
      <c r="FQZ31" t="e">
        <v>#N/A</v>
      </c>
      <c r="FRA31" t="e">
        <v>#N/A</v>
      </c>
      <c r="FRB31" t="e">
        <v>#N/A</v>
      </c>
      <c r="FRC31" t="e">
        <v>#N/A</v>
      </c>
      <c r="FRD31" t="e">
        <v>#N/A</v>
      </c>
      <c r="FRE31" t="e">
        <v>#N/A</v>
      </c>
      <c r="FRF31" t="e">
        <v>#N/A</v>
      </c>
      <c r="FRG31" t="e">
        <v>#N/A</v>
      </c>
      <c r="FRH31" t="e">
        <v>#N/A</v>
      </c>
      <c r="FRI31" t="e">
        <v>#N/A</v>
      </c>
      <c r="FRJ31" t="e">
        <v>#N/A</v>
      </c>
      <c r="FRK31" t="e">
        <v>#N/A</v>
      </c>
      <c r="FRL31" t="e">
        <v>#N/A</v>
      </c>
      <c r="FRM31" t="e">
        <v>#N/A</v>
      </c>
      <c r="FRN31" t="e">
        <v>#N/A</v>
      </c>
      <c r="FRO31" t="e">
        <v>#N/A</v>
      </c>
      <c r="FRP31" t="e">
        <v>#N/A</v>
      </c>
      <c r="FRQ31" t="e">
        <v>#N/A</v>
      </c>
      <c r="FRR31" t="e">
        <v>#N/A</v>
      </c>
      <c r="FRS31" t="e">
        <v>#N/A</v>
      </c>
      <c r="FRT31" t="e">
        <v>#N/A</v>
      </c>
      <c r="FRU31" t="e">
        <v>#N/A</v>
      </c>
      <c r="FRV31" t="e">
        <v>#N/A</v>
      </c>
      <c r="FRW31" t="e">
        <v>#N/A</v>
      </c>
      <c r="FRX31" t="e">
        <v>#N/A</v>
      </c>
      <c r="FRY31" t="e">
        <v>#N/A</v>
      </c>
      <c r="FRZ31" t="e">
        <v>#N/A</v>
      </c>
      <c r="FSA31" t="e">
        <v>#N/A</v>
      </c>
      <c r="FSB31" t="e">
        <v>#N/A</v>
      </c>
      <c r="FSC31" t="e">
        <v>#N/A</v>
      </c>
      <c r="FSD31" t="e">
        <v>#N/A</v>
      </c>
      <c r="FSE31" t="e">
        <v>#N/A</v>
      </c>
      <c r="FSF31" t="e">
        <v>#N/A</v>
      </c>
      <c r="FSG31" t="e">
        <v>#N/A</v>
      </c>
      <c r="FSH31" t="e">
        <v>#N/A</v>
      </c>
      <c r="FSI31" t="e">
        <v>#N/A</v>
      </c>
      <c r="FSJ31" t="e">
        <v>#N/A</v>
      </c>
      <c r="FSK31" t="e">
        <v>#N/A</v>
      </c>
      <c r="FSL31" t="e">
        <v>#N/A</v>
      </c>
      <c r="FSM31" t="e">
        <v>#N/A</v>
      </c>
      <c r="FSN31" t="e">
        <v>#N/A</v>
      </c>
      <c r="FSO31" t="e">
        <v>#N/A</v>
      </c>
      <c r="FSP31" t="e">
        <v>#N/A</v>
      </c>
      <c r="FSQ31" t="e">
        <v>#N/A</v>
      </c>
      <c r="FSR31" t="e">
        <v>#N/A</v>
      </c>
      <c r="FSS31" t="e">
        <v>#N/A</v>
      </c>
      <c r="FST31" t="e">
        <v>#N/A</v>
      </c>
      <c r="FSU31" t="e">
        <v>#N/A</v>
      </c>
      <c r="FSV31" t="e">
        <v>#N/A</v>
      </c>
      <c r="FSW31" t="e">
        <v>#N/A</v>
      </c>
      <c r="FSX31" t="e">
        <v>#N/A</v>
      </c>
      <c r="FSY31" t="e">
        <v>#N/A</v>
      </c>
      <c r="FSZ31" t="e">
        <v>#N/A</v>
      </c>
      <c r="FTA31" t="e">
        <v>#N/A</v>
      </c>
      <c r="FTB31" t="e">
        <v>#N/A</v>
      </c>
      <c r="FTC31" t="e">
        <v>#N/A</v>
      </c>
      <c r="FTD31" t="e">
        <v>#N/A</v>
      </c>
      <c r="FTE31" t="e">
        <v>#N/A</v>
      </c>
      <c r="FTF31" t="e">
        <v>#N/A</v>
      </c>
      <c r="FTG31" t="e">
        <v>#N/A</v>
      </c>
      <c r="FTH31" t="e">
        <v>#N/A</v>
      </c>
      <c r="FTI31" t="e">
        <v>#N/A</v>
      </c>
      <c r="FTJ31" t="e">
        <v>#N/A</v>
      </c>
      <c r="FTK31" t="e">
        <v>#N/A</v>
      </c>
      <c r="FTL31" t="e">
        <v>#N/A</v>
      </c>
      <c r="FTM31" t="e">
        <v>#N/A</v>
      </c>
      <c r="FTN31" t="e">
        <v>#N/A</v>
      </c>
      <c r="FTO31" t="e">
        <v>#N/A</v>
      </c>
      <c r="FTP31" t="e">
        <v>#N/A</v>
      </c>
      <c r="FTQ31" t="e">
        <v>#N/A</v>
      </c>
      <c r="FTR31" t="e">
        <v>#N/A</v>
      </c>
      <c r="FTS31" t="e">
        <v>#N/A</v>
      </c>
      <c r="FTT31" t="e">
        <v>#N/A</v>
      </c>
      <c r="FTU31" t="e">
        <v>#N/A</v>
      </c>
      <c r="FTV31" t="e">
        <v>#N/A</v>
      </c>
      <c r="FTW31" t="e">
        <v>#N/A</v>
      </c>
      <c r="FTX31" t="e">
        <v>#N/A</v>
      </c>
      <c r="FTY31" t="e">
        <v>#N/A</v>
      </c>
      <c r="FTZ31" t="e">
        <v>#N/A</v>
      </c>
      <c r="FUA31" t="e">
        <v>#N/A</v>
      </c>
      <c r="FUB31" t="e">
        <v>#N/A</v>
      </c>
      <c r="FUC31" t="e">
        <v>#N/A</v>
      </c>
      <c r="FUD31" t="e">
        <v>#N/A</v>
      </c>
      <c r="FUE31" t="e">
        <v>#N/A</v>
      </c>
      <c r="FUF31" t="e">
        <v>#N/A</v>
      </c>
      <c r="FUG31" t="e">
        <v>#N/A</v>
      </c>
      <c r="FUH31" t="e">
        <v>#N/A</v>
      </c>
      <c r="FUI31" t="e">
        <v>#N/A</v>
      </c>
      <c r="FUJ31" t="e">
        <v>#N/A</v>
      </c>
      <c r="FUK31" t="e">
        <v>#N/A</v>
      </c>
      <c r="FUL31" t="e">
        <v>#N/A</v>
      </c>
      <c r="FUM31" t="e">
        <v>#N/A</v>
      </c>
      <c r="FUN31" t="e">
        <v>#N/A</v>
      </c>
      <c r="FUO31" t="e">
        <v>#N/A</v>
      </c>
      <c r="FUP31" t="e">
        <v>#N/A</v>
      </c>
      <c r="FUQ31" t="e">
        <v>#N/A</v>
      </c>
      <c r="FUR31" t="e">
        <v>#N/A</v>
      </c>
      <c r="FUS31" t="e">
        <v>#N/A</v>
      </c>
      <c r="FUT31" t="e">
        <v>#N/A</v>
      </c>
      <c r="FUU31" t="e">
        <v>#N/A</v>
      </c>
      <c r="FUV31" t="e">
        <v>#N/A</v>
      </c>
      <c r="FUW31" t="e">
        <v>#N/A</v>
      </c>
      <c r="FUX31" t="e">
        <v>#N/A</v>
      </c>
      <c r="FUY31" t="e">
        <v>#N/A</v>
      </c>
      <c r="FUZ31" t="e">
        <v>#N/A</v>
      </c>
      <c r="FVA31" t="e">
        <v>#N/A</v>
      </c>
      <c r="FVB31" t="e">
        <v>#N/A</v>
      </c>
      <c r="FVC31" t="e">
        <v>#N/A</v>
      </c>
      <c r="FVD31" t="e">
        <v>#N/A</v>
      </c>
      <c r="FVE31" t="e">
        <v>#N/A</v>
      </c>
      <c r="FVF31" t="e">
        <v>#N/A</v>
      </c>
      <c r="FVG31" t="e">
        <v>#N/A</v>
      </c>
      <c r="FVH31" t="e">
        <v>#N/A</v>
      </c>
      <c r="FVI31" t="e">
        <v>#N/A</v>
      </c>
      <c r="FVJ31" t="e">
        <v>#N/A</v>
      </c>
      <c r="FVK31" t="e">
        <v>#N/A</v>
      </c>
      <c r="FVL31" t="e">
        <v>#N/A</v>
      </c>
      <c r="FVM31" t="e">
        <v>#N/A</v>
      </c>
      <c r="FVN31" t="e">
        <v>#N/A</v>
      </c>
      <c r="FVO31" t="e">
        <v>#N/A</v>
      </c>
      <c r="FVP31" t="e">
        <v>#N/A</v>
      </c>
      <c r="FVQ31" t="e">
        <v>#N/A</v>
      </c>
      <c r="FVR31" t="e">
        <v>#N/A</v>
      </c>
      <c r="FVS31" t="e">
        <v>#N/A</v>
      </c>
      <c r="FVT31" t="e">
        <v>#N/A</v>
      </c>
      <c r="FVU31" t="e">
        <v>#N/A</v>
      </c>
      <c r="FVV31" t="e">
        <v>#N/A</v>
      </c>
      <c r="FVW31" t="e">
        <v>#N/A</v>
      </c>
      <c r="FVX31" t="e">
        <v>#N/A</v>
      </c>
      <c r="FVY31" t="e">
        <v>#N/A</v>
      </c>
      <c r="FVZ31" t="e">
        <v>#N/A</v>
      </c>
      <c r="FWA31" t="e">
        <v>#N/A</v>
      </c>
      <c r="FWB31" t="e">
        <v>#N/A</v>
      </c>
      <c r="FWC31" t="e">
        <v>#N/A</v>
      </c>
      <c r="FWD31" t="e">
        <v>#N/A</v>
      </c>
      <c r="FWE31" t="e">
        <v>#N/A</v>
      </c>
      <c r="FWF31" t="e">
        <v>#N/A</v>
      </c>
      <c r="FWG31" t="e">
        <v>#N/A</v>
      </c>
      <c r="FWH31" t="e">
        <v>#N/A</v>
      </c>
      <c r="FWI31" t="e">
        <v>#N/A</v>
      </c>
      <c r="FWJ31" t="e">
        <v>#N/A</v>
      </c>
      <c r="FWK31" t="e">
        <v>#N/A</v>
      </c>
      <c r="FWL31" t="e">
        <v>#N/A</v>
      </c>
      <c r="FWM31" t="e">
        <v>#N/A</v>
      </c>
      <c r="FWN31" t="e">
        <v>#N/A</v>
      </c>
      <c r="FWO31" t="e">
        <v>#N/A</v>
      </c>
      <c r="FWP31" t="e">
        <v>#N/A</v>
      </c>
      <c r="FWQ31" t="e">
        <v>#N/A</v>
      </c>
      <c r="FWR31" t="e">
        <v>#N/A</v>
      </c>
      <c r="FWS31" t="e">
        <v>#N/A</v>
      </c>
      <c r="FWT31" t="e">
        <v>#N/A</v>
      </c>
      <c r="FWU31" t="e">
        <v>#N/A</v>
      </c>
      <c r="FWV31" t="e">
        <v>#N/A</v>
      </c>
      <c r="FWW31" t="e">
        <v>#N/A</v>
      </c>
      <c r="FWX31" t="e">
        <v>#N/A</v>
      </c>
      <c r="FWY31" t="e">
        <v>#N/A</v>
      </c>
      <c r="FWZ31" t="e">
        <v>#N/A</v>
      </c>
      <c r="FXA31" t="e">
        <v>#N/A</v>
      </c>
      <c r="FXB31" t="e">
        <v>#N/A</v>
      </c>
      <c r="FXC31" t="e">
        <v>#N/A</v>
      </c>
      <c r="FXD31" t="e">
        <v>#N/A</v>
      </c>
      <c r="FXE31" t="e">
        <v>#N/A</v>
      </c>
      <c r="FXF31" t="e">
        <v>#N/A</v>
      </c>
      <c r="FXG31" t="e">
        <v>#N/A</v>
      </c>
      <c r="FXH31" t="e">
        <v>#N/A</v>
      </c>
      <c r="FXI31" t="e">
        <v>#N/A</v>
      </c>
      <c r="FXJ31" t="e">
        <v>#N/A</v>
      </c>
      <c r="FXK31" t="e">
        <v>#N/A</v>
      </c>
      <c r="FXL31" t="e">
        <v>#N/A</v>
      </c>
      <c r="FXM31" t="e">
        <v>#N/A</v>
      </c>
      <c r="FXN31" t="e">
        <v>#N/A</v>
      </c>
      <c r="FXO31" t="e">
        <v>#N/A</v>
      </c>
      <c r="FXP31" t="e">
        <v>#N/A</v>
      </c>
      <c r="FXQ31" t="e">
        <v>#N/A</v>
      </c>
      <c r="FXR31" t="e">
        <v>#N/A</v>
      </c>
      <c r="FXS31" t="e">
        <v>#N/A</v>
      </c>
      <c r="FXT31" t="e">
        <v>#N/A</v>
      </c>
      <c r="FXU31" t="e">
        <v>#N/A</v>
      </c>
      <c r="FXV31" t="e">
        <v>#N/A</v>
      </c>
      <c r="FXW31" t="e">
        <v>#N/A</v>
      </c>
      <c r="FXX31" t="e">
        <v>#N/A</v>
      </c>
      <c r="FXY31" t="e">
        <v>#N/A</v>
      </c>
      <c r="FXZ31" t="e">
        <v>#N/A</v>
      </c>
      <c r="FYA31" t="e">
        <v>#N/A</v>
      </c>
      <c r="FYB31" t="e">
        <v>#N/A</v>
      </c>
      <c r="FYC31" t="e">
        <v>#N/A</v>
      </c>
      <c r="FYD31" t="e">
        <v>#N/A</v>
      </c>
      <c r="FYE31" t="e">
        <v>#N/A</v>
      </c>
      <c r="FYF31" t="e">
        <v>#N/A</v>
      </c>
      <c r="FYG31" t="e">
        <v>#N/A</v>
      </c>
      <c r="FYH31" t="e">
        <v>#N/A</v>
      </c>
      <c r="FYI31" t="e">
        <v>#N/A</v>
      </c>
      <c r="FYJ31" t="e">
        <v>#N/A</v>
      </c>
      <c r="FYK31" t="e">
        <v>#N/A</v>
      </c>
      <c r="FYL31" t="e">
        <v>#N/A</v>
      </c>
      <c r="FYM31" t="e">
        <v>#N/A</v>
      </c>
      <c r="FYN31" t="e">
        <v>#N/A</v>
      </c>
      <c r="FYO31" t="e">
        <v>#N/A</v>
      </c>
      <c r="FYP31" t="e">
        <v>#N/A</v>
      </c>
      <c r="FYQ31" t="e">
        <v>#N/A</v>
      </c>
      <c r="FYR31" t="e">
        <v>#N/A</v>
      </c>
      <c r="FYS31" t="e">
        <v>#N/A</v>
      </c>
      <c r="FYT31" t="e">
        <v>#N/A</v>
      </c>
      <c r="FYU31" t="e">
        <v>#N/A</v>
      </c>
      <c r="FYV31" t="e">
        <v>#N/A</v>
      </c>
      <c r="FYW31" t="e">
        <v>#N/A</v>
      </c>
      <c r="FYX31" t="e">
        <v>#N/A</v>
      </c>
      <c r="FYY31" t="e">
        <v>#N/A</v>
      </c>
      <c r="FYZ31" t="e">
        <v>#N/A</v>
      </c>
      <c r="FZA31" t="e">
        <v>#N/A</v>
      </c>
      <c r="FZB31" t="e">
        <v>#N/A</v>
      </c>
      <c r="FZC31" t="e">
        <v>#N/A</v>
      </c>
      <c r="FZD31" t="e">
        <v>#N/A</v>
      </c>
      <c r="FZE31" t="e">
        <v>#N/A</v>
      </c>
      <c r="FZF31" t="e">
        <v>#N/A</v>
      </c>
      <c r="FZG31" t="e">
        <v>#N/A</v>
      </c>
      <c r="FZH31" t="e">
        <v>#N/A</v>
      </c>
      <c r="FZI31" t="e">
        <v>#N/A</v>
      </c>
      <c r="FZJ31" t="e">
        <v>#N/A</v>
      </c>
      <c r="FZK31" t="e">
        <v>#N/A</v>
      </c>
      <c r="FZL31" t="e">
        <v>#N/A</v>
      </c>
      <c r="FZM31" t="e">
        <v>#N/A</v>
      </c>
      <c r="FZN31" t="e">
        <v>#N/A</v>
      </c>
      <c r="FZO31" t="e">
        <v>#N/A</v>
      </c>
      <c r="FZP31" t="e">
        <v>#N/A</v>
      </c>
      <c r="FZQ31" t="e">
        <v>#N/A</v>
      </c>
      <c r="FZR31" t="e">
        <v>#N/A</v>
      </c>
      <c r="FZS31" t="e">
        <v>#N/A</v>
      </c>
      <c r="FZT31" t="e">
        <v>#N/A</v>
      </c>
      <c r="FZU31" t="e">
        <v>#N/A</v>
      </c>
      <c r="FZV31" t="e">
        <v>#N/A</v>
      </c>
      <c r="FZW31" t="e">
        <v>#N/A</v>
      </c>
      <c r="FZX31" t="e">
        <v>#N/A</v>
      </c>
      <c r="FZY31" t="e">
        <v>#N/A</v>
      </c>
      <c r="FZZ31" t="e">
        <v>#N/A</v>
      </c>
      <c r="GAA31" t="e">
        <v>#N/A</v>
      </c>
      <c r="GAB31" t="e">
        <v>#N/A</v>
      </c>
      <c r="GAC31" t="e">
        <v>#N/A</v>
      </c>
      <c r="GAD31" t="e">
        <v>#N/A</v>
      </c>
      <c r="GAE31" t="e">
        <v>#N/A</v>
      </c>
      <c r="GAF31" t="e">
        <v>#N/A</v>
      </c>
      <c r="GAG31" t="e">
        <v>#N/A</v>
      </c>
      <c r="GAH31" t="e">
        <v>#N/A</v>
      </c>
      <c r="GAI31" t="e">
        <v>#N/A</v>
      </c>
      <c r="GAJ31" t="e">
        <v>#N/A</v>
      </c>
      <c r="GAK31" t="e">
        <v>#N/A</v>
      </c>
      <c r="GAL31" t="e">
        <v>#N/A</v>
      </c>
      <c r="GAM31" t="e">
        <v>#N/A</v>
      </c>
      <c r="GAN31" t="e">
        <v>#N/A</v>
      </c>
      <c r="GAO31" t="e">
        <v>#N/A</v>
      </c>
      <c r="GAP31" t="e">
        <v>#N/A</v>
      </c>
      <c r="GAQ31" t="e">
        <v>#N/A</v>
      </c>
      <c r="GAR31" t="e">
        <v>#N/A</v>
      </c>
      <c r="GAS31" t="e">
        <v>#N/A</v>
      </c>
      <c r="GAT31" t="e">
        <v>#N/A</v>
      </c>
      <c r="GAU31" t="e">
        <v>#N/A</v>
      </c>
      <c r="GAV31" t="e">
        <v>#N/A</v>
      </c>
      <c r="GAW31" t="e">
        <v>#N/A</v>
      </c>
      <c r="GAX31" t="e">
        <v>#N/A</v>
      </c>
      <c r="GAY31" t="e">
        <v>#N/A</v>
      </c>
      <c r="GAZ31" t="e">
        <v>#N/A</v>
      </c>
      <c r="GBA31" t="e">
        <v>#N/A</v>
      </c>
      <c r="GBB31" t="e">
        <v>#N/A</v>
      </c>
      <c r="GBC31" t="e">
        <v>#N/A</v>
      </c>
      <c r="GBD31" t="e">
        <v>#N/A</v>
      </c>
      <c r="GBE31" t="e">
        <v>#N/A</v>
      </c>
      <c r="GBF31" t="e">
        <v>#N/A</v>
      </c>
      <c r="GBG31" t="e">
        <v>#N/A</v>
      </c>
      <c r="GBH31" t="e">
        <v>#N/A</v>
      </c>
      <c r="GBI31" t="e">
        <v>#N/A</v>
      </c>
      <c r="GBJ31" t="e">
        <v>#N/A</v>
      </c>
      <c r="GBK31" t="e">
        <v>#N/A</v>
      </c>
      <c r="GBL31" t="e">
        <v>#N/A</v>
      </c>
      <c r="GBM31" t="e">
        <v>#N/A</v>
      </c>
      <c r="GBN31" t="e">
        <v>#N/A</v>
      </c>
      <c r="GBO31" t="e">
        <v>#N/A</v>
      </c>
      <c r="GBP31" t="e">
        <v>#N/A</v>
      </c>
      <c r="GBQ31" t="e">
        <v>#N/A</v>
      </c>
      <c r="GBR31" t="e">
        <v>#N/A</v>
      </c>
      <c r="GBS31" t="e">
        <v>#N/A</v>
      </c>
      <c r="GBT31" t="e">
        <v>#N/A</v>
      </c>
      <c r="GBU31" t="e">
        <v>#N/A</v>
      </c>
      <c r="GBV31" t="e">
        <v>#N/A</v>
      </c>
      <c r="GBW31" t="e">
        <v>#N/A</v>
      </c>
      <c r="GBX31" t="e">
        <v>#N/A</v>
      </c>
      <c r="GBY31" t="e">
        <v>#N/A</v>
      </c>
      <c r="GBZ31" t="e">
        <v>#N/A</v>
      </c>
      <c r="GCA31" t="e">
        <v>#N/A</v>
      </c>
      <c r="GCB31" t="e">
        <v>#N/A</v>
      </c>
      <c r="GCC31" t="e">
        <v>#N/A</v>
      </c>
      <c r="GCD31" t="e">
        <v>#N/A</v>
      </c>
      <c r="GCE31" t="e">
        <v>#N/A</v>
      </c>
      <c r="GCF31" t="e">
        <v>#N/A</v>
      </c>
      <c r="GCG31" t="e">
        <v>#N/A</v>
      </c>
      <c r="GCH31" t="e">
        <v>#N/A</v>
      </c>
      <c r="GCI31" t="e">
        <v>#N/A</v>
      </c>
      <c r="GCJ31" t="e">
        <v>#N/A</v>
      </c>
      <c r="GCK31" t="e">
        <v>#N/A</v>
      </c>
      <c r="GCL31" t="e">
        <v>#N/A</v>
      </c>
      <c r="GCM31" t="e">
        <v>#N/A</v>
      </c>
      <c r="GCN31" t="e">
        <v>#N/A</v>
      </c>
      <c r="GCO31" t="e">
        <v>#N/A</v>
      </c>
      <c r="GCP31" t="e">
        <v>#N/A</v>
      </c>
      <c r="GCQ31" t="e">
        <v>#N/A</v>
      </c>
      <c r="GCR31" t="e">
        <v>#N/A</v>
      </c>
      <c r="GCS31" t="e">
        <v>#N/A</v>
      </c>
      <c r="GCT31" t="e">
        <v>#N/A</v>
      </c>
      <c r="GCU31" t="e">
        <v>#N/A</v>
      </c>
      <c r="GCV31" t="e">
        <v>#N/A</v>
      </c>
      <c r="GCW31" t="e">
        <v>#N/A</v>
      </c>
      <c r="GCX31" t="e">
        <v>#N/A</v>
      </c>
      <c r="GCY31" t="e">
        <v>#N/A</v>
      </c>
      <c r="GCZ31" t="e">
        <v>#N/A</v>
      </c>
      <c r="GDA31" t="e">
        <v>#N/A</v>
      </c>
      <c r="GDB31" t="e">
        <v>#N/A</v>
      </c>
      <c r="GDC31" t="e">
        <v>#N/A</v>
      </c>
      <c r="GDD31" t="e">
        <v>#N/A</v>
      </c>
      <c r="GDE31" t="e">
        <v>#N/A</v>
      </c>
      <c r="GDF31" t="e">
        <v>#N/A</v>
      </c>
      <c r="GDG31" t="e">
        <v>#N/A</v>
      </c>
      <c r="GDH31" t="e">
        <v>#N/A</v>
      </c>
      <c r="GDI31" t="e">
        <v>#N/A</v>
      </c>
      <c r="GDJ31" t="e">
        <v>#N/A</v>
      </c>
      <c r="GDK31" t="e">
        <v>#N/A</v>
      </c>
      <c r="GDL31" t="e">
        <v>#N/A</v>
      </c>
      <c r="GDM31" t="e">
        <v>#N/A</v>
      </c>
      <c r="GDN31" t="e">
        <v>#N/A</v>
      </c>
      <c r="GDO31" t="e">
        <v>#N/A</v>
      </c>
      <c r="GDP31" t="e">
        <v>#N/A</v>
      </c>
      <c r="GDQ31" t="e">
        <v>#N/A</v>
      </c>
      <c r="GDR31" t="e">
        <v>#N/A</v>
      </c>
      <c r="GDS31" t="e">
        <v>#N/A</v>
      </c>
      <c r="GDT31" t="e">
        <v>#N/A</v>
      </c>
      <c r="GDU31" t="e">
        <v>#N/A</v>
      </c>
      <c r="GDV31" t="e">
        <v>#N/A</v>
      </c>
      <c r="GDW31" t="e">
        <v>#N/A</v>
      </c>
      <c r="GDX31" t="e">
        <v>#N/A</v>
      </c>
      <c r="GDY31" t="e">
        <v>#N/A</v>
      </c>
      <c r="GDZ31" t="e">
        <v>#N/A</v>
      </c>
      <c r="GEA31" t="e">
        <v>#N/A</v>
      </c>
      <c r="GEB31" t="e">
        <v>#N/A</v>
      </c>
      <c r="GEC31" t="e">
        <v>#N/A</v>
      </c>
      <c r="GED31" t="e">
        <v>#N/A</v>
      </c>
      <c r="GEE31" t="e">
        <v>#N/A</v>
      </c>
      <c r="GEF31" t="e">
        <v>#N/A</v>
      </c>
      <c r="GEG31" t="e">
        <v>#N/A</v>
      </c>
      <c r="GEH31" t="e">
        <v>#N/A</v>
      </c>
      <c r="GEI31" t="e">
        <v>#N/A</v>
      </c>
      <c r="GEJ31" t="e">
        <v>#N/A</v>
      </c>
      <c r="GEK31" t="e">
        <v>#N/A</v>
      </c>
      <c r="GEL31" t="e">
        <v>#N/A</v>
      </c>
      <c r="GEM31" t="e">
        <v>#N/A</v>
      </c>
      <c r="GEN31" t="e">
        <v>#N/A</v>
      </c>
      <c r="GEO31" t="e">
        <v>#N/A</v>
      </c>
      <c r="GEP31" t="e">
        <v>#N/A</v>
      </c>
      <c r="GEQ31" t="e">
        <v>#N/A</v>
      </c>
      <c r="GER31" t="e">
        <v>#N/A</v>
      </c>
      <c r="GES31" t="e">
        <v>#N/A</v>
      </c>
      <c r="GET31" t="e">
        <v>#N/A</v>
      </c>
      <c r="GEU31" t="e">
        <v>#N/A</v>
      </c>
      <c r="GEV31" t="e">
        <v>#N/A</v>
      </c>
      <c r="GEW31" t="e">
        <v>#N/A</v>
      </c>
      <c r="GEX31" t="e">
        <v>#N/A</v>
      </c>
      <c r="GEY31" t="e">
        <v>#N/A</v>
      </c>
      <c r="GEZ31" t="e">
        <v>#N/A</v>
      </c>
      <c r="GFA31" t="e">
        <v>#N/A</v>
      </c>
      <c r="GFB31" t="e">
        <v>#N/A</v>
      </c>
      <c r="GFC31" t="e">
        <v>#N/A</v>
      </c>
      <c r="GFD31" t="e">
        <v>#N/A</v>
      </c>
      <c r="GFE31" t="e">
        <v>#N/A</v>
      </c>
      <c r="GFF31" t="e">
        <v>#N/A</v>
      </c>
      <c r="GFG31" t="e">
        <v>#N/A</v>
      </c>
      <c r="GFH31" t="e">
        <v>#N/A</v>
      </c>
      <c r="GFI31" t="e">
        <v>#N/A</v>
      </c>
      <c r="GFJ31" t="e">
        <v>#N/A</v>
      </c>
      <c r="GFK31" t="e">
        <v>#N/A</v>
      </c>
      <c r="GFL31" t="e">
        <v>#N/A</v>
      </c>
      <c r="GFM31" t="e">
        <v>#N/A</v>
      </c>
      <c r="GFN31" t="e">
        <v>#N/A</v>
      </c>
      <c r="GFO31" t="e">
        <v>#N/A</v>
      </c>
      <c r="GFP31" t="e">
        <v>#N/A</v>
      </c>
      <c r="GFQ31" t="e">
        <v>#N/A</v>
      </c>
      <c r="GFR31" t="e">
        <v>#N/A</v>
      </c>
      <c r="GFS31" t="e">
        <v>#N/A</v>
      </c>
      <c r="GFT31" t="e">
        <v>#N/A</v>
      </c>
      <c r="GFU31" t="e">
        <v>#N/A</v>
      </c>
      <c r="GFV31" t="e">
        <v>#N/A</v>
      </c>
      <c r="GFW31" t="e">
        <v>#N/A</v>
      </c>
      <c r="GFX31" t="e">
        <v>#N/A</v>
      </c>
      <c r="GFY31" t="e">
        <v>#N/A</v>
      </c>
      <c r="GFZ31" t="e">
        <v>#N/A</v>
      </c>
      <c r="GGA31" t="e">
        <v>#N/A</v>
      </c>
      <c r="GGB31" t="e">
        <v>#N/A</v>
      </c>
      <c r="GGC31" t="e">
        <v>#N/A</v>
      </c>
      <c r="GGD31" t="e">
        <v>#N/A</v>
      </c>
      <c r="GGE31" t="e">
        <v>#N/A</v>
      </c>
      <c r="GGF31" t="e">
        <v>#N/A</v>
      </c>
      <c r="GGG31" t="e">
        <v>#N/A</v>
      </c>
      <c r="GGH31" t="e">
        <v>#N/A</v>
      </c>
      <c r="GGI31" t="e">
        <v>#N/A</v>
      </c>
      <c r="GGJ31" t="e">
        <v>#N/A</v>
      </c>
      <c r="GGK31" t="e">
        <v>#N/A</v>
      </c>
      <c r="GGL31" t="e">
        <v>#N/A</v>
      </c>
      <c r="GGM31" t="e">
        <v>#N/A</v>
      </c>
      <c r="GGN31" t="e">
        <v>#N/A</v>
      </c>
      <c r="GGO31" t="e">
        <v>#N/A</v>
      </c>
      <c r="GGP31" t="e">
        <v>#N/A</v>
      </c>
      <c r="GGQ31" t="e">
        <v>#N/A</v>
      </c>
      <c r="GGR31" t="e">
        <v>#N/A</v>
      </c>
      <c r="GGS31" t="e">
        <v>#N/A</v>
      </c>
      <c r="GGT31" t="e">
        <v>#N/A</v>
      </c>
      <c r="GGU31" t="e">
        <v>#N/A</v>
      </c>
      <c r="GGV31" t="e">
        <v>#N/A</v>
      </c>
      <c r="GGW31" t="e">
        <v>#N/A</v>
      </c>
      <c r="GGX31" t="e">
        <v>#N/A</v>
      </c>
      <c r="GGY31" t="e">
        <v>#N/A</v>
      </c>
      <c r="GGZ31" t="e">
        <v>#N/A</v>
      </c>
      <c r="GHA31" t="e">
        <v>#N/A</v>
      </c>
      <c r="GHB31" t="e">
        <v>#N/A</v>
      </c>
      <c r="GHC31" t="e">
        <v>#N/A</v>
      </c>
      <c r="GHD31" t="e">
        <v>#N/A</v>
      </c>
      <c r="GHE31" t="e">
        <v>#N/A</v>
      </c>
      <c r="GHF31" t="e">
        <v>#N/A</v>
      </c>
      <c r="GHG31" t="e">
        <v>#N/A</v>
      </c>
      <c r="GHH31" t="e">
        <v>#N/A</v>
      </c>
      <c r="GHI31" t="e">
        <v>#N/A</v>
      </c>
      <c r="GHJ31" t="e">
        <v>#N/A</v>
      </c>
      <c r="GHK31" t="e">
        <v>#N/A</v>
      </c>
      <c r="GHL31" t="e">
        <v>#N/A</v>
      </c>
      <c r="GHM31" t="e">
        <v>#N/A</v>
      </c>
      <c r="GHN31" t="e">
        <v>#N/A</v>
      </c>
      <c r="GHO31" t="e">
        <v>#N/A</v>
      </c>
      <c r="GHP31" t="e">
        <v>#N/A</v>
      </c>
      <c r="GHQ31" t="e">
        <v>#N/A</v>
      </c>
      <c r="GHR31" t="e">
        <v>#N/A</v>
      </c>
      <c r="GHS31" t="e">
        <v>#N/A</v>
      </c>
      <c r="GHT31" t="e">
        <v>#N/A</v>
      </c>
      <c r="GHU31" t="e">
        <v>#N/A</v>
      </c>
      <c r="GHV31" t="e">
        <v>#N/A</v>
      </c>
      <c r="GHW31" t="e">
        <v>#N/A</v>
      </c>
      <c r="GHX31" t="e">
        <v>#N/A</v>
      </c>
      <c r="GHY31" t="e">
        <v>#N/A</v>
      </c>
      <c r="GHZ31" t="e">
        <v>#N/A</v>
      </c>
      <c r="GIA31" t="e">
        <v>#N/A</v>
      </c>
      <c r="GIB31" t="e">
        <v>#N/A</v>
      </c>
      <c r="GIC31" t="e">
        <v>#N/A</v>
      </c>
      <c r="GID31" t="e">
        <v>#N/A</v>
      </c>
      <c r="GIE31" t="e">
        <v>#N/A</v>
      </c>
      <c r="GIF31" t="e">
        <v>#N/A</v>
      </c>
      <c r="GIG31" t="e">
        <v>#N/A</v>
      </c>
      <c r="GIH31" t="e">
        <v>#N/A</v>
      </c>
      <c r="GII31" t="e">
        <v>#N/A</v>
      </c>
      <c r="GIJ31" t="e">
        <v>#N/A</v>
      </c>
      <c r="GIK31" t="e">
        <v>#N/A</v>
      </c>
      <c r="GIL31" t="e">
        <v>#N/A</v>
      </c>
      <c r="GIM31" t="e">
        <v>#N/A</v>
      </c>
      <c r="GIN31" t="e">
        <v>#N/A</v>
      </c>
      <c r="GIO31" t="e">
        <v>#N/A</v>
      </c>
      <c r="GIP31" t="e">
        <v>#N/A</v>
      </c>
      <c r="GIQ31" t="e">
        <v>#N/A</v>
      </c>
      <c r="GIR31" t="e">
        <v>#N/A</v>
      </c>
      <c r="GIS31" t="e">
        <v>#N/A</v>
      </c>
      <c r="GIT31" t="e">
        <v>#N/A</v>
      </c>
      <c r="GIU31" t="e">
        <v>#N/A</v>
      </c>
      <c r="GIV31" t="e">
        <v>#N/A</v>
      </c>
      <c r="GIW31" t="e">
        <v>#N/A</v>
      </c>
      <c r="GIX31" t="e">
        <v>#N/A</v>
      </c>
      <c r="GIY31" t="e">
        <v>#N/A</v>
      </c>
      <c r="GIZ31" t="e">
        <v>#N/A</v>
      </c>
      <c r="GJA31" t="e">
        <v>#N/A</v>
      </c>
      <c r="GJB31" t="e">
        <v>#N/A</v>
      </c>
      <c r="GJC31" t="e">
        <v>#N/A</v>
      </c>
      <c r="GJD31" t="e">
        <v>#N/A</v>
      </c>
      <c r="GJE31" t="e">
        <v>#N/A</v>
      </c>
      <c r="GJF31" t="e">
        <v>#N/A</v>
      </c>
      <c r="GJG31" t="e">
        <v>#N/A</v>
      </c>
      <c r="GJH31" t="e">
        <v>#N/A</v>
      </c>
      <c r="GJI31" t="e">
        <v>#N/A</v>
      </c>
      <c r="GJJ31" t="e">
        <v>#N/A</v>
      </c>
      <c r="GJK31" t="e">
        <v>#N/A</v>
      </c>
      <c r="GJL31" t="e">
        <v>#N/A</v>
      </c>
      <c r="GJM31" t="e">
        <v>#N/A</v>
      </c>
      <c r="GJN31" t="e">
        <v>#N/A</v>
      </c>
      <c r="GJO31" t="e">
        <v>#N/A</v>
      </c>
      <c r="GJP31" t="e">
        <v>#N/A</v>
      </c>
      <c r="GJQ31" t="e">
        <v>#N/A</v>
      </c>
      <c r="GJR31" t="e">
        <v>#N/A</v>
      </c>
      <c r="GJS31" t="e">
        <v>#N/A</v>
      </c>
      <c r="GJT31" t="e">
        <v>#N/A</v>
      </c>
      <c r="GJU31" t="e">
        <v>#N/A</v>
      </c>
      <c r="GJV31" t="e">
        <v>#N/A</v>
      </c>
      <c r="GJW31" t="e">
        <v>#N/A</v>
      </c>
      <c r="GJX31" t="e">
        <v>#N/A</v>
      </c>
      <c r="GJY31" t="e">
        <v>#N/A</v>
      </c>
      <c r="GJZ31" t="e">
        <v>#N/A</v>
      </c>
      <c r="GKA31" t="e">
        <v>#N/A</v>
      </c>
      <c r="GKB31" t="e">
        <v>#N/A</v>
      </c>
      <c r="GKC31" t="e">
        <v>#N/A</v>
      </c>
      <c r="GKD31" t="e">
        <v>#N/A</v>
      </c>
      <c r="GKE31" t="e">
        <v>#N/A</v>
      </c>
      <c r="GKF31" t="e">
        <v>#N/A</v>
      </c>
      <c r="GKG31" t="e">
        <v>#N/A</v>
      </c>
      <c r="GKH31" t="e">
        <v>#N/A</v>
      </c>
      <c r="GKI31" t="e">
        <v>#N/A</v>
      </c>
      <c r="GKJ31" t="e">
        <v>#N/A</v>
      </c>
      <c r="GKK31" t="e">
        <v>#N/A</v>
      </c>
      <c r="GKL31" t="e">
        <v>#N/A</v>
      </c>
      <c r="GKM31" t="e">
        <v>#N/A</v>
      </c>
      <c r="GKN31" t="e">
        <v>#N/A</v>
      </c>
      <c r="GKO31" t="e">
        <v>#N/A</v>
      </c>
      <c r="GKP31" t="e">
        <v>#N/A</v>
      </c>
      <c r="GKQ31" t="e">
        <v>#N/A</v>
      </c>
      <c r="GKR31" t="e">
        <v>#N/A</v>
      </c>
      <c r="GKS31" t="e">
        <v>#N/A</v>
      </c>
      <c r="GKT31" t="e">
        <v>#N/A</v>
      </c>
      <c r="GKU31" t="e">
        <v>#N/A</v>
      </c>
      <c r="GKV31" t="e">
        <v>#N/A</v>
      </c>
      <c r="GKW31" t="e">
        <v>#N/A</v>
      </c>
      <c r="GKX31" t="e">
        <v>#N/A</v>
      </c>
      <c r="GKY31" t="e">
        <v>#N/A</v>
      </c>
      <c r="GKZ31" t="e">
        <v>#N/A</v>
      </c>
      <c r="GLA31" t="e">
        <v>#N/A</v>
      </c>
      <c r="GLB31" t="e">
        <v>#N/A</v>
      </c>
      <c r="GLC31" t="e">
        <v>#N/A</v>
      </c>
      <c r="GLD31" t="e">
        <v>#N/A</v>
      </c>
      <c r="GLE31" t="e">
        <v>#N/A</v>
      </c>
      <c r="GLF31" t="e">
        <v>#N/A</v>
      </c>
      <c r="GLG31" t="e">
        <v>#N/A</v>
      </c>
      <c r="GLH31" t="e">
        <v>#N/A</v>
      </c>
      <c r="GLI31" t="e">
        <v>#N/A</v>
      </c>
      <c r="GLJ31" t="e">
        <v>#N/A</v>
      </c>
      <c r="GLK31" t="e">
        <v>#N/A</v>
      </c>
      <c r="GLL31" t="e">
        <v>#N/A</v>
      </c>
      <c r="GLM31" t="e">
        <v>#N/A</v>
      </c>
      <c r="GLN31" t="e">
        <v>#N/A</v>
      </c>
      <c r="GLO31" t="e">
        <v>#N/A</v>
      </c>
      <c r="GLP31" t="e">
        <v>#N/A</v>
      </c>
      <c r="GLQ31" t="e">
        <v>#N/A</v>
      </c>
      <c r="GLR31" t="e">
        <v>#N/A</v>
      </c>
      <c r="GLS31" t="e">
        <v>#N/A</v>
      </c>
      <c r="GLT31" t="e">
        <v>#N/A</v>
      </c>
      <c r="GLU31" t="e">
        <v>#N/A</v>
      </c>
      <c r="GLV31" t="e">
        <v>#N/A</v>
      </c>
      <c r="GLW31" t="e">
        <v>#N/A</v>
      </c>
      <c r="GLX31" t="e">
        <v>#N/A</v>
      </c>
      <c r="GLY31" t="e">
        <v>#N/A</v>
      </c>
      <c r="GLZ31" t="e">
        <v>#N/A</v>
      </c>
      <c r="GMA31" t="e">
        <v>#N/A</v>
      </c>
      <c r="GMB31" t="e">
        <v>#N/A</v>
      </c>
      <c r="GMC31" t="e">
        <v>#N/A</v>
      </c>
      <c r="GMD31" t="e">
        <v>#N/A</v>
      </c>
      <c r="GME31" t="e">
        <v>#N/A</v>
      </c>
      <c r="GMF31" t="e">
        <v>#N/A</v>
      </c>
      <c r="GMG31" t="e">
        <v>#N/A</v>
      </c>
      <c r="GMH31" t="e">
        <v>#N/A</v>
      </c>
      <c r="GMI31" t="e">
        <v>#N/A</v>
      </c>
      <c r="GMJ31" t="e">
        <v>#N/A</v>
      </c>
      <c r="GMK31" t="e">
        <v>#N/A</v>
      </c>
      <c r="GML31" t="e">
        <v>#N/A</v>
      </c>
      <c r="GMM31" t="e">
        <v>#N/A</v>
      </c>
      <c r="GMN31" t="e">
        <v>#N/A</v>
      </c>
      <c r="GMO31" t="e">
        <v>#N/A</v>
      </c>
      <c r="GMP31" t="e">
        <v>#N/A</v>
      </c>
      <c r="GMQ31" t="e">
        <v>#N/A</v>
      </c>
      <c r="GMR31" t="e">
        <v>#N/A</v>
      </c>
      <c r="GMS31" t="e">
        <v>#N/A</v>
      </c>
      <c r="GMT31" t="e">
        <v>#N/A</v>
      </c>
      <c r="GMU31" t="e">
        <v>#N/A</v>
      </c>
      <c r="GMV31" t="e">
        <v>#N/A</v>
      </c>
      <c r="GMW31" t="e">
        <v>#N/A</v>
      </c>
      <c r="GMX31" t="e">
        <v>#N/A</v>
      </c>
      <c r="GMY31" t="e">
        <v>#N/A</v>
      </c>
      <c r="GMZ31" t="e">
        <v>#N/A</v>
      </c>
      <c r="GNA31" t="e">
        <v>#N/A</v>
      </c>
      <c r="GNB31" t="e">
        <v>#N/A</v>
      </c>
      <c r="GNC31" t="e">
        <v>#N/A</v>
      </c>
      <c r="GND31" t="e">
        <v>#N/A</v>
      </c>
      <c r="GNE31" t="e">
        <v>#N/A</v>
      </c>
      <c r="GNF31" t="e">
        <v>#N/A</v>
      </c>
      <c r="GNG31" t="e">
        <v>#N/A</v>
      </c>
      <c r="GNH31" t="e">
        <v>#N/A</v>
      </c>
      <c r="GNI31" t="e">
        <v>#N/A</v>
      </c>
      <c r="GNJ31" t="e">
        <v>#N/A</v>
      </c>
      <c r="GNK31" t="e">
        <v>#N/A</v>
      </c>
      <c r="GNL31" t="e">
        <v>#N/A</v>
      </c>
      <c r="GNM31" t="e">
        <v>#N/A</v>
      </c>
      <c r="GNN31" t="e">
        <v>#N/A</v>
      </c>
      <c r="GNO31" t="e">
        <v>#N/A</v>
      </c>
      <c r="GNP31" t="e">
        <v>#N/A</v>
      </c>
      <c r="GNQ31" t="e">
        <v>#N/A</v>
      </c>
      <c r="GNR31" t="e">
        <v>#N/A</v>
      </c>
      <c r="GNS31" t="e">
        <v>#N/A</v>
      </c>
      <c r="GNT31" t="e">
        <v>#N/A</v>
      </c>
      <c r="GNU31" t="e">
        <v>#N/A</v>
      </c>
      <c r="GNV31" t="e">
        <v>#N/A</v>
      </c>
      <c r="GNW31" t="e">
        <v>#N/A</v>
      </c>
      <c r="GNX31" t="e">
        <v>#N/A</v>
      </c>
      <c r="GNY31" t="e">
        <v>#N/A</v>
      </c>
      <c r="GNZ31" t="e">
        <v>#N/A</v>
      </c>
      <c r="GOA31" t="e">
        <v>#N/A</v>
      </c>
      <c r="GOB31" t="e">
        <v>#N/A</v>
      </c>
      <c r="GOC31" t="e">
        <v>#N/A</v>
      </c>
      <c r="GOD31" t="e">
        <v>#N/A</v>
      </c>
      <c r="GOE31" t="e">
        <v>#N/A</v>
      </c>
      <c r="GOF31" t="e">
        <v>#N/A</v>
      </c>
      <c r="GOG31" t="e">
        <v>#N/A</v>
      </c>
      <c r="GOH31" t="e">
        <v>#N/A</v>
      </c>
      <c r="GOI31" t="e">
        <v>#N/A</v>
      </c>
      <c r="GOJ31" t="e">
        <v>#N/A</v>
      </c>
      <c r="GOK31" t="e">
        <v>#N/A</v>
      </c>
      <c r="GOL31" t="e">
        <v>#N/A</v>
      </c>
      <c r="GOM31" t="e">
        <v>#N/A</v>
      </c>
      <c r="GON31" t="e">
        <v>#N/A</v>
      </c>
      <c r="GOO31" t="e">
        <v>#N/A</v>
      </c>
      <c r="GOP31" t="e">
        <v>#N/A</v>
      </c>
      <c r="GOQ31" t="e">
        <v>#N/A</v>
      </c>
      <c r="GOR31" t="e">
        <v>#N/A</v>
      </c>
      <c r="GOS31" t="e">
        <v>#N/A</v>
      </c>
      <c r="GOT31" t="e">
        <v>#N/A</v>
      </c>
      <c r="GOU31" t="e">
        <v>#N/A</v>
      </c>
      <c r="GOV31" t="e">
        <v>#N/A</v>
      </c>
      <c r="GOW31" t="e">
        <v>#N/A</v>
      </c>
      <c r="GOX31" t="e">
        <v>#N/A</v>
      </c>
      <c r="GOY31" t="e">
        <v>#N/A</v>
      </c>
      <c r="GOZ31" t="e">
        <v>#N/A</v>
      </c>
      <c r="GPA31" t="e">
        <v>#N/A</v>
      </c>
      <c r="GPB31" t="e">
        <v>#N/A</v>
      </c>
      <c r="GPC31" t="e">
        <v>#N/A</v>
      </c>
      <c r="GPD31" t="e">
        <v>#N/A</v>
      </c>
      <c r="GPE31" t="e">
        <v>#N/A</v>
      </c>
      <c r="GPF31" t="e">
        <v>#N/A</v>
      </c>
      <c r="GPG31" t="e">
        <v>#N/A</v>
      </c>
      <c r="GPH31" t="e">
        <v>#N/A</v>
      </c>
      <c r="GPI31" t="e">
        <v>#N/A</v>
      </c>
      <c r="GPJ31" t="e">
        <v>#N/A</v>
      </c>
      <c r="GPK31" t="e">
        <v>#N/A</v>
      </c>
      <c r="GPL31" t="e">
        <v>#N/A</v>
      </c>
      <c r="GPM31" t="e">
        <v>#N/A</v>
      </c>
      <c r="GPN31" t="e">
        <v>#N/A</v>
      </c>
      <c r="GPO31" t="e">
        <v>#N/A</v>
      </c>
      <c r="GPP31" t="e">
        <v>#N/A</v>
      </c>
      <c r="GPQ31" t="e">
        <v>#N/A</v>
      </c>
      <c r="GPR31" t="e">
        <v>#N/A</v>
      </c>
      <c r="GPS31" t="e">
        <v>#N/A</v>
      </c>
      <c r="GPT31" t="e">
        <v>#N/A</v>
      </c>
      <c r="GPU31" t="e">
        <v>#N/A</v>
      </c>
      <c r="GPV31" t="e">
        <v>#N/A</v>
      </c>
      <c r="GPW31" t="e">
        <v>#N/A</v>
      </c>
      <c r="GPX31" t="e">
        <v>#N/A</v>
      </c>
      <c r="GPY31" t="e">
        <v>#N/A</v>
      </c>
      <c r="GPZ31" t="e">
        <v>#N/A</v>
      </c>
      <c r="GQA31" t="e">
        <v>#N/A</v>
      </c>
      <c r="GQB31" t="e">
        <v>#N/A</v>
      </c>
      <c r="GQC31" t="e">
        <v>#N/A</v>
      </c>
      <c r="GQD31" t="e">
        <v>#N/A</v>
      </c>
      <c r="GQE31" t="e">
        <v>#N/A</v>
      </c>
      <c r="GQF31" t="e">
        <v>#N/A</v>
      </c>
      <c r="GQG31" t="e">
        <v>#N/A</v>
      </c>
      <c r="GQH31" t="e">
        <v>#N/A</v>
      </c>
      <c r="GQI31" t="e">
        <v>#N/A</v>
      </c>
      <c r="GQJ31" t="e">
        <v>#N/A</v>
      </c>
      <c r="GQK31" t="e">
        <v>#N/A</v>
      </c>
      <c r="GQL31" t="e">
        <v>#N/A</v>
      </c>
      <c r="GQM31" t="e">
        <v>#N/A</v>
      </c>
      <c r="GQN31" t="e">
        <v>#N/A</v>
      </c>
      <c r="GQO31" t="e">
        <v>#N/A</v>
      </c>
      <c r="GQP31" t="e">
        <v>#N/A</v>
      </c>
      <c r="GQQ31" t="e">
        <v>#N/A</v>
      </c>
      <c r="GQR31" t="e">
        <v>#N/A</v>
      </c>
      <c r="GQS31" t="e">
        <v>#N/A</v>
      </c>
      <c r="GQT31" t="e">
        <v>#N/A</v>
      </c>
      <c r="GQU31" t="e">
        <v>#N/A</v>
      </c>
      <c r="GQV31" t="e">
        <v>#N/A</v>
      </c>
      <c r="GQW31" t="e">
        <v>#N/A</v>
      </c>
      <c r="GQX31" t="e">
        <v>#N/A</v>
      </c>
      <c r="GQY31" t="e">
        <v>#N/A</v>
      </c>
      <c r="GQZ31" t="e">
        <v>#N/A</v>
      </c>
      <c r="GRA31" t="e">
        <v>#N/A</v>
      </c>
      <c r="GRB31" t="e">
        <v>#N/A</v>
      </c>
      <c r="GRC31" t="e">
        <v>#N/A</v>
      </c>
      <c r="GRD31" t="e">
        <v>#N/A</v>
      </c>
      <c r="GRE31" t="e">
        <v>#N/A</v>
      </c>
      <c r="GRF31" t="e">
        <v>#N/A</v>
      </c>
      <c r="GRG31" t="e">
        <v>#N/A</v>
      </c>
      <c r="GRH31" t="e">
        <v>#N/A</v>
      </c>
      <c r="GRI31" t="e">
        <v>#N/A</v>
      </c>
      <c r="GRJ31" t="e">
        <v>#N/A</v>
      </c>
      <c r="GRK31" t="e">
        <v>#N/A</v>
      </c>
      <c r="GRL31" t="e">
        <v>#N/A</v>
      </c>
      <c r="GRM31" t="e">
        <v>#N/A</v>
      </c>
      <c r="GRN31" t="e">
        <v>#N/A</v>
      </c>
      <c r="GRO31" t="e">
        <v>#N/A</v>
      </c>
      <c r="GRP31" t="e">
        <v>#N/A</v>
      </c>
      <c r="GRQ31" t="e">
        <v>#N/A</v>
      </c>
      <c r="GRR31" t="e">
        <v>#N/A</v>
      </c>
      <c r="GRS31" t="e">
        <v>#N/A</v>
      </c>
      <c r="GRT31" t="e">
        <v>#N/A</v>
      </c>
      <c r="GRU31" t="e">
        <v>#N/A</v>
      </c>
      <c r="GRV31" t="e">
        <v>#N/A</v>
      </c>
      <c r="GRW31" t="e">
        <v>#N/A</v>
      </c>
      <c r="GRX31" t="e">
        <v>#N/A</v>
      </c>
      <c r="GRY31" t="e">
        <v>#N/A</v>
      </c>
      <c r="GRZ31" t="e">
        <v>#N/A</v>
      </c>
      <c r="GSA31" t="e">
        <v>#N/A</v>
      </c>
      <c r="GSB31" t="e">
        <v>#N/A</v>
      </c>
      <c r="GSC31" t="e">
        <v>#N/A</v>
      </c>
      <c r="GSD31" t="e">
        <v>#N/A</v>
      </c>
      <c r="GSE31" t="e">
        <v>#N/A</v>
      </c>
      <c r="GSF31" t="e">
        <v>#N/A</v>
      </c>
      <c r="GSG31" t="e">
        <v>#N/A</v>
      </c>
      <c r="GSH31" t="e">
        <v>#N/A</v>
      </c>
      <c r="GSI31" t="e">
        <v>#N/A</v>
      </c>
      <c r="GSJ31" t="e">
        <v>#N/A</v>
      </c>
      <c r="GSK31" t="e">
        <v>#N/A</v>
      </c>
      <c r="GSL31" t="e">
        <v>#N/A</v>
      </c>
      <c r="GSM31" t="e">
        <v>#N/A</v>
      </c>
      <c r="GSN31" t="e">
        <v>#N/A</v>
      </c>
      <c r="GSO31" t="e">
        <v>#N/A</v>
      </c>
      <c r="GSP31" t="e">
        <v>#N/A</v>
      </c>
      <c r="GSQ31" t="e">
        <v>#N/A</v>
      </c>
      <c r="GSR31" t="e">
        <v>#N/A</v>
      </c>
      <c r="GSS31" t="e">
        <v>#N/A</v>
      </c>
      <c r="GST31" t="e">
        <v>#N/A</v>
      </c>
      <c r="GSU31" t="e">
        <v>#N/A</v>
      </c>
      <c r="GSV31" t="e">
        <v>#N/A</v>
      </c>
      <c r="GSW31" t="e">
        <v>#N/A</v>
      </c>
      <c r="GSX31" t="e">
        <v>#N/A</v>
      </c>
      <c r="GSY31" t="e">
        <v>#N/A</v>
      </c>
      <c r="GSZ31" t="e">
        <v>#N/A</v>
      </c>
      <c r="GTA31" t="e">
        <v>#N/A</v>
      </c>
      <c r="GTB31" t="e">
        <v>#N/A</v>
      </c>
      <c r="GTC31" t="e">
        <v>#N/A</v>
      </c>
      <c r="GTD31" t="e">
        <v>#N/A</v>
      </c>
      <c r="GTE31" t="e">
        <v>#N/A</v>
      </c>
      <c r="GTF31" t="e">
        <v>#N/A</v>
      </c>
      <c r="GTG31" t="e">
        <v>#N/A</v>
      </c>
      <c r="GTH31" t="e">
        <v>#N/A</v>
      </c>
      <c r="GTI31" t="e">
        <v>#N/A</v>
      </c>
      <c r="GTJ31" t="e">
        <v>#N/A</v>
      </c>
      <c r="GTK31" t="e">
        <v>#N/A</v>
      </c>
      <c r="GTL31" t="e">
        <v>#N/A</v>
      </c>
      <c r="GTM31" t="e">
        <v>#N/A</v>
      </c>
      <c r="GTN31" t="e">
        <v>#N/A</v>
      </c>
      <c r="GTO31" t="e">
        <v>#N/A</v>
      </c>
      <c r="GTP31" t="e">
        <v>#N/A</v>
      </c>
      <c r="GTQ31" t="e">
        <v>#N/A</v>
      </c>
      <c r="GTR31" t="e">
        <v>#N/A</v>
      </c>
      <c r="GTS31" t="e">
        <v>#N/A</v>
      </c>
      <c r="GTT31" t="e">
        <v>#N/A</v>
      </c>
      <c r="GTU31" t="e">
        <v>#N/A</v>
      </c>
      <c r="GTV31" t="e">
        <v>#N/A</v>
      </c>
      <c r="GTW31" t="e">
        <v>#N/A</v>
      </c>
      <c r="GTX31" t="e">
        <v>#N/A</v>
      </c>
      <c r="GTY31" t="e">
        <v>#N/A</v>
      </c>
      <c r="GTZ31" t="e">
        <v>#N/A</v>
      </c>
      <c r="GUA31" t="e">
        <v>#N/A</v>
      </c>
      <c r="GUB31" t="e">
        <v>#N/A</v>
      </c>
      <c r="GUC31" t="e">
        <v>#N/A</v>
      </c>
      <c r="GUD31" t="e">
        <v>#N/A</v>
      </c>
      <c r="GUE31" t="e">
        <v>#N/A</v>
      </c>
      <c r="GUF31" t="e">
        <v>#N/A</v>
      </c>
      <c r="GUG31" t="e">
        <v>#N/A</v>
      </c>
      <c r="GUH31" t="e">
        <v>#N/A</v>
      </c>
      <c r="GUI31" t="e">
        <v>#N/A</v>
      </c>
      <c r="GUJ31" t="e">
        <v>#N/A</v>
      </c>
      <c r="GUK31" t="e">
        <v>#N/A</v>
      </c>
      <c r="GUL31" t="e">
        <v>#N/A</v>
      </c>
      <c r="GUM31" t="e">
        <v>#N/A</v>
      </c>
      <c r="GUN31" t="e">
        <v>#N/A</v>
      </c>
      <c r="GUO31" t="e">
        <v>#N/A</v>
      </c>
      <c r="GUP31" t="e">
        <v>#N/A</v>
      </c>
      <c r="GUQ31" t="e">
        <v>#N/A</v>
      </c>
      <c r="GUR31" t="e">
        <v>#N/A</v>
      </c>
      <c r="GUS31" t="e">
        <v>#N/A</v>
      </c>
      <c r="GUT31" t="e">
        <v>#N/A</v>
      </c>
      <c r="GUU31" t="e">
        <v>#N/A</v>
      </c>
      <c r="GUV31" t="e">
        <v>#N/A</v>
      </c>
      <c r="GUW31" t="e">
        <v>#N/A</v>
      </c>
      <c r="GUX31" t="e">
        <v>#N/A</v>
      </c>
      <c r="GUY31" t="e">
        <v>#N/A</v>
      </c>
      <c r="GUZ31" t="e">
        <v>#N/A</v>
      </c>
      <c r="GVA31" t="e">
        <v>#N/A</v>
      </c>
      <c r="GVB31" t="e">
        <v>#N/A</v>
      </c>
      <c r="GVC31" t="e">
        <v>#N/A</v>
      </c>
      <c r="GVD31" t="e">
        <v>#N/A</v>
      </c>
      <c r="GVE31" t="e">
        <v>#N/A</v>
      </c>
      <c r="GVF31" t="e">
        <v>#N/A</v>
      </c>
      <c r="GVG31" t="e">
        <v>#N/A</v>
      </c>
      <c r="GVH31" t="e">
        <v>#N/A</v>
      </c>
      <c r="GVI31" t="e">
        <v>#N/A</v>
      </c>
      <c r="GVJ31" t="e">
        <v>#N/A</v>
      </c>
      <c r="GVK31" t="e">
        <v>#N/A</v>
      </c>
      <c r="GVL31" t="e">
        <v>#N/A</v>
      </c>
      <c r="GVM31" t="e">
        <v>#N/A</v>
      </c>
      <c r="GVN31" t="e">
        <v>#N/A</v>
      </c>
      <c r="GVO31" t="e">
        <v>#N/A</v>
      </c>
      <c r="GVP31" t="e">
        <v>#N/A</v>
      </c>
      <c r="GVQ31" t="e">
        <v>#N/A</v>
      </c>
      <c r="GVR31" t="e">
        <v>#N/A</v>
      </c>
      <c r="GVS31" t="e">
        <v>#N/A</v>
      </c>
      <c r="GVT31" t="e">
        <v>#N/A</v>
      </c>
      <c r="GVU31" t="e">
        <v>#N/A</v>
      </c>
      <c r="GVV31" t="e">
        <v>#N/A</v>
      </c>
      <c r="GVW31" t="e">
        <v>#N/A</v>
      </c>
      <c r="GVX31" t="e">
        <v>#N/A</v>
      </c>
      <c r="GVY31" t="e">
        <v>#N/A</v>
      </c>
      <c r="GVZ31" t="e">
        <v>#N/A</v>
      </c>
      <c r="GWA31" t="e">
        <v>#N/A</v>
      </c>
      <c r="GWB31" t="e">
        <v>#N/A</v>
      </c>
      <c r="GWC31" t="e">
        <v>#N/A</v>
      </c>
      <c r="GWD31" t="e">
        <v>#N/A</v>
      </c>
      <c r="GWE31" t="e">
        <v>#N/A</v>
      </c>
      <c r="GWF31" t="e">
        <v>#N/A</v>
      </c>
      <c r="GWG31" t="e">
        <v>#N/A</v>
      </c>
      <c r="GWH31" t="e">
        <v>#N/A</v>
      </c>
      <c r="GWI31" t="e">
        <v>#N/A</v>
      </c>
      <c r="GWJ31" t="e">
        <v>#N/A</v>
      </c>
      <c r="GWK31" t="e">
        <v>#N/A</v>
      </c>
      <c r="GWL31" t="e">
        <v>#N/A</v>
      </c>
      <c r="GWM31" t="e">
        <v>#N/A</v>
      </c>
      <c r="GWN31" t="e">
        <v>#N/A</v>
      </c>
      <c r="GWO31" t="e">
        <v>#N/A</v>
      </c>
      <c r="GWP31" t="e">
        <v>#N/A</v>
      </c>
      <c r="GWQ31" t="e">
        <v>#N/A</v>
      </c>
      <c r="GWR31" t="e">
        <v>#N/A</v>
      </c>
      <c r="GWS31" t="e">
        <v>#N/A</v>
      </c>
      <c r="GWT31" t="e">
        <v>#N/A</v>
      </c>
      <c r="GWU31" t="e">
        <v>#N/A</v>
      </c>
      <c r="GWV31" t="e">
        <v>#N/A</v>
      </c>
      <c r="GWW31" t="e">
        <v>#N/A</v>
      </c>
      <c r="GWX31" t="e">
        <v>#N/A</v>
      </c>
      <c r="GWY31" t="e">
        <v>#N/A</v>
      </c>
      <c r="GWZ31" t="e">
        <v>#N/A</v>
      </c>
      <c r="GXA31" t="e">
        <v>#N/A</v>
      </c>
      <c r="GXB31" t="e">
        <v>#N/A</v>
      </c>
      <c r="GXC31" t="e">
        <v>#N/A</v>
      </c>
      <c r="GXD31" t="e">
        <v>#N/A</v>
      </c>
      <c r="GXE31" t="e">
        <v>#N/A</v>
      </c>
      <c r="GXF31" t="e">
        <v>#N/A</v>
      </c>
      <c r="GXG31" t="e">
        <v>#N/A</v>
      </c>
      <c r="GXH31" t="e">
        <v>#N/A</v>
      </c>
      <c r="GXI31" t="e">
        <v>#N/A</v>
      </c>
      <c r="GXJ31" t="e">
        <v>#N/A</v>
      </c>
      <c r="GXK31" t="e">
        <v>#N/A</v>
      </c>
      <c r="GXL31" t="e">
        <v>#N/A</v>
      </c>
      <c r="GXM31" t="e">
        <v>#N/A</v>
      </c>
      <c r="GXN31" t="e">
        <v>#N/A</v>
      </c>
      <c r="GXO31" t="e">
        <v>#N/A</v>
      </c>
      <c r="GXP31" t="e">
        <v>#N/A</v>
      </c>
      <c r="GXQ31" t="e">
        <v>#N/A</v>
      </c>
      <c r="GXR31" t="e">
        <v>#N/A</v>
      </c>
      <c r="GXS31" t="e">
        <v>#N/A</v>
      </c>
      <c r="GXT31" t="e">
        <v>#N/A</v>
      </c>
      <c r="GXU31" t="e">
        <v>#N/A</v>
      </c>
      <c r="GXV31" t="e">
        <v>#N/A</v>
      </c>
      <c r="GXW31" t="e">
        <v>#N/A</v>
      </c>
      <c r="GXX31" t="e">
        <v>#N/A</v>
      </c>
      <c r="GXY31" t="e">
        <v>#N/A</v>
      </c>
      <c r="GXZ31" t="e">
        <v>#N/A</v>
      </c>
      <c r="GYA31" t="e">
        <v>#N/A</v>
      </c>
      <c r="GYB31" t="e">
        <v>#N/A</v>
      </c>
      <c r="GYC31" t="e">
        <v>#N/A</v>
      </c>
      <c r="GYD31" t="e">
        <v>#N/A</v>
      </c>
      <c r="GYE31" t="e">
        <v>#N/A</v>
      </c>
      <c r="GYF31" t="e">
        <v>#N/A</v>
      </c>
      <c r="GYG31" t="e">
        <v>#N/A</v>
      </c>
      <c r="GYH31" t="e">
        <v>#N/A</v>
      </c>
      <c r="GYI31" t="e">
        <v>#N/A</v>
      </c>
      <c r="GYJ31" t="e">
        <v>#N/A</v>
      </c>
      <c r="GYK31" t="e">
        <v>#N/A</v>
      </c>
      <c r="GYL31" t="e">
        <v>#N/A</v>
      </c>
      <c r="GYM31" t="e">
        <v>#N/A</v>
      </c>
      <c r="GYN31" t="e">
        <v>#N/A</v>
      </c>
      <c r="GYO31" t="e">
        <v>#N/A</v>
      </c>
      <c r="GYP31" t="e">
        <v>#N/A</v>
      </c>
      <c r="GYQ31" t="e">
        <v>#N/A</v>
      </c>
      <c r="GYR31" t="e">
        <v>#N/A</v>
      </c>
      <c r="GYS31" t="e">
        <v>#N/A</v>
      </c>
      <c r="GYT31" t="e">
        <v>#N/A</v>
      </c>
      <c r="GYU31" t="e">
        <v>#N/A</v>
      </c>
      <c r="GYV31" t="e">
        <v>#N/A</v>
      </c>
      <c r="GYW31" t="e">
        <v>#N/A</v>
      </c>
      <c r="GYX31" t="e">
        <v>#N/A</v>
      </c>
      <c r="GYY31" t="e">
        <v>#N/A</v>
      </c>
      <c r="GYZ31" t="e">
        <v>#N/A</v>
      </c>
      <c r="GZA31" t="e">
        <v>#N/A</v>
      </c>
      <c r="GZB31" t="e">
        <v>#N/A</v>
      </c>
      <c r="GZC31" t="e">
        <v>#N/A</v>
      </c>
      <c r="GZD31" t="e">
        <v>#N/A</v>
      </c>
      <c r="GZE31" t="e">
        <v>#N/A</v>
      </c>
      <c r="GZF31" t="e">
        <v>#N/A</v>
      </c>
      <c r="GZG31" t="e">
        <v>#N/A</v>
      </c>
      <c r="GZH31" t="e">
        <v>#N/A</v>
      </c>
      <c r="GZI31" t="e">
        <v>#N/A</v>
      </c>
      <c r="GZJ31" t="e">
        <v>#N/A</v>
      </c>
      <c r="GZK31" t="e">
        <v>#N/A</v>
      </c>
      <c r="GZL31" t="e">
        <v>#N/A</v>
      </c>
      <c r="GZM31" t="e">
        <v>#N/A</v>
      </c>
      <c r="GZN31" t="e">
        <v>#N/A</v>
      </c>
      <c r="GZO31" t="e">
        <v>#N/A</v>
      </c>
      <c r="GZP31" t="e">
        <v>#N/A</v>
      </c>
      <c r="GZQ31" t="e">
        <v>#N/A</v>
      </c>
      <c r="GZR31" t="e">
        <v>#N/A</v>
      </c>
      <c r="GZS31" t="e">
        <v>#N/A</v>
      </c>
      <c r="GZT31" t="e">
        <v>#N/A</v>
      </c>
      <c r="GZU31" t="e">
        <v>#N/A</v>
      </c>
      <c r="GZV31" t="e">
        <v>#N/A</v>
      </c>
      <c r="GZW31" t="e">
        <v>#N/A</v>
      </c>
      <c r="GZX31" t="e">
        <v>#N/A</v>
      </c>
      <c r="GZY31" t="e">
        <v>#N/A</v>
      </c>
      <c r="GZZ31" t="e">
        <v>#N/A</v>
      </c>
      <c r="HAA31" t="e">
        <v>#N/A</v>
      </c>
      <c r="HAB31" t="e">
        <v>#N/A</v>
      </c>
      <c r="HAC31" t="e">
        <v>#N/A</v>
      </c>
      <c r="HAD31" t="e">
        <v>#N/A</v>
      </c>
      <c r="HAE31" t="e">
        <v>#N/A</v>
      </c>
      <c r="HAF31" t="e">
        <v>#N/A</v>
      </c>
      <c r="HAG31" t="e">
        <v>#N/A</v>
      </c>
      <c r="HAH31" t="e">
        <v>#N/A</v>
      </c>
      <c r="HAI31" t="e">
        <v>#N/A</v>
      </c>
      <c r="HAJ31" t="e">
        <v>#N/A</v>
      </c>
      <c r="HAK31" t="e">
        <v>#N/A</v>
      </c>
      <c r="HAL31" t="e">
        <v>#N/A</v>
      </c>
      <c r="HAM31" t="e">
        <v>#N/A</v>
      </c>
      <c r="HAN31" t="e">
        <v>#N/A</v>
      </c>
      <c r="HAO31" t="e">
        <v>#N/A</v>
      </c>
      <c r="HAP31" t="e">
        <v>#N/A</v>
      </c>
      <c r="HAQ31" t="e">
        <v>#N/A</v>
      </c>
      <c r="HAR31" t="e">
        <v>#N/A</v>
      </c>
      <c r="HAS31" t="e">
        <v>#N/A</v>
      </c>
      <c r="HAT31" t="e">
        <v>#N/A</v>
      </c>
      <c r="HAU31" t="e">
        <v>#N/A</v>
      </c>
      <c r="HAV31" t="e">
        <v>#N/A</v>
      </c>
      <c r="HAW31" t="e">
        <v>#N/A</v>
      </c>
      <c r="HAX31" t="e">
        <v>#N/A</v>
      </c>
      <c r="HAY31" t="e">
        <v>#N/A</v>
      </c>
      <c r="HAZ31" t="e">
        <v>#N/A</v>
      </c>
      <c r="HBA31" t="e">
        <v>#N/A</v>
      </c>
      <c r="HBB31" t="e">
        <v>#N/A</v>
      </c>
      <c r="HBC31" t="e">
        <v>#N/A</v>
      </c>
      <c r="HBD31" t="e">
        <v>#N/A</v>
      </c>
      <c r="HBE31" t="e">
        <v>#N/A</v>
      </c>
      <c r="HBF31" t="e">
        <v>#N/A</v>
      </c>
      <c r="HBG31" t="e">
        <v>#N/A</v>
      </c>
      <c r="HBH31" t="e">
        <v>#N/A</v>
      </c>
      <c r="HBI31" t="e">
        <v>#N/A</v>
      </c>
      <c r="HBJ31" t="e">
        <v>#N/A</v>
      </c>
      <c r="HBK31" t="e">
        <v>#N/A</v>
      </c>
      <c r="HBL31" t="e">
        <v>#N/A</v>
      </c>
      <c r="HBM31" t="e">
        <v>#N/A</v>
      </c>
      <c r="HBN31" t="e">
        <v>#N/A</v>
      </c>
      <c r="HBO31" t="e">
        <v>#N/A</v>
      </c>
      <c r="HBP31" t="e">
        <v>#N/A</v>
      </c>
      <c r="HBQ31" t="e">
        <v>#N/A</v>
      </c>
      <c r="HBR31" t="e">
        <v>#N/A</v>
      </c>
      <c r="HBS31" t="e">
        <v>#N/A</v>
      </c>
      <c r="HBT31" t="e">
        <v>#N/A</v>
      </c>
      <c r="HBU31" t="e">
        <v>#N/A</v>
      </c>
      <c r="HBV31" t="e">
        <v>#N/A</v>
      </c>
      <c r="HBW31" t="e">
        <v>#N/A</v>
      </c>
      <c r="HBX31" t="e">
        <v>#N/A</v>
      </c>
      <c r="HBY31" t="e">
        <v>#N/A</v>
      </c>
      <c r="HBZ31" t="e">
        <v>#N/A</v>
      </c>
      <c r="HCA31" t="e">
        <v>#N/A</v>
      </c>
      <c r="HCB31" t="e">
        <v>#N/A</v>
      </c>
      <c r="HCC31" t="e">
        <v>#N/A</v>
      </c>
      <c r="HCD31" t="e">
        <v>#N/A</v>
      </c>
      <c r="HCE31" t="e">
        <v>#N/A</v>
      </c>
      <c r="HCF31" t="e">
        <v>#N/A</v>
      </c>
      <c r="HCG31" t="e">
        <v>#N/A</v>
      </c>
      <c r="HCH31" t="e">
        <v>#N/A</v>
      </c>
      <c r="HCI31" t="e">
        <v>#N/A</v>
      </c>
      <c r="HCJ31" t="e">
        <v>#N/A</v>
      </c>
      <c r="HCK31" t="e">
        <v>#N/A</v>
      </c>
      <c r="HCL31" t="e">
        <v>#N/A</v>
      </c>
      <c r="HCM31" t="e">
        <v>#N/A</v>
      </c>
      <c r="HCN31" t="e">
        <v>#N/A</v>
      </c>
      <c r="HCO31" t="e">
        <v>#N/A</v>
      </c>
      <c r="HCP31" t="e">
        <v>#N/A</v>
      </c>
      <c r="HCQ31" t="e">
        <v>#N/A</v>
      </c>
      <c r="HCR31" t="e">
        <v>#N/A</v>
      </c>
      <c r="HCS31" t="e">
        <v>#N/A</v>
      </c>
      <c r="HCT31" t="e">
        <v>#N/A</v>
      </c>
      <c r="HCU31" t="e">
        <v>#N/A</v>
      </c>
      <c r="HCV31" t="e">
        <v>#N/A</v>
      </c>
      <c r="HCW31" t="e">
        <v>#N/A</v>
      </c>
      <c r="HCX31" t="e">
        <v>#N/A</v>
      </c>
      <c r="HCY31" t="e">
        <v>#N/A</v>
      </c>
      <c r="HCZ31" t="e">
        <v>#N/A</v>
      </c>
      <c r="HDA31" t="e">
        <v>#N/A</v>
      </c>
      <c r="HDB31" t="e">
        <v>#N/A</v>
      </c>
      <c r="HDC31" t="e">
        <v>#N/A</v>
      </c>
      <c r="HDD31" t="e">
        <v>#N/A</v>
      </c>
      <c r="HDE31" t="e">
        <v>#N/A</v>
      </c>
      <c r="HDF31" t="e">
        <v>#N/A</v>
      </c>
      <c r="HDG31" t="e">
        <v>#N/A</v>
      </c>
      <c r="HDH31" t="e">
        <v>#N/A</v>
      </c>
      <c r="HDI31" t="e">
        <v>#N/A</v>
      </c>
      <c r="HDJ31" t="e">
        <v>#N/A</v>
      </c>
      <c r="HDK31" t="e">
        <v>#N/A</v>
      </c>
      <c r="HDL31" t="e">
        <v>#N/A</v>
      </c>
      <c r="HDM31" t="e">
        <v>#N/A</v>
      </c>
      <c r="HDN31" t="e">
        <v>#N/A</v>
      </c>
      <c r="HDO31" t="e">
        <v>#N/A</v>
      </c>
      <c r="HDP31" t="e">
        <v>#N/A</v>
      </c>
      <c r="HDQ31" t="e">
        <v>#N/A</v>
      </c>
      <c r="HDR31" t="e">
        <v>#N/A</v>
      </c>
      <c r="HDS31" t="e">
        <v>#N/A</v>
      </c>
      <c r="HDT31" t="e">
        <v>#N/A</v>
      </c>
      <c r="HDU31" t="e">
        <v>#N/A</v>
      </c>
      <c r="HDV31" t="e">
        <v>#N/A</v>
      </c>
      <c r="HDW31" t="e">
        <v>#N/A</v>
      </c>
      <c r="HDX31" t="e">
        <v>#N/A</v>
      </c>
      <c r="HDY31" t="e">
        <v>#N/A</v>
      </c>
      <c r="HDZ31" t="e">
        <v>#N/A</v>
      </c>
      <c r="HEA31" t="e">
        <v>#N/A</v>
      </c>
      <c r="HEB31" t="e">
        <v>#N/A</v>
      </c>
      <c r="HEC31" t="e">
        <v>#N/A</v>
      </c>
      <c r="HED31" t="e">
        <v>#N/A</v>
      </c>
      <c r="HEE31" t="e">
        <v>#N/A</v>
      </c>
      <c r="HEF31" t="e">
        <v>#N/A</v>
      </c>
      <c r="HEG31" t="e">
        <v>#N/A</v>
      </c>
      <c r="HEH31" t="e">
        <v>#N/A</v>
      </c>
      <c r="HEI31" t="e">
        <v>#N/A</v>
      </c>
      <c r="HEJ31" t="e">
        <v>#N/A</v>
      </c>
      <c r="HEK31" t="e">
        <v>#N/A</v>
      </c>
      <c r="HEL31" t="e">
        <v>#N/A</v>
      </c>
      <c r="HEM31" t="e">
        <v>#N/A</v>
      </c>
      <c r="HEN31" t="e">
        <v>#N/A</v>
      </c>
      <c r="HEO31" t="e">
        <v>#N/A</v>
      </c>
      <c r="HEP31" t="e">
        <v>#N/A</v>
      </c>
      <c r="HEQ31" t="e">
        <v>#N/A</v>
      </c>
      <c r="HER31" t="e">
        <v>#N/A</v>
      </c>
      <c r="HES31" t="e">
        <v>#N/A</v>
      </c>
      <c r="HET31" t="e">
        <v>#N/A</v>
      </c>
      <c r="HEU31" t="e">
        <v>#N/A</v>
      </c>
      <c r="HEV31" t="e">
        <v>#N/A</v>
      </c>
      <c r="HEW31" t="e">
        <v>#N/A</v>
      </c>
      <c r="HEX31" t="e">
        <v>#N/A</v>
      </c>
      <c r="HEY31" t="e">
        <v>#N/A</v>
      </c>
      <c r="HEZ31" t="e">
        <v>#N/A</v>
      </c>
      <c r="HFA31" t="e">
        <v>#N/A</v>
      </c>
      <c r="HFB31" t="e">
        <v>#N/A</v>
      </c>
      <c r="HFC31" t="e">
        <v>#N/A</v>
      </c>
      <c r="HFD31" t="e">
        <v>#N/A</v>
      </c>
      <c r="HFE31" t="e">
        <v>#N/A</v>
      </c>
      <c r="HFF31" t="e">
        <v>#N/A</v>
      </c>
      <c r="HFG31" t="e">
        <v>#N/A</v>
      </c>
      <c r="HFH31" t="e">
        <v>#N/A</v>
      </c>
      <c r="HFI31" t="e">
        <v>#N/A</v>
      </c>
      <c r="HFJ31" t="e">
        <v>#N/A</v>
      </c>
      <c r="HFK31" t="e">
        <v>#N/A</v>
      </c>
      <c r="HFL31" t="e">
        <v>#N/A</v>
      </c>
      <c r="HFM31" t="e">
        <v>#N/A</v>
      </c>
      <c r="HFN31" t="e">
        <v>#N/A</v>
      </c>
      <c r="HFO31" t="e">
        <v>#N/A</v>
      </c>
      <c r="HFP31" t="e">
        <v>#N/A</v>
      </c>
      <c r="HFQ31" t="e">
        <v>#N/A</v>
      </c>
      <c r="HFR31" t="e">
        <v>#N/A</v>
      </c>
      <c r="HFS31" t="e">
        <v>#N/A</v>
      </c>
      <c r="HFT31" t="e">
        <v>#N/A</v>
      </c>
      <c r="HFU31" t="e">
        <v>#N/A</v>
      </c>
      <c r="HFV31" t="e">
        <v>#N/A</v>
      </c>
      <c r="HFW31" t="e">
        <v>#N/A</v>
      </c>
      <c r="HFX31" t="e">
        <v>#N/A</v>
      </c>
      <c r="HFY31" t="e">
        <v>#N/A</v>
      </c>
      <c r="HFZ31" t="e">
        <v>#N/A</v>
      </c>
      <c r="HGA31" t="e">
        <v>#N/A</v>
      </c>
      <c r="HGB31" t="e">
        <v>#N/A</v>
      </c>
      <c r="HGC31" t="e">
        <v>#N/A</v>
      </c>
      <c r="HGD31" t="e">
        <v>#N/A</v>
      </c>
      <c r="HGE31" t="e">
        <v>#N/A</v>
      </c>
      <c r="HGF31" t="e">
        <v>#N/A</v>
      </c>
      <c r="HGG31" t="e">
        <v>#N/A</v>
      </c>
      <c r="HGH31" t="e">
        <v>#N/A</v>
      </c>
      <c r="HGI31" t="e">
        <v>#N/A</v>
      </c>
      <c r="HGJ31" t="e">
        <v>#N/A</v>
      </c>
      <c r="HGK31" t="e">
        <v>#N/A</v>
      </c>
      <c r="HGL31" t="e">
        <v>#N/A</v>
      </c>
      <c r="HGM31" t="e">
        <v>#N/A</v>
      </c>
      <c r="HGN31" t="e">
        <v>#N/A</v>
      </c>
      <c r="HGO31" t="e">
        <v>#N/A</v>
      </c>
      <c r="HGP31" t="e">
        <v>#N/A</v>
      </c>
      <c r="HGQ31" t="e">
        <v>#N/A</v>
      </c>
      <c r="HGR31" t="e">
        <v>#N/A</v>
      </c>
      <c r="HGS31" t="e">
        <v>#N/A</v>
      </c>
      <c r="HGT31" t="e">
        <v>#N/A</v>
      </c>
      <c r="HGU31" t="e">
        <v>#N/A</v>
      </c>
      <c r="HGV31" t="e">
        <v>#N/A</v>
      </c>
      <c r="HGW31" t="e">
        <v>#N/A</v>
      </c>
      <c r="HGX31" t="e">
        <v>#N/A</v>
      </c>
      <c r="HGY31" t="e">
        <v>#N/A</v>
      </c>
      <c r="HGZ31" t="e">
        <v>#N/A</v>
      </c>
      <c r="HHA31" t="e">
        <v>#N/A</v>
      </c>
      <c r="HHB31" t="e">
        <v>#N/A</v>
      </c>
      <c r="HHC31" t="e">
        <v>#N/A</v>
      </c>
      <c r="HHD31" t="e">
        <v>#N/A</v>
      </c>
      <c r="HHE31" t="e">
        <v>#N/A</v>
      </c>
      <c r="HHF31" t="e">
        <v>#N/A</v>
      </c>
      <c r="HHG31" t="e">
        <v>#N/A</v>
      </c>
      <c r="HHH31" t="e">
        <v>#N/A</v>
      </c>
      <c r="HHI31" t="e">
        <v>#N/A</v>
      </c>
      <c r="HHJ31" t="e">
        <v>#N/A</v>
      </c>
      <c r="HHK31" t="e">
        <v>#N/A</v>
      </c>
      <c r="HHL31" t="e">
        <v>#N/A</v>
      </c>
      <c r="HHM31" t="e">
        <v>#N/A</v>
      </c>
      <c r="HHN31" t="e">
        <v>#N/A</v>
      </c>
      <c r="HHO31" t="e">
        <v>#N/A</v>
      </c>
      <c r="HHP31" t="e">
        <v>#N/A</v>
      </c>
      <c r="HHQ31" t="e">
        <v>#N/A</v>
      </c>
      <c r="HHR31" t="e">
        <v>#N/A</v>
      </c>
      <c r="HHS31" t="e">
        <v>#N/A</v>
      </c>
      <c r="HHT31" t="e">
        <v>#N/A</v>
      </c>
      <c r="HHU31" t="e">
        <v>#N/A</v>
      </c>
      <c r="HHV31" t="e">
        <v>#N/A</v>
      </c>
      <c r="HHW31" t="e">
        <v>#N/A</v>
      </c>
      <c r="HHX31" t="e">
        <v>#N/A</v>
      </c>
      <c r="HHY31" t="e">
        <v>#N/A</v>
      </c>
      <c r="HHZ31" t="e">
        <v>#N/A</v>
      </c>
      <c r="HIA31" t="e">
        <v>#N/A</v>
      </c>
      <c r="HIB31" t="e">
        <v>#N/A</v>
      </c>
      <c r="HIC31" t="e">
        <v>#N/A</v>
      </c>
      <c r="HID31" t="e">
        <v>#N/A</v>
      </c>
      <c r="HIE31" t="e">
        <v>#N/A</v>
      </c>
      <c r="HIF31" t="e">
        <v>#N/A</v>
      </c>
      <c r="HIG31" t="e">
        <v>#N/A</v>
      </c>
      <c r="HIH31" t="e">
        <v>#N/A</v>
      </c>
      <c r="HII31" t="e">
        <v>#N/A</v>
      </c>
      <c r="HIJ31" t="e">
        <v>#N/A</v>
      </c>
      <c r="HIK31" t="e">
        <v>#N/A</v>
      </c>
      <c r="HIL31" t="e">
        <v>#N/A</v>
      </c>
      <c r="HIM31" t="e">
        <v>#N/A</v>
      </c>
      <c r="HIN31" t="e">
        <v>#N/A</v>
      </c>
      <c r="HIO31" t="e">
        <v>#N/A</v>
      </c>
      <c r="HIP31" t="e">
        <v>#N/A</v>
      </c>
      <c r="HIQ31" t="e">
        <v>#N/A</v>
      </c>
      <c r="HIR31" t="e">
        <v>#N/A</v>
      </c>
      <c r="HIS31" t="e">
        <v>#N/A</v>
      </c>
      <c r="HIT31" t="e">
        <v>#N/A</v>
      </c>
      <c r="HIU31" t="e">
        <v>#N/A</v>
      </c>
      <c r="HIV31" t="e">
        <v>#N/A</v>
      </c>
      <c r="HIW31" t="e">
        <v>#N/A</v>
      </c>
      <c r="HIX31" t="e">
        <v>#N/A</v>
      </c>
      <c r="HIY31" t="e">
        <v>#N/A</v>
      </c>
      <c r="HIZ31" t="e">
        <v>#N/A</v>
      </c>
      <c r="HJA31" t="e">
        <v>#N/A</v>
      </c>
      <c r="HJB31" t="e">
        <v>#N/A</v>
      </c>
      <c r="HJC31" t="e">
        <v>#N/A</v>
      </c>
      <c r="HJD31" t="e">
        <v>#N/A</v>
      </c>
      <c r="HJE31" t="e">
        <v>#N/A</v>
      </c>
      <c r="HJF31" t="e">
        <v>#N/A</v>
      </c>
      <c r="HJG31" t="e">
        <v>#N/A</v>
      </c>
      <c r="HJH31" t="e">
        <v>#N/A</v>
      </c>
      <c r="HJI31" t="e">
        <v>#N/A</v>
      </c>
      <c r="HJJ31" t="e">
        <v>#N/A</v>
      </c>
      <c r="HJK31" t="e">
        <v>#N/A</v>
      </c>
      <c r="HJL31" t="e">
        <v>#N/A</v>
      </c>
      <c r="HJM31" t="e">
        <v>#N/A</v>
      </c>
      <c r="HJN31" t="e">
        <v>#N/A</v>
      </c>
      <c r="HJO31" t="e">
        <v>#N/A</v>
      </c>
      <c r="HJP31" t="e">
        <v>#N/A</v>
      </c>
      <c r="HJQ31" t="e">
        <v>#N/A</v>
      </c>
      <c r="HJR31" t="e">
        <v>#N/A</v>
      </c>
      <c r="HJS31" t="e">
        <v>#N/A</v>
      </c>
      <c r="HJT31" t="e">
        <v>#N/A</v>
      </c>
      <c r="HJU31" t="e">
        <v>#N/A</v>
      </c>
      <c r="HJV31" t="e">
        <v>#N/A</v>
      </c>
      <c r="HJW31" t="e">
        <v>#N/A</v>
      </c>
      <c r="HJX31" t="e">
        <v>#N/A</v>
      </c>
      <c r="HJY31" t="e">
        <v>#N/A</v>
      </c>
      <c r="HJZ31" t="e">
        <v>#N/A</v>
      </c>
      <c r="HKA31" t="e">
        <v>#N/A</v>
      </c>
      <c r="HKB31" t="e">
        <v>#N/A</v>
      </c>
      <c r="HKC31" t="e">
        <v>#N/A</v>
      </c>
      <c r="HKD31" t="e">
        <v>#N/A</v>
      </c>
      <c r="HKE31" t="e">
        <v>#N/A</v>
      </c>
      <c r="HKF31" t="e">
        <v>#N/A</v>
      </c>
      <c r="HKG31" t="e">
        <v>#N/A</v>
      </c>
      <c r="HKH31" t="e">
        <v>#N/A</v>
      </c>
      <c r="HKI31" t="e">
        <v>#N/A</v>
      </c>
      <c r="HKJ31" t="e">
        <v>#N/A</v>
      </c>
      <c r="HKK31" t="e">
        <v>#N/A</v>
      </c>
      <c r="HKL31" t="e">
        <v>#N/A</v>
      </c>
      <c r="HKM31" t="e">
        <v>#N/A</v>
      </c>
      <c r="HKN31" t="e">
        <v>#N/A</v>
      </c>
      <c r="HKO31" t="e">
        <v>#N/A</v>
      </c>
      <c r="HKP31" t="e">
        <v>#N/A</v>
      </c>
      <c r="HKQ31" t="e">
        <v>#N/A</v>
      </c>
      <c r="HKR31" t="e">
        <v>#N/A</v>
      </c>
      <c r="HKS31" t="e">
        <v>#N/A</v>
      </c>
      <c r="HKT31" t="e">
        <v>#N/A</v>
      </c>
      <c r="HKU31" t="e">
        <v>#N/A</v>
      </c>
      <c r="HKV31" t="e">
        <v>#N/A</v>
      </c>
      <c r="HKW31" t="e">
        <v>#N/A</v>
      </c>
      <c r="HKX31" t="e">
        <v>#N/A</v>
      </c>
      <c r="HKY31" t="e">
        <v>#N/A</v>
      </c>
      <c r="HKZ31" t="e">
        <v>#N/A</v>
      </c>
      <c r="HLA31" t="e">
        <v>#N/A</v>
      </c>
      <c r="HLB31" t="e">
        <v>#N/A</v>
      </c>
      <c r="HLC31" t="e">
        <v>#N/A</v>
      </c>
      <c r="HLD31" t="e">
        <v>#N/A</v>
      </c>
      <c r="HLE31" t="e">
        <v>#N/A</v>
      </c>
      <c r="HLF31" t="e">
        <v>#N/A</v>
      </c>
      <c r="HLG31" t="e">
        <v>#N/A</v>
      </c>
      <c r="HLH31" t="e">
        <v>#N/A</v>
      </c>
      <c r="HLI31" t="e">
        <v>#N/A</v>
      </c>
      <c r="HLJ31" t="e">
        <v>#N/A</v>
      </c>
      <c r="HLK31" t="e">
        <v>#N/A</v>
      </c>
      <c r="HLL31" t="e">
        <v>#N/A</v>
      </c>
      <c r="HLM31" t="e">
        <v>#N/A</v>
      </c>
      <c r="HLN31" t="e">
        <v>#N/A</v>
      </c>
      <c r="HLO31" t="e">
        <v>#N/A</v>
      </c>
      <c r="HLP31" t="e">
        <v>#N/A</v>
      </c>
      <c r="HLQ31" t="e">
        <v>#N/A</v>
      </c>
      <c r="HLR31" t="e">
        <v>#N/A</v>
      </c>
      <c r="HLS31" t="e">
        <v>#N/A</v>
      </c>
      <c r="HLT31" t="e">
        <v>#N/A</v>
      </c>
      <c r="HLU31" t="e">
        <v>#N/A</v>
      </c>
      <c r="HLV31" t="e">
        <v>#N/A</v>
      </c>
      <c r="HLW31" t="e">
        <v>#N/A</v>
      </c>
      <c r="HLX31" t="e">
        <v>#N/A</v>
      </c>
      <c r="HLY31" t="e">
        <v>#N/A</v>
      </c>
      <c r="HLZ31" t="e">
        <v>#N/A</v>
      </c>
      <c r="HMA31" t="e">
        <v>#N/A</v>
      </c>
      <c r="HMB31" t="e">
        <v>#N/A</v>
      </c>
      <c r="HMC31" t="e">
        <v>#N/A</v>
      </c>
      <c r="HMD31" t="e">
        <v>#N/A</v>
      </c>
      <c r="HME31" t="e">
        <v>#N/A</v>
      </c>
      <c r="HMF31" t="e">
        <v>#N/A</v>
      </c>
      <c r="HMG31" t="e">
        <v>#N/A</v>
      </c>
      <c r="HMH31" t="e">
        <v>#N/A</v>
      </c>
      <c r="HMI31" t="e">
        <v>#N/A</v>
      </c>
      <c r="HMJ31" t="e">
        <v>#N/A</v>
      </c>
      <c r="HMK31" t="e">
        <v>#N/A</v>
      </c>
      <c r="HML31" t="e">
        <v>#N/A</v>
      </c>
      <c r="HMM31" t="e">
        <v>#N/A</v>
      </c>
      <c r="HMN31" t="e">
        <v>#N/A</v>
      </c>
      <c r="HMO31" t="e">
        <v>#N/A</v>
      </c>
      <c r="HMP31" t="e">
        <v>#N/A</v>
      </c>
      <c r="HMQ31" t="e">
        <v>#N/A</v>
      </c>
      <c r="HMR31" t="e">
        <v>#N/A</v>
      </c>
      <c r="HMS31" t="e">
        <v>#N/A</v>
      </c>
      <c r="HMT31" t="e">
        <v>#N/A</v>
      </c>
      <c r="HMU31" t="e">
        <v>#N/A</v>
      </c>
      <c r="HMV31" t="e">
        <v>#N/A</v>
      </c>
      <c r="HMW31" t="e">
        <v>#N/A</v>
      </c>
      <c r="HMX31" t="e">
        <v>#N/A</v>
      </c>
      <c r="HMY31" t="e">
        <v>#N/A</v>
      </c>
      <c r="HMZ31" t="e">
        <v>#N/A</v>
      </c>
      <c r="HNA31" t="e">
        <v>#N/A</v>
      </c>
      <c r="HNB31" t="e">
        <v>#N/A</v>
      </c>
      <c r="HNC31" t="e">
        <v>#N/A</v>
      </c>
      <c r="HND31" t="e">
        <v>#N/A</v>
      </c>
      <c r="HNE31" t="e">
        <v>#N/A</v>
      </c>
      <c r="HNF31" t="e">
        <v>#N/A</v>
      </c>
      <c r="HNG31" t="e">
        <v>#N/A</v>
      </c>
      <c r="HNH31" t="e">
        <v>#N/A</v>
      </c>
      <c r="HNI31" t="e">
        <v>#N/A</v>
      </c>
      <c r="HNJ31" t="e">
        <v>#N/A</v>
      </c>
      <c r="HNK31" t="e">
        <v>#N/A</v>
      </c>
      <c r="HNL31" t="e">
        <v>#N/A</v>
      </c>
      <c r="HNM31" t="e">
        <v>#N/A</v>
      </c>
      <c r="HNN31" t="e">
        <v>#N/A</v>
      </c>
      <c r="HNO31" t="e">
        <v>#N/A</v>
      </c>
      <c r="HNP31" t="e">
        <v>#N/A</v>
      </c>
      <c r="HNQ31" t="e">
        <v>#N/A</v>
      </c>
      <c r="HNR31" t="e">
        <v>#N/A</v>
      </c>
      <c r="HNS31" t="e">
        <v>#N/A</v>
      </c>
      <c r="HNT31" t="e">
        <v>#N/A</v>
      </c>
      <c r="HNU31" t="e">
        <v>#N/A</v>
      </c>
      <c r="HNV31" t="e">
        <v>#N/A</v>
      </c>
      <c r="HNW31" t="e">
        <v>#N/A</v>
      </c>
      <c r="HNX31" t="e">
        <v>#N/A</v>
      </c>
      <c r="HNY31" t="e">
        <v>#N/A</v>
      </c>
      <c r="HNZ31" t="e">
        <v>#N/A</v>
      </c>
      <c r="HOA31" t="e">
        <v>#N/A</v>
      </c>
      <c r="HOB31" t="e">
        <v>#N/A</v>
      </c>
      <c r="HOC31" t="e">
        <v>#N/A</v>
      </c>
      <c r="HOD31" t="e">
        <v>#N/A</v>
      </c>
      <c r="HOE31" t="e">
        <v>#N/A</v>
      </c>
      <c r="HOF31" t="e">
        <v>#N/A</v>
      </c>
      <c r="HOG31" t="e">
        <v>#N/A</v>
      </c>
      <c r="HOH31" t="e">
        <v>#N/A</v>
      </c>
      <c r="HOI31" t="e">
        <v>#N/A</v>
      </c>
      <c r="HOJ31" t="e">
        <v>#N/A</v>
      </c>
      <c r="HOK31" t="e">
        <v>#N/A</v>
      </c>
      <c r="HOL31" t="e">
        <v>#N/A</v>
      </c>
      <c r="HOM31" t="e">
        <v>#N/A</v>
      </c>
      <c r="HON31" t="e">
        <v>#N/A</v>
      </c>
      <c r="HOO31" t="e">
        <v>#N/A</v>
      </c>
      <c r="HOP31" t="e">
        <v>#N/A</v>
      </c>
      <c r="HOQ31" t="e">
        <v>#N/A</v>
      </c>
      <c r="HOR31" t="e">
        <v>#N/A</v>
      </c>
      <c r="HOS31" t="e">
        <v>#N/A</v>
      </c>
      <c r="HOT31" t="e">
        <v>#N/A</v>
      </c>
      <c r="HOU31" t="e">
        <v>#N/A</v>
      </c>
      <c r="HOV31" t="e">
        <v>#N/A</v>
      </c>
      <c r="HOW31" t="e">
        <v>#N/A</v>
      </c>
      <c r="HOX31" t="e">
        <v>#N/A</v>
      </c>
      <c r="HOY31" t="e">
        <v>#N/A</v>
      </c>
      <c r="HOZ31" t="e">
        <v>#N/A</v>
      </c>
      <c r="HPA31" t="e">
        <v>#N/A</v>
      </c>
      <c r="HPB31" t="e">
        <v>#N/A</v>
      </c>
      <c r="HPC31" t="e">
        <v>#N/A</v>
      </c>
      <c r="HPD31" t="e">
        <v>#N/A</v>
      </c>
      <c r="HPE31" t="e">
        <v>#N/A</v>
      </c>
      <c r="HPF31" t="e">
        <v>#N/A</v>
      </c>
      <c r="HPG31" t="e">
        <v>#N/A</v>
      </c>
      <c r="HPH31" t="e">
        <v>#N/A</v>
      </c>
      <c r="HPI31" t="e">
        <v>#N/A</v>
      </c>
      <c r="HPJ31" t="e">
        <v>#N/A</v>
      </c>
      <c r="HPK31" t="e">
        <v>#N/A</v>
      </c>
      <c r="HPL31" t="e">
        <v>#N/A</v>
      </c>
      <c r="HPM31" t="e">
        <v>#N/A</v>
      </c>
      <c r="HPN31" t="e">
        <v>#N/A</v>
      </c>
      <c r="HPO31" t="e">
        <v>#N/A</v>
      </c>
      <c r="HPP31" t="e">
        <v>#N/A</v>
      </c>
      <c r="HPQ31" t="e">
        <v>#N/A</v>
      </c>
      <c r="HPR31" t="e">
        <v>#N/A</v>
      </c>
      <c r="HPS31" t="e">
        <v>#N/A</v>
      </c>
      <c r="HPT31" t="e">
        <v>#N/A</v>
      </c>
      <c r="HPU31" t="e">
        <v>#N/A</v>
      </c>
      <c r="HPV31" t="e">
        <v>#N/A</v>
      </c>
      <c r="HPW31" t="e">
        <v>#N/A</v>
      </c>
      <c r="HPX31" t="e">
        <v>#N/A</v>
      </c>
      <c r="HPY31" t="e">
        <v>#N/A</v>
      </c>
      <c r="HPZ31" t="e">
        <v>#N/A</v>
      </c>
      <c r="HQA31" t="e">
        <v>#N/A</v>
      </c>
      <c r="HQB31" t="e">
        <v>#N/A</v>
      </c>
      <c r="HQC31" t="e">
        <v>#N/A</v>
      </c>
      <c r="HQD31" t="e">
        <v>#N/A</v>
      </c>
      <c r="HQE31" t="e">
        <v>#N/A</v>
      </c>
      <c r="HQF31" t="e">
        <v>#N/A</v>
      </c>
      <c r="HQG31" t="e">
        <v>#N/A</v>
      </c>
      <c r="HQH31" t="e">
        <v>#N/A</v>
      </c>
      <c r="HQI31" t="e">
        <v>#N/A</v>
      </c>
      <c r="HQJ31" t="e">
        <v>#N/A</v>
      </c>
      <c r="HQK31" t="e">
        <v>#N/A</v>
      </c>
      <c r="HQL31" t="e">
        <v>#N/A</v>
      </c>
      <c r="HQM31" t="e">
        <v>#N/A</v>
      </c>
      <c r="HQN31" t="e">
        <v>#N/A</v>
      </c>
      <c r="HQO31" t="e">
        <v>#N/A</v>
      </c>
      <c r="HQP31" t="e">
        <v>#N/A</v>
      </c>
      <c r="HQQ31" t="e">
        <v>#N/A</v>
      </c>
      <c r="HQR31" t="e">
        <v>#N/A</v>
      </c>
      <c r="HQS31" t="e">
        <v>#N/A</v>
      </c>
      <c r="HQT31" t="e">
        <v>#N/A</v>
      </c>
      <c r="HQU31" t="e">
        <v>#N/A</v>
      </c>
      <c r="HQV31" t="e">
        <v>#N/A</v>
      </c>
      <c r="HQW31" t="e">
        <v>#N/A</v>
      </c>
      <c r="HQX31" t="e">
        <v>#N/A</v>
      </c>
      <c r="HQY31" t="e">
        <v>#N/A</v>
      </c>
      <c r="HQZ31" t="e">
        <v>#N/A</v>
      </c>
      <c r="HRA31" t="e">
        <v>#N/A</v>
      </c>
      <c r="HRB31" t="e">
        <v>#N/A</v>
      </c>
      <c r="HRC31" t="e">
        <v>#N/A</v>
      </c>
      <c r="HRD31" t="e">
        <v>#N/A</v>
      </c>
      <c r="HRE31" t="e">
        <v>#N/A</v>
      </c>
      <c r="HRF31" t="e">
        <v>#N/A</v>
      </c>
      <c r="HRG31" t="e">
        <v>#N/A</v>
      </c>
      <c r="HRH31" t="e">
        <v>#N/A</v>
      </c>
      <c r="HRI31" t="e">
        <v>#N/A</v>
      </c>
      <c r="HRJ31" t="e">
        <v>#N/A</v>
      </c>
      <c r="HRK31" t="e">
        <v>#N/A</v>
      </c>
      <c r="HRL31" t="e">
        <v>#N/A</v>
      </c>
      <c r="HRM31" t="e">
        <v>#N/A</v>
      </c>
      <c r="HRN31" t="e">
        <v>#N/A</v>
      </c>
      <c r="HRO31" t="e">
        <v>#N/A</v>
      </c>
      <c r="HRP31" t="e">
        <v>#N/A</v>
      </c>
      <c r="HRQ31" t="e">
        <v>#N/A</v>
      </c>
      <c r="HRR31" t="e">
        <v>#N/A</v>
      </c>
      <c r="HRS31" t="e">
        <v>#N/A</v>
      </c>
      <c r="HRT31" t="e">
        <v>#N/A</v>
      </c>
      <c r="HRU31" t="e">
        <v>#N/A</v>
      </c>
      <c r="HRV31" t="e">
        <v>#N/A</v>
      </c>
      <c r="HRW31" t="e">
        <v>#N/A</v>
      </c>
      <c r="HRX31" t="e">
        <v>#N/A</v>
      </c>
      <c r="HRY31" t="e">
        <v>#N/A</v>
      </c>
      <c r="HRZ31" t="e">
        <v>#N/A</v>
      </c>
      <c r="HSA31" t="e">
        <v>#N/A</v>
      </c>
      <c r="HSB31" t="e">
        <v>#N/A</v>
      </c>
      <c r="HSC31" t="e">
        <v>#N/A</v>
      </c>
      <c r="HSD31" t="e">
        <v>#N/A</v>
      </c>
      <c r="HSE31" t="e">
        <v>#N/A</v>
      </c>
      <c r="HSF31" t="e">
        <v>#N/A</v>
      </c>
      <c r="HSG31" t="e">
        <v>#N/A</v>
      </c>
      <c r="HSH31" t="e">
        <v>#N/A</v>
      </c>
      <c r="HSI31" t="e">
        <v>#N/A</v>
      </c>
      <c r="HSJ31" t="e">
        <v>#N/A</v>
      </c>
      <c r="HSK31" t="e">
        <v>#N/A</v>
      </c>
      <c r="HSL31" t="e">
        <v>#N/A</v>
      </c>
      <c r="HSM31" t="e">
        <v>#N/A</v>
      </c>
      <c r="HSN31" t="e">
        <v>#N/A</v>
      </c>
      <c r="HSO31" t="e">
        <v>#N/A</v>
      </c>
      <c r="HSP31" t="e">
        <v>#N/A</v>
      </c>
      <c r="HSQ31" t="e">
        <v>#N/A</v>
      </c>
      <c r="HSR31" t="e">
        <v>#N/A</v>
      </c>
      <c r="HSS31" t="e">
        <v>#N/A</v>
      </c>
      <c r="HST31" t="e">
        <v>#N/A</v>
      </c>
      <c r="HSU31" t="e">
        <v>#N/A</v>
      </c>
      <c r="HSV31" t="e">
        <v>#N/A</v>
      </c>
      <c r="HSW31" t="e">
        <v>#N/A</v>
      </c>
      <c r="HSX31" t="e">
        <v>#N/A</v>
      </c>
      <c r="HSY31" t="e">
        <v>#N/A</v>
      </c>
      <c r="HSZ31" t="e">
        <v>#N/A</v>
      </c>
      <c r="HTA31" t="e">
        <v>#N/A</v>
      </c>
      <c r="HTB31" t="e">
        <v>#N/A</v>
      </c>
      <c r="HTC31" t="e">
        <v>#N/A</v>
      </c>
      <c r="HTD31" t="e">
        <v>#N/A</v>
      </c>
      <c r="HTE31" t="e">
        <v>#N/A</v>
      </c>
      <c r="HTF31" t="e">
        <v>#N/A</v>
      </c>
      <c r="HTG31" t="e">
        <v>#N/A</v>
      </c>
      <c r="HTH31" t="e">
        <v>#N/A</v>
      </c>
      <c r="HTI31" t="e">
        <v>#N/A</v>
      </c>
      <c r="HTJ31" t="e">
        <v>#N/A</v>
      </c>
      <c r="HTK31" t="e">
        <v>#N/A</v>
      </c>
      <c r="HTL31" t="e">
        <v>#N/A</v>
      </c>
      <c r="HTM31" t="e">
        <v>#N/A</v>
      </c>
      <c r="HTN31" t="e">
        <v>#N/A</v>
      </c>
      <c r="HTO31" t="e">
        <v>#N/A</v>
      </c>
      <c r="HTP31" t="e">
        <v>#N/A</v>
      </c>
      <c r="HTQ31" t="e">
        <v>#N/A</v>
      </c>
      <c r="HTR31" t="e">
        <v>#N/A</v>
      </c>
      <c r="HTS31" t="e">
        <v>#N/A</v>
      </c>
      <c r="HTT31" t="e">
        <v>#N/A</v>
      </c>
      <c r="HTU31" t="e">
        <v>#N/A</v>
      </c>
      <c r="HTV31" t="e">
        <v>#N/A</v>
      </c>
      <c r="HTW31" t="e">
        <v>#N/A</v>
      </c>
      <c r="HTX31" t="e">
        <v>#N/A</v>
      </c>
      <c r="HTY31" t="e">
        <v>#N/A</v>
      </c>
      <c r="HTZ31" t="e">
        <v>#N/A</v>
      </c>
      <c r="HUA31" t="e">
        <v>#N/A</v>
      </c>
      <c r="HUB31" t="e">
        <v>#N/A</v>
      </c>
      <c r="HUC31" t="e">
        <v>#N/A</v>
      </c>
      <c r="HUD31" t="e">
        <v>#N/A</v>
      </c>
      <c r="HUE31" t="e">
        <v>#N/A</v>
      </c>
      <c r="HUF31" t="e">
        <v>#N/A</v>
      </c>
      <c r="HUG31" t="e">
        <v>#N/A</v>
      </c>
      <c r="HUH31" t="e">
        <v>#N/A</v>
      </c>
      <c r="HUI31" t="e">
        <v>#N/A</v>
      </c>
      <c r="HUJ31" t="e">
        <v>#N/A</v>
      </c>
      <c r="HUK31" t="e">
        <v>#N/A</v>
      </c>
      <c r="HUL31" t="e">
        <v>#N/A</v>
      </c>
      <c r="HUM31" t="e">
        <v>#N/A</v>
      </c>
      <c r="HUN31" t="e">
        <v>#N/A</v>
      </c>
      <c r="HUO31" t="e">
        <v>#N/A</v>
      </c>
      <c r="HUP31" t="e">
        <v>#N/A</v>
      </c>
      <c r="HUQ31" t="e">
        <v>#N/A</v>
      </c>
      <c r="HUR31" t="e">
        <v>#N/A</v>
      </c>
      <c r="HUS31" t="e">
        <v>#N/A</v>
      </c>
      <c r="HUT31" t="e">
        <v>#N/A</v>
      </c>
      <c r="HUU31" t="e">
        <v>#N/A</v>
      </c>
      <c r="HUV31" t="e">
        <v>#N/A</v>
      </c>
      <c r="HUW31" t="e">
        <v>#N/A</v>
      </c>
      <c r="HUX31" t="e">
        <v>#N/A</v>
      </c>
      <c r="HUY31" t="e">
        <v>#N/A</v>
      </c>
      <c r="HUZ31" t="e">
        <v>#N/A</v>
      </c>
      <c r="HVA31" t="e">
        <v>#N/A</v>
      </c>
      <c r="HVB31" t="e">
        <v>#N/A</v>
      </c>
      <c r="HVC31" t="e">
        <v>#N/A</v>
      </c>
      <c r="HVD31" t="e">
        <v>#N/A</v>
      </c>
      <c r="HVE31" t="e">
        <v>#N/A</v>
      </c>
      <c r="HVF31" t="e">
        <v>#N/A</v>
      </c>
      <c r="HVG31" t="e">
        <v>#N/A</v>
      </c>
      <c r="HVH31" t="e">
        <v>#N/A</v>
      </c>
      <c r="HVI31" t="e">
        <v>#N/A</v>
      </c>
      <c r="HVJ31" t="e">
        <v>#N/A</v>
      </c>
      <c r="HVK31" t="e">
        <v>#N/A</v>
      </c>
      <c r="HVL31" t="e">
        <v>#N/A</v>
      </c>
      <c r="HVM31" t="e">
        <v>#N/A</v>
      </c>
      <c r="HVN31" t="e">
        <v>#N/A</v>
      </c>
      <c r="HVO31" t="e">
        <v>#N/A</v>
      </c>
      <c r="HVP31" t="e">
        <v>#N/A</v>
      </c>
      <c r="HVQ31" t="e">
        <v>#N/A</v>
      </c>
      <c r="HVR31" t="e">
        <v>#N/A</v>
      </c>
      <c r="HVS31" t="e">
        <v>#N/A</v>
      </c>
      <c r="HVT31" t="e">
        <v>#N/A</v>
      </c>
      <c r="HVU31" t="e">
        <v>#N/A</v>
      </c>
      <c r="HVV31" t="e">
        <v>#N/A</v>
      </c>
      <c r="HVW31" t="e">
        <v>#N/A</v>
      </c>
      <c r="HVX31" t="e">
        <v>#N/A</v>
      </c>
      <c r="HVY31" t="e">
        <v>#N/A</v>
      </c>
      <c r="HVZ31" t="e">
        <v>#N/A</v>
      </c>
      <c r="HWA31" t="e">
        <v>#N/A</v>
      </c>
      <c r="HWB31" t="e">
        <v>#N/A</v>
      </c>
      <c r="HWC31" t="e">
        <v>#N/A</v>
      </c>
      <c r="HWD31" t="e">
        <v>#N/A</v>
      </c>
      <c r="HWE31" t="e">
        <v>#N/A</v>
      </c>
      <c r="HWF31" t="e">
        <v>#N/A</v>
      </c>
      <c r="HWG31" t="e">
        <v>#N/A</v>
      </c>
      <c r="HWH31" t="e">
        <v>#N/A</v>
      </c>
      <c r="HWI31" t="e">
        <v>#N/A</v>
      </c>
      <c r="HWJ31" t="e">
        <v>#N/A</v>
      </c>
      <c r="HWK31" t="e">
        <v>#N/A</v>
      </c>
      <c r="HWL31" t="e">
        <v>#N/A</v>
      </c>
      <c r="HWM31" t="e">
        <v>#N/A</v>
      </c>
      <c r="HWN31" t="e">
        <v>#N/A</v>
      </c>
      <c r="HWO31" t="e">
        <v>#N/A</v>
      </c>
      <c r="HWP31" t="e">
        <v>#N/A</v>
      </c>
      <c r="HWQ31" t="e">
        <v>#N/A</v>
      </c>
      <c r="HWR31" t="e">
        <v>#N/A</v>
      </c>
      <c r="HWS31" t="e">
        <v>#N/A</v>
      </c>
      <c r="HWT31" t="e">
        <v>#N/A</v>
      </c>
      <c r="HWU31" t="e">
        <v>#N/A</v>
      </c>
      <c r="HWV31" t="e">
        <v>#N/A</v>
      </c>
      <c r="HWW31" t="e">
        <v>#N/A</v>
      </c>
      <c r="HWX31" t="e">
        <v>#N/A</v>
      </c>
      <c r="HWY31" t="e">
        <v>#N/A</v>
      </c>
      <c r="HWZ31" t="e">
        <v>#N/A</v>
      </c>
      <c r="HXA31" t="e">
        <v>#N/A</v>
      </c>
      <c r="HXB31" t="e">
        <v>#N/A</v>
      </c>
      <c r="HXC31" t="e">
        <v>#N/A</v>
      </c>
      <c r="HXD31" t="e">
        <v>#N/A</v>
      </c>
      <c r="HXE31" t="e">
        <v>#N/A</v>
      </c>
      <c r="HXF31" t="e">
        <v>#N/A</v>
      </c>
      <c r="HXG31" t="e">
        <v>#N/A</v>
      </c>
      <c r="HXH31" t="e">
        <v>#N/A</v>
      </c>
      <c r="HXI31" t="e">
        <v>#N/A</v>
      </c>
      <c r="HXJ31" t="e">
        <v>#N/A</v>
      </c>
      <c r="HXK31" t="e">
        <v>#N/A</v>
      </c>
      <c r="HXL31" t="e">
        <v>#N/A</v>
      </c>
      <c r="HXM31" t="e">
        <v>#N/A</v>
      </c>
      <c r="HXN31" t="e">
        <v>#N/A</v>
      </c>
      <c r="HXO31" t="e">
        <v>#N/A</v>
      </c>
      <c r="HXP31" t="e">
        <v>#N/A</v>
      </c>
      <c r="HXQ31" t="e">
        <v>#N/A</v>
      </c>
      <c r="HXR31" t="e">
        <v>#N/A</v>
      </c>
      <c r="HXS31" t="e">
        <v>#N/A</v>
      </c>
      <c r="HXT31" t="e">
        <v>#N/A</v>
      </c>
      <c r="HXU31" t="e">
        <v>#N/A</v>
      </c>
      <c r="HXV31" t="e">
        <v>#N/A</v>
      </c>
      <c r="HXW31" t="e">
        <v>#N/A</v>
      </c>
      <c r="HXX31" t="e">
        <v>#N/A</v>
      </c>
      <c r="HXY31" t="e">
        <v>#N/A</v>
      </c>
      <c r="HXZ31" t="e">
        <v>#N/A</v>
      </c>
      <c r="HYA31" t="e">
        <v>#N/A</v>
      </c>
      <c r="HYB31" t="e">
        <v>#N/A</v>
      </c>
      <c r="HYC31" t="e">
        <v>#N/A</v>
      </c>
      <c r="HYD31" t="e">
        <v>#N/A</v>
      </c>
      <c r="HYE31" t="e">
        <v>#N/A</v>
      </c>
      <c r="HYF31" t="e">
        <v>#N/A</v>
      </c>
      <c r="HYG31" t="e">
        <v>#N/A</v>
      </c>
      <c r="HYH31" t="e">
        <v>#N/A</v>
      </c>
      <c r="HYI31" t="e">
        <v>#N/A</v>
      </c>
      <c r="HYJ31" t="e">
        <v>#N/A</v>
      </c>
      <c r="HYK31" t="e">
        <v>#N/A</v>
      </c>
      <c r="HYL31" t="e">
        <v>#N/A</v>
      </c>
      <c r="HYM31" t="e">
        <v>#N/A</v>
      </c>
      <c r="HYN31" t="e">
        <v>#N/A</v>
      </c>
      <c r="HYO31" t="e">
        <v>#N/A</v>
      </c>
      <c r="HYP31" t="e">
        <v>#N/A</v>
      </c>
      <c r="HYQ31" t="e">
        <v>#N/A</v>
      </c>
      <c r="HYR31" t="e">
        <v>#N/A</v>
      </c>
      <c r="HYS31" t="e">
        <v>#N/A</v>
      </c>
      <c r="HYT31" t="e">
        <v>#N/A</v>
      </c>
      <c r="HYU31" t="e">
        <v>#N/A</v>
      </c>
      <c r="HYV31" t="e">
        <v>#N/A</v>
      </c>
      <c r="HYW31" t="e">
        <v>#N/A</v>
      </c>
      <c r="HYX31" t="e">
        <v>#N/A</v>
      </c>
      <c r="HYY31" t="e">
        <v>#N/A</v>
      </c>
      <c r="HYZ31" t="e">
        <v>#N/A</v>
      </c>
      <c r="HZA31" t="e">
        <v>#N/A</v>
      </c>
      <c r="HZB31" t="e">
        <v>#N/A</v>
      </c>
      <c r="HZC31" t="e">
        <v>#N/A</v>
      </c>
      <c r="HZD31" t="e">
        <v>#N/A</v>
      </c>
      <c r="HZE31" t="e">
        <v>#N/A</v>
      </c>
      <c r="HZF31" t="e">
        <v>#N/A</v>
      </c>
      <c r="HZG31" t="e">
        <v>#N/A</v>
      </c>
      <c r="HZH31" t="e">
        <v>#N/A</v>
      </c>
      <c r="HZI31" t="e">
        <v>#N/A</v>
      </c>
      <c r="HZJ31" t="e">
        <v>#N/A</v>
      </c>
      <c r="HZK31" t="e">
        <v>#N/A</v>
      </c>
      <c r="HZL31" t="e">
        <v>#N/A</v>
      </c>
      <c r="HZM31" t="e">
        <v>#N/A</v>
      </c>
      <c r="HZN31" t="e">
        <v>#N/A</v>
      </c>
      <c r="HZO31" t="e">
        <v>#N/A</v>
      </c>
      <c r="HZP31" t="e">
        <v>#N/A</v>
      </c>
      <c r="HZQ31" t="e">
        <v>#N/A</v>
      </c>
      <c r="HZR31" t="e">
        <v>#N/A</v>
      </c>
      <c r="HZS31" t="e">
        <v>#N/A</v>
      </c>
      <c r="HZT31" t="e">
        <v>#N/A</v>
      </c>
      <c r="HZU31" t="e">
        <v>#N/A</v>
      </c>
      <c r="HZV31" t="e">
        <v>#N/A</v>
      </c>
      <c r="HZW31" t="e">
        <v>#N/A</v>
      </c>
      <c r="HZX31" t="e">
        <v>#N/A</v>
      </c>
      <c r="HZY31" t="e">
        <v>#N/A</v>
      </c>
      <c r="HZZ31" t="e">
        <v>#N/A</v>
      </c>
      <c r="IAA31" t="e">
        <v>#N/A</v>
      </c>
      <c r="IAB31" t="e">
        <v>#N/A</v>
      </c>
      <c r="IAC31" t="e">
        <v>#N/A</v>
      </c>
      <c r="IAD31" t="e">
        <v>#N/A</v>
      </c>
      <c r="IAE31" t="e">
        <v>#N/A</v>
      </c>
      <c r="IAF31" t="e">
        <v>#N/A</v>
      </c>
      <c r="IAG31" t="e">
        <v>#N/A</v>
      </c>
      <c r="IAH31" t="e">
        <v>#N/A</v>
      </c>
      <c r="IAI31" t="e">
        <v>#N/A</v>
      </c>
      <c r="IAJ31" t="e">
        <v>#N/A</v>
      </c>
      <c r="IAK31" t="e">
        <v>#N/A</v>
      </c>
      <c r="IAL31" t="e">
        <v>#N/A</v>
      </c>
      <c r="IAM31" t="e">
        <v>#N/A</v>
      </c>
      <c r="IAN31" t="e">
        <v>#N/A</v>
      </c>
      <c r="IAO31" t="e">
        <v>#N/A</v>
      </c>
      <c r="IAP31" t="e">
        <v>#N/A</v>
      </c>
      <c r="IAQ31" t="e">
        <v>#N/A</v>
      </c>
      <c r="IAR31" t="e">
        <v>#N/A</v>
      </c>
      <c r="IAS31" t="e">
        <v>#N/A</v>
      </c>
      <c r="IAT31" t="e">
        <v>#N/A</v>
      </c>
      <c r="IAU31" t="e">
        <v>#N/A</v>
      </c>
      <c r="IAV31" t="e">
        <v>#N/A</v>
      </c>
      <c r="IAW31" t="e">
        <v>#N/A</v>
      </c>
      <c r="IAX31" t="e">
        <v>#N/A</v>
      </c>
      <c r="IAY31" t="e">
        <v>#N/A</v>
      </c>
      <c r="IAZ31" t="e">
        <v>#N/A</v>
      </c>
      <c r="IBA31" t="e">
        <v>#N/A</v>
      </c>
      <c r="IBB31" t="e">
        <v>#N/A</v>
      </c>
      <c r="IBC31" t="e">
        <v>#N/A</v>
      </c>
      <c r="IBD31" t="e">
        <v>#N/A</v>
      </c>
      <c r="IBE31" t="e">
        <v>#N/A</v>
      </c>
      <c r="IBF31" t="e">
        <v>#N/A</v>
      </c>
      <c r="IBG31" t="e">
        <v>#N/A</v>
      </c>
      <c r="IBH31" t="e">
        <v>#N/A</v>
      </c>
      <c r="IBI31" t="e">
        <v>#N/A</v>
      </c>
      <c r="IBJ31" t="e">
        <v>#N/A</v>
      </c>
      <c r="IBK31" t="e">
        <v>#N/A</v>
      </c>
      <c r="IBL31" t="e">
        <v>#N/A</v>
      </c>
      <c r="IBM31" t="e">
        <v>#N/A</v>
      </c>
      <c r="IBN31" t="e">
        <v>#N/A</v>
      </c>
      <c r="IBO31" t="e">
        <v>#N/A</v>
      </c>
      <c r="IBP31" t="e">
        <v>#N/A</v>
      </c>
      <c r="IBQ31" t="e">
        <v>#N/A</v>
      </c>
      <c r="IBR31" t="e">
        <v>#N/A</v>
      </c>
      <c r="IBS31" t="e">
        <v>#N/A</v>
      </c>
      <c r="IBT31" t="e">
        <v>#N/A</v>
      </c>
      <c r="IBU31" t="e">
        <v>#N/A</v>
      </c>
      <c r="IBV31" t="e">
        <v>#N/A</v>
      </c>
      <c r="IBW31" t="e">
        <v>#N/A</v>
      </c>
      <c r="IBX31" t="e">
        <v>#N/A</v>
      </c>
      <c r="IBY31" t="e">
        <v>#N/A</v>
      </c>
      <c r="IBZ31" t="e">
        <v>#N/A</v>
      </c>
      <c r="ICA31" t="e">
        <v>#N/A</v>
      </c>
      <c r="ICB31" t="e">
        <v>#N/A</v>
      </c>
      <c r="ICC31" t="e">
        <v>#N/A</v>
      </c>
      <c r="ICD31" t="e">
        <v>#N/A</v>
      </c>
      <c r="ICE31" t="e">
        <v>#N/A</v>
      </c>
      <c r="ICF31" t="e">
        <v>#N/A</v>
      </c>
      <c r="ICG31" t="e">
        <v>#N/A</v>
      </c>
      <c r="ICH31" t="e">
        <v>#N/A</v>
      </c>
      <c r="ICI31" t="e">
        <v>#N/A</v>
      </c>
      <c r="ICJ31" t="e">
        <v>#N/A</v>
      </c>
      <c r="ICK31" t="e">
        <v>#N/A</v>
      </c>
      <c r="ICL31" t="e">
        <v>#N/A</v>
      </c>
      <c r="ICM31" t="e">
        <v>#N/A</v>
      </c>
      <c r="ICN31" t="e">
        <v>#N/A</v>
      </c>
      <c r="ICO31" t="e">
        <v>#N/A</v>
      </c>
      <c r="ICP31" t="e">
        <v>#N/A</v>
      </c>
      <c r="ICQ31" t="e">
        <v>#N/A</v>
      </c>
      <c r="ICR31" t="e">
        <v>#N/A</v>
      </c>
      <c r="ICS31" t="e">
        <v>#N/A</v>
      </c>
      <c r="ICT31" t="e">
        <v>#N/A</v>
      </c>
      <c r="ICU31" t="e">
        <v>#N/A</v>
      </c>
      <c r="ICV31" t="e">
        <v>#N/A</v>
      </c>
      <c r="ICW31" t="e">
        <v>#N/A</v>
      </c>
      <c r="ICX31" t="e">
        <v>#N/A</v>
      </c>
      <c r="ICY31" t="e">
        <v>#N/A</v>
      </c>
      <c r="ICZ31" t="e">
        <v>#N/A</v>
      </c>
      <c r="IDA31" t="e">
        <v>#N/A</v>
      </c>
      <c r="IDB31" t="e">
        <v>#N/A</v>
      </c>
      <c r="IDC31" t="e">
        <v>#N/A</v>
      </c>
      <c r="IDD31" t="e">
        <v>#N/A</v>
      </c>
      <c r="IDE31" t="e">
        <v>#N/A</v>
      </c>
      <c r="IDF31" t="e">
        <v>#N/A</v>
      </c>
      <c r="IDG31" t="e">
        <v>#N/A</v>
      </c>
      <c r="IDH31" t="e">
        <v>#N/A</v>
      </c>
      <c r="IDI31" t="e">
        <v>#N/A</v>
      </c>
      <c r="IDJ31" t="e">
        <v>#N/A</v>
      </c>
      <c r="IDK31" t="e">
        <v>#N/A</v>
      </c>
      <c r="IDL31" t="e">
        <v>#N/A</v>
      </c>
      <c r="IDM31" t="e">
        <v>#N/A</v>
      </c>
      <c r="IDN31" t="e">
        <v>#N/A</v>
      </c>
      <c r="IDO31" t="e">
        <v>#N/A</v>
      </c>
      <c r="IDP31" t="e">
        <v>#N/A</v>
      </c>
      <c r="IDQ31" t="e">
        <v>#N/A</v>
      </c>
      <c r="IDR31" t="e">
        <v>#N/A</v>
      </c>
      <c r="IDS31" t="e">
        <v>#N/A</v>
      </c>
      <c r="IDT31" t="e">
        <v>#N/A</v>
      </c>
      <c r="IDU31" t="e">
        <v>#N/A</v>
      </c>
      <c r="IDV31" t="e">
        <v>#N/A</v>
      </c>
      <c r="IDW31" t="e">
        <v>#N/A</v>
      </c>
      <c r="IDX31" t="e">
        <v>#N/A</v>
      </c>
      <c r="IDY31" t="e">
        <v>#N/A</v>
      </c>
      <c r="IDZ31" t="e">
        <v>#N/A</v>
      </c>
      <c r="IEA31" t="e">
        <v>#N/A</v>
      </c>
      <c r="IEB31" t="e">
        <v>#N/A</v>
      </c>
      <c r="IEC31" t="e">
        <v>#N/A</v>
      </c>
      <c r="IED31" t="e">
        <v>#N/A</v>
      </c>
      <c r="IEE31" t="e">
        <v>#N/A</v>
      </c>
      <c r="IEF31" t="e">
        <v>#N/A</v>
      </c>
      <c r="IEG31" t="e">
        <v>#N/A</v>
      </c>
      <c r="IEH31" t="e">
        <v>#N/A</v>
      </c>
      <c r="IEI31" t="e">
        <v>#N/A</v>
      </c>
      <c r="IEJ31" t="e">
        <v>#N/A</v>
      </c>
      <c r="IEK31" t="e">
        <v>#N/A</v>
      </c>
      <c r="IEL31" t="e">
        <v>#N/A</v>
      </c>
      <c r="IEM31" t="e">
        <v>#N/A</v>
      </c>
      <c r="IEN31" t="e">
        <v>#N/A</v>
      </c>
      <c r="IEO31" t="e">
        <v>#N/A</v>
      </c>
      <c r="IEP31" t="e">
        <v>#N/A</v>
      </c>
      <c r="IEQ31" t="e">
        <v>#N/A</v>
      </c>
      <c r="IER31" t="e">
        <v>#N/A</v>
      </c>
      <c r="IES31" t="e">
        <v>#N/A</v>
      </c>
      <c r="IET31" t="e">
        <v>#N/A</v>
      </c>
      <c r="IEU31" t="e">
        <v>#N/A</v>
      </c>
      <c r="IEV31" t="e">
        <v>#N/A</v>
      </c>
      <c r="IEW31" t="e">
        <v>#N/A</v>
      </c>
      <c r="IEX31" t="e">
        <v>#N/A</v>
      </c>
      <c r="IEY31" t="e">
        <v>#N/A</v>
      </c>
      <c r="IEZ31" t="e">
        <v>#N/A</v>
      </c>
      <c r="IFA31" t="e">
        <v>#N/A</v>
      </c>
      <c r="IFB31" t="e">
        <v>#N/A</v>
      </c>
      <c r="IFC31" t="e">
        <v>#N/A</v>
      </c>
      <c r="IFD31" t="e">
        <v>#N/A</v>
      </c>
      <c r="IFE31" t="e">
        <v>#N/A</v>
      </c>
      <c r="IFF31" t="e">
        <v>#N/A</v>
      </c>
      <c r="IFG31" t="e">
        <v>#N/A</v>
      </c>
      <c r="IFH31" t="e">
        <v>#N/A</v>
      </c>
      <c r="IFI31" t="e">
        <v>#N/A</v>
      </c>
      <c r="IFJ31" t="e">
        <v>#N/A</v>
      </c>
      <c r="IFK31" t="e">
        <v>#N/A</v>
      </c>
      <c r="IFL31" t="e">
        <v>#N/A</v>
      </c>
      <c r="IFM31" t="e">
        <v>#N/A</v>
      </c>
      <c r="IFN31" t="e">
        <v>#N/A</v>
      </c>
      <c r="IFO31" t="e">
        <v>#N/A</v>
      </c>
      <c r="IFP31" t="e">
        <v>#N/A</v>
      </c>
      <c r="IFQ31" t="e">
        <v>#N/A</v>
      </c>
      <c r="IFR31" t="e">
        <v>#N/A</v>
      </c>
      <c r="IFS31" t="e">
        <v>#N/A</v>
      </c>
      <c r="IFT31" t="e">
        <v>#N/A</v>
      </c>
      <c r="IFU31" t="e">
        <v>#N/A</v>
      </c>
      <c r="IFV31" t="e">
        <v>#N/A</v>
      </c>
      <c r="IFW31" t="e">
        <v>#N/A</v>
      </c>
      <c r="IFX31" t="e">
        <v>#N/A</v>
      </c>
      <c r="IFY31" t="e">
        <v>#N/A</v>
      </c>
      <c r="IFZ31" t="e">
        <v>#N/A</v>
      </c>
      <c r="IGA31" t="e">
        <v>#N/A</v>
      </c>
      <c r="IGB31" t="e">
        <v>#N/A</v>
      </c>
      <c r="IGC31" t="e">
        <v>#N/A</v>
      </c>
      <c r="IGD31" t="e">
        <v>#N/A</v>
      </c>
      <c r="IGE31" t="e">
        <v>#N/A</v>
      </c>
      <c r="IGF31" t="e">
        <v>#N/A</v>
      </c>
      <c r="IGG31" t="e">
        <v>#N/A</v>
      </c>
      <c r="IGH31" t="e">
        <v>#N/A</v>
      </c>
      <c r="IGI31" t="e">
        <v>#N/A</v>
      </c>
      <c r="IGJ31" t="e">
        <v>#N/A</v>
      </c>
      <c r="IGK31" t="e">
        <v>#N/A</v>
      </c>
      <c r="IGL31" t="e">
        <v>#N/A</v>
      </c>
      <c r="IGM31" t="e">
        <v>#N/A</v>
      </c>
      <c r="IGN31" t="e">
        <v>#N/A</v>
      </c>
      <c r="IGO31" t="e">
        <v>#N/A</v>
      </c>
      <c r="IGP31" t="e">
        <v>#N/A</v>
      </c>
      <c r="IGQ31" t="e">
        <v>#N/A</v>
      </c>
      <c r="IGR31" t="e">
        <v>#N/A</v>
      </c>
      <c r="IGS31" t="e">
        <v>#N/A</v>
      </c>
      <c r="IGT31" t="e">
        <v>#N/A</v>
      </c>
      <c r="IGU31" t="e">
        <v>#N/A</v>
      </c>
      <c r="IGV31" t="e">
        <v>#N/A</v>
      </c>
      <c r="IGW31" t="e">
        <v>#N/A</v>
      </c>
      <c r="IGX31" t="e">
        <v>#N/A</v>
      </c>
      <c r="IGY31" t="e">
        <v>#N/A</v>
      </c>
      <c r="IGZ31" t="e">
        <v>#N/A</v>
      </c>
      <c r="IHA31" t="e">
        <v>#N/A</v>
      </c>
      <c r="IHB31" t="e">
        <v>#N/A</v>
      </c>
      <c r="IHC31" t="e">
        <v>#N/A</v>
      </c>
      <c r="IHD31" t="e">
        <v>#N/A</v>
      </c>
      <c r="IHE31" t="e">
        <v>#N/A</v>
      </c>
      <c r="IHF31" t="e">
        <v>#N/A</v>
      </c>
      <c r="IHG31" t="e">
        <v>#N/A</v>
      </c>
      <c r="IHH31" t="e">
        <v>#N/A</v>
      </c>
      <c r="IHI31" t="e">
        <v>#N/A</v>
      </c>
      <c r="IHJ31" t="e">
        <v>#N/A</v>
      </c>
      <c r="IHK31" t="e">
        <v>#N/A</v>
      </c>
      <c r="IHL31" t="e">
        <v>#N/A</v>
      </c>
      <c r="IHM31" t="e">
        <v>#N/A</v>
      </c>
      <c r="IHN31" t="e">
        <v>#N/A</v>
      </c>
      <c r="IHO31" t="e">
        <v>#N/A</v>
      </c>
      <c r="IHP31" t="e">
        <v>#N/A</v>
      </c>
      <c r="IHQ31" t="e">
        <v>#N/A</v>
      </c>
      <c r="IHR31" t="e">
        <v>#N/A</v>
      </c>
      <c r="IHS31" t="e">
        <v>#N/A</v>
      </c>
      <c r="IHT31" t="e">
        <v>#N/A</v>
      </c>
      <c r="IHU31" t="e">
        <v>#N/A</v>
      </c>
      <c r="IHV31" t="e">
        <v>#N/A</v>
      </c>
      <c r="IHW31" t="e">
        <v>#N/A</v>
      </c>
      <c r="IHX31" t="e">
        <v>#N/A</v>
      </c>
      <c r="IHY31" t="e">
        <v>#N/A</v>
      </c>
      <c r="IHZ31" t="e">
        <v>#N/A</v>
      </c>
      <c r="IIA31" t="e">
        <v>#N/A</v>
      </c>
      <c r="IIB31" t="e">
        <v>#N/A</v>
      </c>
      <c r="IIC31" t="e">
        <v>#N/A</v>
      </c>
      <c r="IID31" t="e">
        <v>#N/A</v>
      </c>
      <c r="IIE31" t="e">
        <v>#N/A</v>
      </c>
      <c r="IIF31" t="e">
        <v>#N/A</v>
      </c>
      <c r="IIG31" t="e">
        <v>#N/A</v>
      </c>
      <c r="IIH31" t="e">
        <v>#N/A</v>
      </c>
      <c r="III31" t="e">
        <v>#N/A</v>
      </c>
      <c r="IIJ31" t="e">
        <v>#N/A</v>
      </c>
      <c r="IIK31" t="e">
        <v>#N/A</v>
      </c>
      <c r="IIL31" t="e">
        <v>#N/A</v>
      </c>
      <c r="IIM31" t="e">
        <v>#N/A</v>
      </c>
      <c r="IIN31" t="e">
        <v>#N/A</v>
      </c>
      <c r="IIO31" t="e">
        <v>#N/A</v>
      </c>
      <c r="IIP31" t="e">
        <v>#N/A</v>
      </c>
      <c r="IIQ31" t="e">
        <v>#N/A</v>
      </c>
      <c r="IIR31" t="e">
        <v>#N/A</v>
      </c>
      <c r="IIS31" t="e">
        <v>#N/A</v>
      </c>
      <c r="IIT31" t="e">
        <v>#N/A</v>
      </c>
      <c r="IIU31" t="e">
        <v>#N/A</v>
      </c>
      <c r="IIV31" t="e">
        <v>#N/A</v>
      </c>
      <c r="IIW31" t="e">
        <v>#N/A</v>
      </c>
      <c r="IIX31" t="e">
        <v>#N/A</v>
      </c>
      <c r="IIY31" t="e">
        <v>#N/A</v>
      </c>
      <c r="IIZ31" t="e">
        <v>#N/A</v>
      </c>
      <c r="IJA31" t="e">
        <v>#N/A</v>
      </c>
      <c r="IJB31" t="e">
        <v>#N/A</v>
      </c>
      <c r="IJC31" t="e">
        <v>#N/A</v>
      </c>
      <c r="IJD31" t="e">
        <v>#N/A</v>
      </c>
      <c r="IJE31" t="e">
        <v>#N/A</v>
      </c>
      <c r="IJF31" t="e">
        <v>#N/A</v>
      </c>
      <c r="IJG31" t="e">
        <v>#N/A</v>
      </c>
      <c r="IJH31" t="e">
        <v>#N/A</v>
      </c>
      <c r="IJI31" t="e">
        <v>#N/A</v>
      </c>
      <c r="IJJ31" t="e">
        <v>#N/A</v>
      </c>
      <c r="IJK31" t="e">
        <v>#N/A</v>
      </c>
      <c r="IJL31" t="e">
        <v>#N/A</v>
      </c>
      <c r="IJM31" t="e">
        <v>#N/A</v>
      </c>
      <c r="IJN31" t="e">
        <v>#N/A</v>
      </c>
      <c r="IJO31" t="e">
        <v>#N/A</v>
      </c>
      <c r="IJP31" t="e">
        <v>#N/A</v>
      </c>
      <c r="IJQ31" t="e">
        <v>#N/A</v>
      </c>
      <c r="IJR31" t="e">
        <v>#N/A</v>
      </c>
      <c r="IJS31" t="e">
        <v>#N/A</v>
      </c>
      <c r="IJT31" t="e">
        <v>#N/A</v>
      </c>
      <c r="IJU31" t="e">
        <v>#N/A</v>
      </c>
      <c r="IJV31" t="e">
        <v>#N/A</v>
      </c>
      <c r="IJW31" t="e">
        <v>#N/A</v>
      </c>
      <c r="IJX31" t="e">
        <v>#N/A</v>
      </c>
      <c r="IJY31" t="e">
        <v>#N/A</v>
      </c>
      <c r="IJZ31" t="e">
        <v>#N/A</v>
      </c>
      <c r="IKA31" t="e">
        <v>#N/A</v>
      </c>
      <c r="IKB31" t="e">
        <v>#N/A</v>
      </c>
      <c r="IKC31" t="e">
        <v>#N/A</v>
      </c>
      <c r="IKD31" t="e">
        <v>#N/A</v>
      </c>
      <c r="IKE31" t="e">
        <v>#N/A</v>
      </c>
      <c r="IKF31" t="e">
        <v>#N/A</v>
      </c>
      <c r="IKG31" t="e">
        <v>#N/A</v>
      </c>
      <c r="IKH31" t="e">
        <v>#N/A</v>
      </c>
      <c r="IKI31" t="e">
        <v>#N/A</v>
      </c>
      <c r="IKJ31" t="e">
        <v>#N/A</v>
      </c>
      <c r="IKK31" t="e">
        <v>#N/A</v>
      </c>
      <c r="IKL31" t="e">
        <v>#N/A</v>
      </c>
      <c r="IKM31" t="e">
        <v>#N/A</v>
      </c>
      <c r="IKN31" t="e">
        <v>#N/A</v>
      </c>
      <c r="IKO31" t="e">
        <v>#N/A</v>
      </c>
      <c r="IKP31" t="e">
        <v>#N/A</v>
      </c>
      <c r="IKQ31" t="e">
        <v>#N/A</v>
      </c>
      <c r="IKR31" t="e">
        <v>#N/A</v>
      </c>
      <c r="IKS31" t="e">
        <v>#N/A</v>
      </c>
      <c r="IKT31" t="e">
        <v>#N/A</v>
      </c>
      <c r="IKU31" t="e">
        <v>#N/A</v>
      </c>
      <c r="IKV31" t="e">
        <v>#N/A</v>
      </c>
      <c r="IKW31" t="e">
        <v>#N/A</v>
      </c>
      <c r="IKX31" t="e">
        <v>#N/A</v>
      </c>
      <c r="IKY31" t="e">
        <v>#N/A</v>
      </c>
      <c r="IKZ31" t="e">
        <v>#N/A</v>
      </c>
      <c r="ILA31" t="e">
        <v>#N/A</v>
      </c>
      <c r="ILB31" t="e">
        <v>#N/A</v>
      </c>
      <c r="ILC31" t="e">
        <v>#N/A</v>
      </c>
      <c r="ILD31" t="e">
        <v>#N/A</v>
      </c>
      <c r="ILE31" t="e">
        <v>#N/A</v>
      </c>
      <c r="ILF31" t="e">
        <v>#N/A</v>
      </c>
      <c r="ILG31" t="e">
        <v>#N/A</v>
      </c>
      <c r="ILH31" t="e">
        <v>#N/A</v>
      </c>
      <c r="ILI31" t="e">
        <v>#N/A</v>
      </c>
      <c r="ILJ31" t="e">
        <v>#N/A</v>
      </c>
      <c r="ILK31" t="e">
        <v>#N/A</v>
      </c>
      <c r="ILL31" t="e">
        <v>#N/A</v>
      </c>
      <c r="ILM31" t="e">
        <v>#N/A</v>
      </c>
      <c r="ILN31" t="e">
        <v>#N/A</v>
      </c>
      <c r="ILO31" t="e">
        <v>#N/A</v>
      </c>
      <c r="ILP31" t="e">
        <v>#N/A</v>
      </c>
      <c r="ILQ31" t="e">
        <v>#N/A</v>
      </c>
      <c r="ILR31" t="e">
        <v>#N/A</v>
      </c>
      <c r="ILS31" t="e">
        <v>#N/A</v>
      </c>
      <c r="ILT31" t="e">
        <v>#N/A</v>
      </c>
      <c r="ILU31" t="e">
        <v>#N/A</v>
      </c>
      <c r="ILV31" t="e">
        <v>#N/A</v>
      </c>
      <c r="ILW31" t="e">
        <v>#N/A</v>
      </c>
      <c r="ILX31" t="e">
        <v>#N/A</v>
      </c>
      <c r="ILY31" t="e">
        <v>#N/A</v>
      </c>
      <c r="ILZ31" t="e">
        <v>#N/A</v>
      </c>
      <c r="IMA31" t="e">
        <v>#N/A</v>
      </c>
      <c r="IMB31" t="e">
        <v>#N/A</v>
      </c>
      <c r="IMC31" t="e">
        <v>#N/A</v>
      </c>
      <c r="IMD31" t="e">
        <v>#N/A</v>
      </c>
      <c r="IME31" t="e">
        <v>#N/A</v>
      </c>
      <c r="IMF31" t="e">
        <v>#N/A</v>
      </c>
      <c r="IMG31" t="e">
        <v>#N/A</v>
      </c>
      <c r="IMH31" t="e">
        <v>#N/A</v>
      </c>
      <c r="IMI31" t="e">
        <v>#N/A</v>
      </c>
      <c r="IMJ31" t="e">
        <v>#N/A</v>
      </c>
      <c r="IMK31" t="e">
        <v>#N/A</v>
      </c>
      <c r="IML31" t="e">
        <v>#N/A</v>
      </c>
      <c r="IMM31" t="e">
        <v>#N/A</v>
      </c>
      <c r="IMN31" t="e">
        <v>#N/A</v>
      </c>
      <c r="IMO31" t="e">
        <v>#N/A</v>
      </c>
      <c r="IMP31" t="e">
        <v>#N/A</v>
      </c>
      <c r="IMQ31" t="e">
        <v>#N/A</v>
      </c>
      <c r="IMR31" t="e">
        <v>#N/A</v>
      </c>
      <c r="IMS31" t="e">
        <v>#N/A</v>
      </c>
      <c r="IMT31" t="e">
        <v>#N/A</v>
      </c>
      <c r="IMU31" t="e">
        <v>#N/A</v>
      </c>
      <c r="IMV31" t="e">
        <v>#N/A</v>
      </c>
      <c r="IMW31" t="e">
        <v>#N/A</v>
      </c>
      <c r="IMX31" t="e">
        <v>#N/A</v>
      </c>
      <c r="IMY31" t="e">
        <v>#N/A</v>
      </c>
      <c r="IMZ31" t="e">
        <v>#N/A</v>
      </c>
      <c r="INA31" t="e">
        <v>#N/A</v>
      </c>
      <c r="INB31" t="e">
        <v>#N/A</v>
      </c>
      <c r="INC31" t="e">
        <v>#N/A</v>
      </c>
      <c r="IND31" t="e">
        <v>#N/A</v>
      </c>
      <c r="INE31" t="e">
        <v>#N/A</v>
      </c>
      <c r="INF31" t="e">
        <v>#N/A</v>
      </c>
      <c r="ING31" t="e">
        <v>#N/A</v>
      </c>
      <c r="INH31" t="e">
        <v>#N/A</v>
      </c>
      <c r="INI31" t="e">
        <v>#N/A</v>
      </c>
      <c r="INJ31" t="e">
        <v>#N/A</v>
      </c>
      <c r="INK31" t="e">
        <v>#N/A</v>
      </c>
      <c r="INL31" t="e">
        <v>#N/A</v>
      </c>
      <c r="INM31" t="e">
        <v>#N/A</v>
      </c>
      <c r="INN31" t="e">
        <v>#N/A</v>
      </c>
      <c r="INO31" t="e">
        <v>#N/A</v>
      </c>
      <c r="INP31" t="e">
        <v>#N/A</v>
      </c>
      <c r="INQ31" t="e">
        <v>#N/A</v>
      </c>
      <c r="INR31" t="e">
        <v>#N/A</v>
      </c>
      <c r="INS31" t="e">
        <v>#N/A</v>
      </c>
      <c r="INT31" t="e">
        <v>#N/A</v>
      </c>
      <c r="INU31" t="e">
        <v>#N/A</v>
      </c>
      <c r="INV31" t="e">
        <v>#N/A</v>
      </c>
      <c r="INW31" t="e">
        <v>#N/A</v>
      </c>
      <c r="INX31" t="e">
        <v>#N/A</v>
      </c>
      <c r="INY31" t="e">
        <v>#N/A</v>
      </c>
      <c r="INZ31" t="e">
        <v>#N/A</v>
      </c>
      <c r="IOA31" t="e">
        <v>#N/A</v>
      </c>
      <c r="IOB31" t="e">
        <v>#N/A</v>
      </c>
      <c r="IOC31" t="e">
        <v>#N/A</v>
      </c>
      <c r="IOD31" t="e">
        <v>#N/A</v>
      </c>
      <c r="IOE31" t="e">
        <v>#N/A</v>
      </c>
      <c r="IOF31" t="e">
        <v>#N/A</v>
      </c>
      <c r="IOG31" t="e">
        <v>#N/A</v>
      </c>
      <c r="IOH31" t="e">
        <v>#N/A</v>
      </c>
      <c r="IOI31" t="e">
        <v>#N/A</v>
      </c>
      <c r="IOJ31" t="e">
        <v>#N/A</v>
      </c>
      <c r="IOK31" t="e">
        <v>#N/A</v>
      </c>
      <c r="IOL31" t="e">
        <v>#N/A</v>
      </c>
      <c r="IOM31" t="e">
        <v>#N/A</v>
      </c>
      <c r="ION31" t="e">
        <v>#N/A</v>
      </c>
      <c r="IOO31" t="e">
        <v>#N/A</v>
      </c>
      <c r="IOP31" t="e">
        <v>#N/A</v>
      </c>
      <c r="IOQ31" t="e">
        <v>#N/A</v>
      </c>
      <c r="IOR31" t="e">
        <v>#N/A</v>
      </c>
      <c r="IOS31" t="e">
        <v>#N/A</v>
      </c>
      <c r="IOT31" t="e">
        <v>#N/A</v>
      </c>
      <c r="IOU31" t="e">
        <v>#N/A</v>
      </c>
      <c r="IOV31" t="e">
        <v>#N/A</v>
      </c>
      <c r="IOW31" t="e">
        <v>#N/A</v>
      </c>
      <c r="IOX31" t="e">
        <v>#N/A</v>
      </c>
      <c r="IOY31" t="e">
        <v>#N/A</v>
      </c>
      <c r="IOZ31" t="e">
        <v>#N/A</v>
      </c>
      <c r="IPA31" t="e">
        <v>#N/A</v>
      </c>
      <c r="IPB31" t="e">
        <v>#N/A</v>
      </c>
      <c r="IPC31" t="e">
        <v>#N/A</v>
      </c>
      <c r="IPD31" t="e">
        <v>#N/A</v>
      </c>
      <c r="IPE31" t="e">
        <v>#N/A</v>
      </c>
      <c r="IPF31" t="e">
        <v>#N/A</v>
      </c>
      <c r="IPG31" t="e">
        <v>#N/A</v>
      </c>
      <c r="IPH31" t="e">
        <v>#N/A</v>
      </c>
      <c r="IPI31" t="e">
        <v>#N/A</v>
      </c>
      <c r="IPJ31" t="e">
        <v>#N/A</v>
      </c>
      <c r="IPK31" t="e">
        <v>#N/A</v>
      </c>
      <c r="IPL31" t="e">
        <v>#N/A</v>
      </c>
      <c r="IPM31" t="e">
        <v>#N/A</v>
      </c>
      <c r="IPN31" t="e">
        <v>#N/A</v>
      </c>
      <c r="IPO31" t="e">
        <v>#N/A</v>
      </c>
      <c r="IPP31" t="e">
        <v>#N/A</v>
      </c>
      <c r="IPQ31" t="e">
        <v>#N/A</v>
      </c>
      <c r="IPR31" t="e">
        <v>#N/A</v>
      </c>
      <c r="IPS31" t="e">
        <v>#N/A</v>
      </c>
      <c r="IPT31" t="e">
        <v>#N/A</v>
      </c>
      <c r="IPU31" t="e">
        <v>#N/A</v>
      </c>
      <c r="IPV31" t="e">
        <v>#N/A</v>
      </c>
      <c r="IPW31" t="e">
        <v>#N/A</v>
      </c>
      <c r="IPX31" t="e">
        <v>#N/A</v>
      </c>
      <c r="IPY31" t="e">
        <v>#N/A</v>
      </c>
      <c r="IPZ31" t="e">
        <v>#N/A</v>
      </c>
      <c r="IQA31" t="e">
        <v>#N/A</v>
      </c>
      <c r="IQB31" t="e">
        <v>#N/A</v>
      </c>
      <c r="IQC31" t="e">
        <v>#N/A</v>
      </c>
      <c r="IQD31" t="e">
        <v>#N/A</v>
      </c>
      <c r="IQE31" t="e">
        <v>#N/A</v>
      </c>
      <c r="IQF31" t="e">
        <v>#N/A</v>
      </c>
      <c r="IQG31" t="e">
        <v>#N/A</v>
      </c>
      <c r="IQH31" t="e">
        <v>#N/A</v>
      </c>
      <c r="IQI31" t="e">
        <v>#N/A</v>
      </c>
      <c r="IQJ31" t="e">
        <v>#N/A</v>
      </c>
      <c r="IQK31" t="e">
        <v>#N/A</v>
      </c>
      <c r="IQL31" t="e">
        <v>#N/A</v>
      </c>
      <c r="IQM31" t="e">
        <v>#N/A</v>
      </c>
      <c r="IQN31" t="e">
        <v>#N/A</v>
      </c>
      <c r="IQO31" t="e">
        <v>#N/A</v>
      </c>
      <c r="IQP31" t="e">
        <v>#N/A</v>
      </c>
      <c r="IQQ31" t="e">
        <v>#N/A</v>
      </c>
      <c r="IQR31" t="e">
        <v>#N/A</v>
      </c>
      <c r="IQS31" t="e">
        <v>#N/A</v>
      </c>
      <c r="IQT31" t="e">
        <v>#N/A</v>
      </c>
      <c r="IQU31" t="e">
        <v>#N/A</v>
      </c>
      <c r="IQV31" t="e">
        <v>#N/A</v>
      </c>
      <c r="IQW31" t="e">
        <v>#N/A</v>
      </c>
      <c r="IQX31" t="e">
        <v>#N/A</v>
      </c>
      <c r="IQY31" t="e">
        <v>#N/A</v>
      </c>
      <c r="IQZ31" t="e">
        <v>#N/A</v>
      </c>
      <c r="IRA31" t="e">
        <v>#N/A</v>
      </c>
      <c r="IRB31" t="e">
        <v>#N/A</v>
      </c>
      <c r="IRC31" t="e">
        <v>#N/A</v>
      </c>
      <c r="IRD31" t="e">
        <v>#N/A</v>
      </c>
      <c r="IRE31" t="e">
        <v>#N/A</v>
      </c>
      <c r="IRF31" t="e">
        <v>#N/A</v>
      </c>
      <c r="IRG31" t="e">
        <v>#N/A</v>
      </c>
      <c r="IRH31" t="e">
        <v>#N/A</v>
      </c>
      <c r="IRI31" t="e">
        <v>#N/A</v>
      </c>
      <c r="IRJ31" t="e">
        <v>#N/A</v>
      </c>
      <c r="IRK31" t="e">
        <v>#N/A</v>
      </c>
      <c r="IRL31" t="e">
        <v>#N/A</v>
      </c>
      <c r="IRM31" t="e">
        <v>#N/A</v>
      </c>
      <c r="IRN31" t="e">
        <v>#N/A</v>
      </c>
      <c r="IRO31" t="e">
        <v>#N/A</v>
      </c>
      <c r="IRP31" t="e">
        <v>#N/A</v>
      </c>
      <c r="IRQ31" t="e">
        <v>#N/A</v>
      </c>
      <c r="IRR31" t="e">
        <v>#N/A</v>
      </c>
      <c r="IRS31" t="e">
        <v>#N/A</v>
      </c>
      <c r="IRT31" t="e">
        <v>#N/A</v>
      </c>
      <c r="IRU31" t="e">
        <v>#N/A</v>
      </c>
      <c r="IRV31" t="e">
        <v>#N/A</v>
      </c>
      <c r="IRW31" t="e">
        <v>#N/A</v>
      </c>
      <c r="IRX31" t="e">
        <v>#N/A</v>
      </c>
      <c r="IRY31" t="e">
        <v>#N/A</v>
      </c>
      <c r="IRZ31" t="e">
        <v>#N/A</v>
      </c>
      <c r="ISA31" t="e">
        <v>#N/A</v>
      </c>
      <c r="ISB31" t="e">
        <v>#N/A</v>
      </c>
      <c r="ISC31" t="e">
        <v>#N/A</v>
      </c>
      <c r="ISD31" t="e">
        <v>#N/A</v>
      </c>
      <c r="ISE31" t="e">
        <v>#N/A</v>
      </c>
      <c r="ISF31" t="e">
        <v>#N/A</v>
      </c>
      <c r="ISG31" t="e">
        <v>#N/A</v>
      </c>
      <c r="ISH31" t="e">
        <v>#N/A</v>
      </c>
      <c r="ISI31" t="e">
        <v>#N/A</v>
      </c>
      <c r="ISJ31" t="e">
        <v>#N/A</v>
      </c>
      <c r="ISK31" t="e">
        <v>#N/A</v>
      </c>
      <c r="ISL31" t="e">
        <v>#N/A</v>
      </c>
      <c r="ISM31" t="e">
        <v>#N/A</v>
      </c>
      <c r="ISN31" t="e">
        <v>#N/A</v>
      </c>
      <c r="ISO31" t="e">
        <v>#N/A</v>
      </c>
      <c r="ISP31" t="e">
        <v>#N/A</v>
      </c>
      <c r="ISQ31" t="e">
        <v>#N/A</v>
      </c>
      <c r="ISR31" t="e">
        <v>#N/A</v>
      </c>
      <c r="ISS31" t="e">
        <v>#N/A</v>
      </c>
      <c r="IST31" t="e">
        <v>#N/A</v>
      </c>
      <c r="ISU31" t="e">
        <v>#N/A</v>
      </c>
      <c r="ISV31" t="e">
        <v>#N/A</v>
      </c>
      <c r="ISW31" t="e">
        <v>#N/A</v>
      </c>
      <c r="ISX31" t="e">
        <v>#N/A</v>
      </c>
      <c r="ISY31" t="e">
        <v>#N/A</v>
      </c>
      <c r="ISZ31" t="e">
        <v>#N/A</v>
      </c>
      <c r="ITA31" t="e">
        <v>#N/A</v>
      </c>
      <c r="ITB31" t="e">
        <v>#N/A</v>
      </c>
      <c r="ITC31" t="e">
        <v>#N/A</v>
      </c>
      <c r="ITD31" t="e">
        <v>#N/A</v>
      </c>
      <c r="ITE31" t="e">
        <v>#N/A</v>
      </c>
      <c r="ITF31" t="e">
        <v>#N/A</v>
      </c>
      <c r="ITG31" t="e">
        <v>#N/A</v>
      </c>
      <c r="ITH31" t="e">
        <v>#N/A</v>
      </c>
      <c r="ITI31" t="e">
        <v>#N/A</v>
      </c>
      <c r="ITJ31" t="e">
        <v>#N/A</v>
      </c>
      <c r="ITK31" t="e">
        <v>#N/A</v>
      </c>
      <c r="ITL31" t="e">
        <v>#N/A</v>
      </c>
      <c r="ITM31" t="e">
        <v>#N/A</v>
      </c>
      <c r="ITN31" t="e">
        <v>#N/A</v>
      </c>
      <c r="ITO31" t="e">
        <v>#N/A</v>
      </c>
      <c r="ITP31" t="e">
        <v>#N/A</v>
      </c>
      <c r="ITQ31" t="e">
        <v>#N/A</v>
      </c>
      <c r="ITR31" t="e">
        <v>#N/A</v>
      </c>
      <c r="ITS31" t="e">
        <v>#N/A</v>
      </c>
      <c r="ITT31" t="e">
        <v>#N/A</v>
      </c>
      <c r="ITU31" t="e">
        <v>#N/A</v>
      </c>
      <c r="ITV31" t="e">
        <v>#N/A</v>
      </c>
      <c r="ITW31" t="e">
        <v>#N/A</v>
      </c>
      <c r="ITX31" t="e">
        <v>#N/A</v>
      </c>
      <c r="ITY31" t="e">
        <v>#N/A</v>
      </c>
      <c r="ITZ31" t="e">
        <v>#N/A</v>
      </c>
      <c r="IUA31" t="e">
        <v>#N/A</v>
      </c>
      <c r="IUB31" t="e">
        <v>#N/A</v>
      </c>
      <c r="IUC31" t="e">
        <v>#N/A</v>
      </c>
      <c r="IUD31" t="e">
        <v>#N/A</v>
      </c>
      <c r="IUE31" t="e">
        <v>#N/A</v>
      </c>
      <c r="IUF31" t="e">
        <v>#N/A</v>
      </c>
      <c r="IUG31" t="e">
        <v>#N/A</v>
      </c>
      <c r="IUH31" t="e">
        <v>#N/A</v>
      </c>
      <c r="IUI31" t="e">
        <v>#N/A</v>
      </c>
      <c r="IUJ31" t="e">
        <v>#N/A</v>
      </c>
      <c r="IUK31" t="e">
        <v>#N/A</v>
      </c>
      <c r="IUL31" t="e">
        <v>#N/A</v>
      </c>
      <c r="IUM31" t="e">
        <v>#N/A</v>
      </c>
      <c r="IUN31" t="e">
        <v>#N/A</v>
      </c>
      <c r="IUO31" t="e">
        <v>#N/A</v>
      </c>
      <c r="IUP31" t="e">
        <v>#N/A</v>
      </c>
      <c r="IUQ31" t="e">
        <v>#N/A</v>
      </c>
      <c r="IUR31" t="e">
        <v>#N/A</v>
      </c>
      <c r="IUS31" t="e">
        <v>#N/A</v>
      </c>
      <c r="IUT31" t="e">
        <v>#N/A</v>
      </c>
      <c r="IUU31" t="e">
        <v>#N/A</v>
      </c>
      <c r="IUV31" t="e">
        <v>#N/A</v>
      </c>
      <c r="IUW31" t="e">
        <v>#N/A</v>
      </c>
      <c r="IUX31" t="e">
        <v>#N/A</v>
      </c>
      <c r="IUY31" t="e">
        <v>#N/A</v>
      </c>
      <c r="IUZ31" t="e">
        <v>#N/A</v>
      </c>
      <c r="IVA31" t="e">
        <v>#N/A</v>
      </c>
      <c r="IVB31" t="e">
        <v>#N/A</v>
      </c>
      <c r="IVC31" t="e">
        <v>#N/A</v>
      </c>
      <c r="IVD31" t="e">
        <v>#N/A</v>
      </c>
      <c r="IVE31" t="e">
        <v>#N/A</v>
      </c>
      <c r="IVF31" t="e">
        <v>#N/A</v>
      </c>
      <c r="IVG31" t="e">
        <v>#N/A</v>
      </c>
      <c r="IVH31" t="e">
        <v>#N/A</v>
      </c>
      <c r="IVI31" t="e">
        <v>#N/A</v>
      </c>
      <c r="IVJ31" t="e">
        <v>#N/A</v>
      </c>
      <c r="IVK31" t="e">
        <v>#N/A</v>
      </c>
      <c r="IVL31" t="e">
        <v>#N/A</v>
      </c>
      <c r="IVM31" t="e">
        <v>#N/A</v>
      </c>
      <c r="IVN31" t="e">
        <v>#N/A</v>
      </c>
      <c r="IVO31" t="e">
        <v>#N/A</v>
      </c>
      <c r="IVP31" t="e">
        <v>#N/A</v>
      </c>
      <c r="IVQ31" t="e">
        <v>#N/A</v>
      </c>
      <c r="IVR31" t="e">
        <v>#N/A</v>
      </c>
      <c r="IVS31" t="e">
        <v>#N/A</v>
      </c>
      <c r="IVT31" t="e">
        <v>#N/A</v>
      </c>
      <c r="IVU31" t="e">
        <v>#N/A</v>
      </c>
      <c r="IVV31" t="e">
        <v>#N/A</v>
      </c>
      <c r="IVW31" t="e">
        <v>#N/A</v>
      </c>
      <c r="IVX31" t="e">
        <v>#N/A</v>
      </c>
      <c r="IVY31" t="e">
        <v>#N/A</v>
      </c>
      <c r="IVZ31" t="e">
        <v>#N/A</v>
      </c>
      <c r="IWA31" t="e">
        <v>#N/A</v>
      </c>
      <c r="IWB31" t="e">
        <v>#N/A</v>
      </c>
      <c r="IWC31" t="e">
        <v>#N/A</v>
      </c>
      <c r="IWD31" t="e">
        <v>#N/A</v>
      </c>
      <c r="IWE31" t="e">
        <v>#N/A</v>
      </c>
      <c r="IWF31" t="e">
        <v>#N/A</v>
      </c>
      <c r="IWG31" t="e">
        <v>#N/A</v>
      </c>
      <c r="IWH31" t="e">
        <v>#N/A</v>
      </c>
      <c r="IWI31" t="e">
        <v>#N/A</v>
      </c>
      <c r="IWJ31" t="e">
        <v>#N/A</v>
      </c>
      <c r="IWK31" t="e">
        <v>#N/A</v>
      </c>
      <c r="IWL31" t="e">
        <v>#N/A</v>
      </c>
      <c r="IWM31" t="e">
        <v>#N/A</v>
      </c>
      <c r="IWN31" t="e">
        <v>#N/A</v>
      </c>
      <c r="IWO31" t="e">
        <v>#N/A</v>
      </c>
      <c r="IWP31" t="e">
        <v>#N/A</v>
      </c>
      <c r="IWQ31" t="e">
        <v>#N/A</v>
      </c>
      <c r="IWR31" t="e">
        <v>#N/A</v>
      </c>
      <c r="IWS31" t="e">
        <v>#N/A</v>
      </c>
      <c r="IWT31" t="e">
        <v>#N/A</v>
      </c>
      <c r="IWU31" t="e">
        <v>#N/A</v>
      </c>
      <c r="IWV31" t="e">
        <v>#N/A</v>
      </c>
      <c r="IWW31" t="e">
        <v>#N/A</v>
      </c>
      <c r="IWX31" t="e">
        <v>#N/A</v>
      </c>
      <c r="IWY31" t="e">
        <v>#N/A</v>
      </c>
      <c r="IWZ31" t="e">
        <v>#N/A</v>
      </c>
      <c r="IXA31" t="e">
        <v>#N/A</v>
      </c>
      <c r="IXB31" t="e">
        <v>#N/A</v>
      </c>
      <c r="IXC31" t="e">
        <v>#N/A</v>
      </c>
      <c r="IXD31" t="e">
        <v>#N/A</v>
      </c>
      <c r="IXE31" t="e">
        <v>#N/A</v>
      </c>
      <c r="IXF31" t="e">
        <v>#N/A</v>
      </c>
      <c r="IXG31" t="e">
        <v>#N/A</v>
      </c>
      <c r="IXH31" t="e">
        <v>#N/A</v>
      </c>
      <c r="IXI31" t="e">
        <v>#N/A</v>
      </c>
      <c r="IXJ31" t="e">
        <v>#N/A</v>
      </c>
      <c r="IXK31" t="e">
        <v>#N/A</v>
      </c>
      <c r="IXL31" t="e">
        <v>#N/A</v>
      </c>
      <c r="IXM31" t="e">
        <v>#N/A</v>
      </c>
      <c r="IXN31" t="e">
        <v>#N/A</v>
      </c>
      <c r="IXO31" t="e">
        <v>#N/A</v>
      </c>
      <c r="IXP31" t="e">
        <v>#N/A</v>
      </c>
      <c r="IXQ31" t="e">
        <v>#N/A</v>
      </c>
      <c r="IXR31" t="e">
        <v>#N/A</v>
      </c>
      <c r="IXS31" t="e">
        <v>#N/A</v>
      </c>
      <c r="IXT31" t="e">
        <v>#N/A</v>
      </c>
      <c r="IXU31" t="e">
        <v>#N/A</v>
      </c>
      <c r="IXV31" t="e">
        <v>#N/A</v>
      </c>
      <c r="IXW31" t="e">
        <v>#N/A</v>
      </c>
      <c r="IXX31" t="e">
        <v>#N/A</v>
      </c>
      <c r="IXY31" t="e">
        <v>#N/A</v>
      </c>
      <c r="IXZ31" t="e">
        <v>#N/A</v>
      </c>
      <c r="IYA31" t="e">
        <v>#N/A</v>
      </c>
      <c r="IYB31" t="e">
        <v>#N/A</v>
      </c>
      <c r="IYC31" t="e">
        <v>#N/A</v>
      </c>
      <c r="IYD31" t="e">
        <v>#N/A</v>
      </c>
      <c r="IYE31" t="e">
        <v>#N/A</v>
      </c>
      <c r="IYF31" t="e">
        <v>#N/A</v>
      </c>
      <c r="IYG31" t="e">
        <v>#N/A</v>
      </c>
      <c r="IYH31" t="e">
        <v>#N/A</v>
      </c>
      <c r="IYI31" t="e">
        <v>#N/A</v>
      </c>
      <c r="IYJ31" t="e">
        <v>#N/A</v>
      </c>
      <c r="IYK31" t="e">
        <v>#N/A</v>
      </c>
      <c r="IYL31" t="e">
        <v>#N/A</v>
      </c>
      <c r="IYM31" t="e">
        <v>#N/A</v>
      </c>
      <c r="IYN31" t="e">
        <v>#N/A</v>
      </c>
      <c r="IYO31" t="e">
        <v>#N/A</v>
      </c>
      <c r="IYP31" t="e">
        <v>#N/A</v>
      </c>
      <c r="IYQ31" t="e">
        <v>#N/A</v>
      </c>
      <c r="IYR31" t="e">
        <v>#N/A</v>
      </c>
      <c r="IYS31" t="e">
        <v>#N/A</v>
      </c>
      <c r="IYT31" t="e">
        <v>#N/A</v>
      </c>
      <c r="IYU31" t="e">
        <v>#N/A</v>
      </c>
      <c r="IYV31" t="e">
        <v>#N/A</v>
      </c>
      <c r="IYW31" t="e">
        <v>#N/A</v>
      </c>
      <c r="IYX31" t="e">
        <v>#N/A</v>
      </c>
      <c r="IYY31" t="e">
        <v>#N/A</v>
      </c>
      <c r="IYZ31" t="e">
        <v>#N/A</v>
      </c>
      <c r="IZA31" t="e">
        <v>#N/A</v>
      </c>
      <c r="IZB31" t="e">
        <v>#N/A</v>
      </c>
      <c r="IZC31" t="e">
        <v>#N/A</v>
      </c>
      <c r="IZD31" t="e">
        <v>#N/A</v>
      </c>
      <c r="IZE31" t="e">
        <v>#N/A</v>
      </c>
      <c r="IZF31" t="e">
        <v>#N/A</v>
      </c>
      <c r="IZG31" t="e">
        <v>#N/A</v>
      </c>
      <c r="IZH31" t="e">
        <v>#N/A</v>
      </c>
      <c r="IZI31" t="e">
        <v>#N/A</v>
      </c>
      <c r="IZJ31" t="e">
        <v>#N/A</v>
      </c>
      <c r="IZK31" t="e">
        <v>#N/A</v>
      </c>
      <c r="IZL31" t="e">
        <v>#N/A</v>
      </c>
      <c r="IZM31" t="e">
        <v>#N/A</v>
      </c>
      <c r="IZN31" t="e">
        <v>#N/A</v>
      </c>
      <c r="IZO31" t="e">
        <v>#N/A</v>
      </c>
      <c r="IZP31" t="e">
        <v>#N/A</v>
      </c>
      <c r="IZQ31" t="e">
        <v>#N/A</v>
      </c>
      <c r="IZR31" t="e">
        <v>#N/A</v>
      </c>
      <c r="IZS31" t="e">
        <v>#N/A</v>
      </c>
      <c r="IZT31" t="e">
        <v>#N/A</v>
      </c>
      <c r="IZU31" t="e">
        <v>#N/A</v>
      </c>
      <c r="IZV31" t="e">
        <v>#N/A</v>
      </c>
      <c r="IZW31" t="e">
        <v>#N/A</v>
      </c>
      <c r="IZX31" t="e">
        <v>#N/A</v>
      </c>
      <c r="IZY31" t="e">
        <v>#N/A</v>
      </c>
      <c r="IZZ31" t="e">
        <v>#N/A</v>
      </c>
      <c r="JAA31" t="e">
        <v>#N/A</v>
      </c>
      <c r="JAB31" t="e">
        <v>#N/A</v>
      </c>
      <c r="JAC31" t="e">
        <v>#N/A</v>
      </c>
      <c r="JAD31" t="e">
        <v>#N/A</v>
      </c>
      <c r="JAE31" t="e">
        <v>#N/A</v>
      </c>
      <c r="JAF31" t="e">
        <v>#N/A</v>
      </c>
      <c r="JAG31" t="e">
        <v>#N/A</v>
      </c>
      <c r="JAH31" t="e">
        <v>#N/A</v>
      </c>
      <c r="JAI31" t="e">
        <v>#N/A</v>
      </c>
      <c r="JAJ31" t="e">
        <v>#N/A</v>
      </c>
      <c r="JAK31" t="e">
        <v>#N/A</v>
      </c>
      <c r="JAL31" t="e">
        <v>#N/A</v>
      </c>
      <c r="JAM31" t="e">
        <v>#N/A</v>
      </c>
      <c r="JAN31" t="e">
        <v>#N/A</v>
      </c>
      <c r="JAO31" t="e">
        <v>#N/A</v>
      </c>
      <c r="JAP31" t="e">
        <v>#N/A</v>
      </c>
      <c r="JAQ31" t="e">
        <v>#N/A</v>
      </c>
      <c r="JAR31" t="e">
        <v>#N/A</v>
      </c>
      <c r="JAS31" t="e">
        <v>#N/A</v>
      </c>
      <c r="JAT31" t="e">
        <v>#N/A</v>
      </c>
      <c r="JAU31" t="e">
        <v>#N/A</v>
      </c>
      <c r="JAV31" t="e">
        <v>#N/A</v>
      </c>
      <c r="JAW31" t="e">
        <v>#N/A</v>
      </c>
      <c r="JAX31" t="e">
        <v>#N/A</v>
      </c>
      <c r="JAY31" t="e">
        <v>#N/A</v>
      </c>
      <c r="JAZ31" t="e">
        <v>#N/A</v>
      </c>
      <c r="JBA31" t="e">
        <v>#N/A</v>
      </c>
      <c r="JBB31" t="e">
        <v>#N/A</v>
      </c>
      <c r="JBC31" t="e">
        <v>#N/A</v>
      </c>
      <c r="JBD31" t="e">
        <v>#N/A</v>
      </c>
      <c r="JBE31" t="e">
        <v>#N/A</v>
      </c>
      <c r="JBF31" t="e">
        <v>#N/A</v>
      </c>
      <c r="JBG31" t="e">
        <v>#N/A</v>
      </c>
      <c r="JBH31" t="e">
        <v>#N/A</v>
      </c>
      <c r="JBI31" t="e">
        <v>#N/A</v>
      </c>
      <c r="JBJ31" t="e">
        <v>#N/A</v>
      </c>
      <c r="JBK31" t="e">
        <v>#N/A</v>
      </c>
      <c r="JBL31" t="e">
        <v>#N/A</v>
      </c>
      <c r="JBM31" t="e">
        <v>#N/A</v>
      </c>
      <c r="JBN31" t="e">
        <v>#N/A</v>
      </c>
      <c r="JBO31" t="e">
        <v>#N/A</v>
      </c>
      <c r="JBP31" t="e">
        <v>#N/A</v>
      </c>
      <c r="JBQ31" t="e">
        <v>#N/A</v>
      </c>
      <c r="JBR31" t="e">
        <v>#N/A</v>
      </c>
      <c r="JBS31" t="e">
        <v>#N/A</v>
      </c>
      <c r="JBT31" t="e">
        <v>#N/A</v>
      </c>
      <c r="JBU31" t="e">
        <v>#N/A</v>
      </c>
      <c r="JBV31" t="e">
        <v>#N/A</v>
      </c>
      <c r="JBW31" t="e">
        <v>#N/A</v>
      </c>
      <c r="JBX31" t="e">
        <v>#N/A</v>
      </c>
      <c r="JBY31" t="e">
        <v>#N/A</v>
      </c>
      <c r="JBZ31" t="e">
        <v>#N/A</v>
      </c>
      <c r="JCA31" t="e">
        <v>#N/A</v>
      </c>
      <c r="JCB31" t="e">
        <v>#N/A</v>
      </c>
      <c r="JCC31" t="e">
        <v>#N/A</v>
      </c>
      <c r="JCD31" t="e">
        <v>#N/A</v>
      </c>
      <c r="JCE31" t="e">
        <v>#N/A</v>
      </c>
      <c r="JCF31" t="e">
        <v>#N/A</v>
      </c>
      <c r="JCG31" t="e">
        <v>#N/A</v>
      </c>
      <c r="JCH31" t="e">
        <v>#N/A</v>
      </c>
      <c r="JCI31" t="e">
        <v>#N/A</v>
      </c>
      <c r="JCJ31" t="e">
        <v>#N/A</v>
      </c>
      <c r="JCK31" t="e">
        <v>#N/A</v>
      </c>
      <c r="JCL31" t="e">
        <v>#N/A</v>
      </c>
      <c r="JCM31" t="e">
        <v>#N/A</v>
      </c>
      <c r="JCN31" t="e">
        <v>#N/A</v>
      </c>
      <c r="JCO31" t="e">
        <v>#N/A</v>
      </c>
      <c r="JCP31" t="e">
        <v>#N/A</v>
      </c>
      <c r="JCQ31" t="e">
        <v>#N/A</v>
      </c>
      <c r="JCR31" t="e">
        <v>#N/A</v>
      </c>
      <c r="JCS31" t="e">
        <v>#N/A</v>
      </c>
      <c r="JCT31" t="e">
        <v>#N/A</v>
      </c>
      <c r="JCU31" t="e">
        <v>#N/A</v>
      </c>
      <c r="JCV31" t="e">
        <v>#N/A</v>
      </c>
      <c r="JCW31" t="e">
        <v>#N/A</v>
      </c>
      <c r="JCX31" t="e">
        <v>#N/A</v>
      </c>
      <c r="JCY31" t="e">
        <v>#N/A</v>
      </c>
      <c r="JCZ31" t="e">
        <v>#N/A</v>
      </c>
      <c r="JDA31" t="e">
        <v>#N/A</v>
      </c>
      <c r="JDB31" t="e">
        <v>#N/A</v>
      </c>
      <c r="JDC31" t="e">
        <v>#N/A</v>
      </c>
      <c r="JDD31" t="e">
        <v>#N/A</v>
      </c>
      <c r="JDE31" t="e">
        <v>#N/A</v>
      </c>
      <c r="JDF31" t="e">
        <v>#N/A</v>
      </c>
      <c r="JDG31" t="e">
        <v>#N/A</v>
      </c>
      <c r="JDH31" t="e">
        <v>#N/A</v>
      </c>
      <c r="JDI31" t="e">
        <v>#N/A</v>
      </c>
      <c r="JDJ31" t="e">
        <v>#N/A</v>
      </c>
      <c r="JDK31" t="e">
        <v>#N/A</v>
      </c>
      <c r="JDL31" t="e">
        <v>#N/A</v>
      </c>
      <c r="JDM31" t="e">
        <v>#N/A</v>
      </c>
      <c r="JDN31" t="e">
        <v>#N/A</v>
      </c>
      <c r="JDO31" t="e">
        <v>#N/A</v>
      </c>
      <c r="JDP31" t="e">
        <v>#N/A</v>
      </c>
      <c r="JDQ31" t="e">
        <v>#N/A</v>
      </c>
      <c r="JDR31" t="e">
        <v>#N/A</v>
      </c>
      <c r="JDS31" t="e">
        <v>#N/A</v>
      </c>
      <c r="JDT31" t="e">
        <v>#N/A</v>
      </c>
      <c r="JDU31" t="e">
        <v>#N/A</v>
      </c>
      <c r="JDV31" t="e">
        <v>#N/A</v>
      </c>
      <c r="JDW31" t="e">
        <v>#N/A</v>
      </c>
      <c r="JDX31" t="e">
        <v>#N/A</v>
      </c>
      <c r="JDY31" t="e">
        <v>#N/A</v>
      </c>
      <c r="JDZ31" t="e">
        <v>#N/A</v>
      </c>
      <c r="JEA31" t="e">
        <v>#N/A</v>
      </c>
      <c r="JEB31" t="e">
        <v>#N/A</v>
      </c>
      <c r="JEC31" t="e">
        <v>#N/A</v>
      </c>
      <c r="JED31" t="e">
        <v>#N/A</v>
      </c>
      <c r="JEE31" t="e">
        <v>#N/A</v>
      </c>
      <c r="JEF31" t="e">
        <v>#N/A</v>
      </c>
      <c r="JEG31" t="e">
        <v>#N/A</v>
      </c>
      <c r="JEH31" t="e">
        <v>#N/A</v>
      </c>
      <c r="JEI31" t="e">
        <v>#N/A</v>
      </c>
      <c r="JEJ31" t="e">
        <v>#N/A</v>
      </c>
      <c r="JEK31" t="e">
        <v>#N/A</v>
      </c>
      <c r="JEL31" t="e">
        <v>#N/A</v>
      </c>
      <c r="JEM31" t="e">
        <v>#N/A</v>
      </c>
      <c r="JEN31" t="e">
        <v>#N/A</v>
      </c>
      <c r="JEO31" t="e">
        <v>#N/A</v>
      </c>
      <c r="JEP31" t="e">
        <v>#N/A</v>
      </c>
      <c r="JEQ31" t="e">
        <v>#N/A</v>
      </c>
      <c r="JER31" t="e">
        <v>#N/A</v>
      </c>
      <c r="JES31" t="e">
        <v>#N/A</v>
      </c>
      <c r="JET31" t="e">
        <v>#N/A</v>
      </c>
      <c r="JEU31" t="e">
        <v>#N/A</v>
      </c>
      <c r="JEV31" t="e">
        <v>#N/A</v>
      </c>
      <c r="JEW31" t="e">
        <v>#N/A</v>
      </c>
      <c r="JEX31" t="e">
        <v>#N/A</v>
      </c>
      <c r="JEY31" t="e">
        <v>#N/A</v>
      </c>
      <c r="JEZ31" t="e">
        <v>#N/A</v>
      </c>
      <c r="JFA31" t="e">
        <v>#N/A</v>
      </c>
      <c r="JFB31" t="e">
        <v>#N/A</v>
      </c>
      <c r="JFC31" t="e">
        <v>#N/A</v>
      </c>
      <c r="JFD31" t="e">
        <v>#N/A</v>
      </c>
      <c r="JFE31" t="e">
        <v>#N/A</v>
      </c>
      <c r="JFF31" t="e">
        <v>#N/A</v>
      </c>
      <c r="JFG31" t="e">
        <v>#N/A</v>
      </c>
      <c r="JFH31" t="e">
        <v>#N/A</v>
      </c>
      <c r="JFI31" t="e">
        <v>#N/A</v>
      </c>
      <c r="JFJ31" t="e">
        <v>#N/A</v>
      </c>
      <c r="JFK31" t="e">
        <v>#N/A</v>
      </c>
      <c r="JFL31" t="e">
        <v>#N/A</v>
      </c>
      <c r="JFM31" t="e">
        <v>#N/A</v>
      </c>
      <c r="JFN31" t="e">
        <v>#N/A</v>
      </c>
      <c r="JFO31" t="e">
        <v>#N/A</v>
      </c>
      <c r="JFP31" t="e">
        <v>#N/A</v>
      </c>
      <c r="JFQ31" t="e">
        <v>#N/A</v>
      </c>
      <c r="JFR31" t="e">
        <v>#N/A</v>
      </c>
      <c r="JFS31" t="e">
        <v>#N/A</v>
      </c>
      <c r="JFT31" t="e">
        <v>#N/A</v>
      </c>
      <c r="JFU31" t="e">
        <v>#N/A</v>
      </c>
      <c r="JFV31" t="e">
        <v>#N/A</v>
      </c>
      <c r="JFW31" t="e">
        <v>#N/A</v>
      </c>
      <c r="JFX31" t="e">
        <v>#N/A</v>
      </c>
      <c r="JFY31" t="e">
        <v>#N/A</v>
      </c>
      <c r="JFZ31" t="e">
        <v>#N/A</v>
      </c>
      <c r="JGA31" t="e">
        <v>#N/A</v>
      </c>
      <c r="JGB31" t="e">
        <v>#N/A</v>
      </c>
      <c r="JGC31" t="e">
        <v>#N/A</v>
      </c>
      <c r="JGD31" t="e">
        <v>#N/A</v>
      </c>
      <c r="JGE31" t="e">
        <v>#N/A</v>
      </c>
      <c r="JGF31" t="e">
        <v>#N/A</v>
      </c>
      <c r="JGG31" t="e">
        <v>#N/A</v>
      </c>
      <c r="JGH31" t="e">
        <v>#N/A</v>
      </c>
      <c r="JGI31" t="e">
        <v>#N/A</v>
      </c>
      <c r="JGJ31" t="e">
        <v>#N/A</v>
      </c>
      <c r="JGK31" t="e">
        <v>#N/A</v>
      </c>
      <c r="JGL31" t="e">
        <v>#N/A</v>
      </c>
      <c r="JGM31" t="e">
        <v>#N/A</v>
      </c>
      <c r="JGN31" t="e">
        <v>#N/A</v>
      </c>
      <c r="JGO31" t="e">
        <v>#N/A</v>
      </c>
      <c r="JGP31" t="e">
        <v>#N/A</v>
      </c>
      <c r="JGQ31" t="e">
        <v>#N/A</v>
      </c>
      <c r="JGR31" t="e">
        <v>#N/A</v>
      </c>
      <c r="JGS31" t="e">
        <v>#N/A</v>
      </c>
      <c r="JGT31" t="e">
        <v>#N/A</v>
      </c>
      <c r="JGU31" t="e">
        <v>#N/A</v>
      </c>
      <c r="JGV31" t="e">
        <v>#N/A</v>
      </c>
      <c r="JGW31" t="e">
        <v>#N/A</v>
      </c>
      <c r="JGX31" t="e">
        <v>#N/A</v>
      </c>
      <c r="JGY31" t="e">
        <v>#N/A</v>
      </c>
      <c r="JGZ31" t="e">
        <v>#N/A</v>
      </c>
      <c r="JHA31" t="e">
        <v>#N/A</v>
      </c>
      <c r="JHB31" t="e">
        <v>#N/A</v>
      </c>
      <c r="JHC31" t="e">
        <v>#N/A</v>
      </c>
      <c r="JHD31" t="e">
        <v>#N/A</v>
      </c>
      <c r="JHE31" t="e">
        <v>#N/A</v>
      </c>
      <c r="JHF31" t="e">
        <v>#N/A</v>
      </c>
      <c r="JHG31" t="e">
        <v>#N/A</v>
      </c>
      <c r="JHH31" t="e">
        <v>#N/A</v>
      </c>
      <c r="JHI31" t="e">
        <v>#N/A</v>
      </c>
      <c r="JHJ31" t="e">
        <v>#N/A</v>
      </c>
      <c r="JHK31" t="e">
        <v>#N/A</v>
      </c>
      <c r="JHL31" t="e">
        <v>#N/A</v>
      </c>
      <c r="JHM31" t="e">
        <v>#N/A</v>
      </c>
      <c r="JHN31" t="e">
        <v>#N/A</v>
      </c>
      <c r="JHO31" t="e">
        <v>#N/A</v>
      </c>
      <c r="JHP31" t="e">
        <v>#N/A</v>
      </c>
      <c r="JHQ31" t="e">
        <v>#N/A</v>
      </c>
      <c r="JHR31" t="e">
        <v>#N/A</v>
      </c>
      <c r="JHS31" t="e">
        <v>#N/A</v>
      </c>
      <c r="JHT31" t="e">
        <v>#N/A</v>
      </c>
      <c r="JHU31" t="e">
        <v>#N/A</v>
      </c>
      <c r="JHV31" t="e">
        <v>#N/A</v>
      </c>
      <c r="JHW31" t="e">
        <v>#N/A</v>
      </c>
      <c r="JHX31" t="e">
        <v>#N/A</v>
      </c>
      <c r="JHY31" t="e">
        <v>#N/A</v>
      </c>
      <c r="JHZ31" t="e">
        <v>#N/A</v>
      </c>
      <c r="JIA31" t="e">
        <v>#N/A</v>
      </c>
      <c r="JIB31" t="e">
        <v>#N/A</v>
      </c>
      <c r="JIC31" t="e">
        <v>#N/A</v>
      </c>
      <c r="JID31" t="e">
        <v>#N/A</v>
      </c>
      <c r="JIE31" t="e">
        <v>#N/A</v>
      </c>
      <c r="JIF31" t="e">
        <v>#N/A</v>
      </c>
      <c r="JIG31" t="e">
        <v>#N/A</v>
      </c>
      <c r="JIH31" t="e">
        <v>#N/A</v>
      </c>
      <c r="JII31" t="e">
        <v>#N/A</v>
      </c>
      <c r="JIJ31" t="e">
        <v>#N/A</v>
      </c>
      <c r="JIK31" t="e">
        <v>#N/A</v>
      </c>
      <c r="JIL31" t="e">
        <v>#N/A</v>
      </c>
      <c r="JIM31" t="e">
        <v>#N/A</v>
      </c>
      <c r="JIN31" t="e">
        <v>#N/A</v>
      </c>
      <c r="JIO31" t="e">
        <v>#N/A</v>
      </c>
      <c r="JIP31" t="e">
        <v>#N/A</v>
      </c>
      <c r="JIQ31" t="e">
        <v>#N/A</v>
      </c>
      <c r="JIR31" t="e">
        <v>#N/A</v>
      </c>
      <c r="JIS31" t="e">
        <v>#N/A</v>
      </c>
      <c r="JIT31" t="e">
        <v>#N/A</v>
      </c>
      <c r="JIU31" t="e">
        <v>#N/A</v>
      </c>
      <c r="JIV31" t="e">
        <v>#N/A</v>
      </c>
      <c r="JIW31" t="e">
        <v>#N/A</v>
      </c>
      <c r="JIX31" t="e">
        <v>#N/A</v>
      </c>
      <c r="JIY31" t="e">
        <v>#N/A</v>
      </c>
      <c r="JIZ31" t="e">
        <v>#N/A</v>
      </c>
      <c r="JJA31" t="e">
        <v>#N/A</v>
      </c>
      <c r="JJB31" t="e">
        <v>#N/A</v>
      </c>
      <c r="JJC31" t="e">
        <v>#N/A</v>
      </c>
      <c r="JJD31" t="e">
        <v>#N/A</v>
      </c>
      <c r="JJE31" t="e">
        <v>#N/A</v>
      </c>
      <c r="JJF31" t="e">
        <v>#N/A</v>
      </c>
      <c r="JJG31" t="e">
        <v>#N/A</v>
      </c>
      <c r="JJH31" t="e">
        <v>#N/A</v>
      </c>
      <c r="JJI31" t="e">
        <v>#N/A</v>
      </c>
      <c r="JJJ31" t="e">
        <v>#N/A</v>
      </c>
      <c r="JJK31" t="e">
        <v>#N/A</v>
      </c>
      <c r="JJL31" t="e">
        <v>#N/A</v>
      </c>
      <c r="JJM31" t="e">
        <v>#N/A</v>
      </c>
      <c r="JJN31" t="e">
        <v>#N/A</v>
      </c>
      <c r="JJO31" t="e">
        <v>#N/A</v>
      </c>
      <c r="JJP31" t="e">
        <v>#N/A</v>
      </c>
      <c r="JJQ31" t="e">
        <v>#N/A</v>
      </c>
      <c r="JJR31" t="e">
        <v>#N/A</v>
      </c>
      <c r="JJS31" t="e">
        <v>#N/A</v>
      </c>
      <c r="JJT31" t="e">
        <v>#N/A</v>
      </c>
      <c r="JJU31" t="e">
        <v>#N/A</v>
      </c>
      <c r="JJV31" t="e">
        <v>#N/A</v>
      </c>
      <c r="JJW31" t="e">
        <v>#N/A</v>
      </c>
      <c r="JJX31" t="e">
        <v>#N/A</v>
      </c>
      <c r="JJY31" t="e">
        <v>#N/A</v>
      </c>
      <c r="JJZ31" t="e">
        <v>#N/A</v>
      </c>
      <c r="JKA31" t="e">
        <v>#N/A</v>
      </c>
      <c r="JKB31" t="e">
        <v>#N/A</v>
      </c>
      <c r="JKC31" t="e">
        <v>#N/A</v>
      </c>
      <c r="JKD31" t="e">
        <v>#N/A</v>
      </c>
      <c r="JKE31" t="e">
        <v>#N/A</v>
      </c>
      <c r="JKF31" t="e">
        <v>#N/A</v>
      </c>
      <c r="JKG31" t="e">
        <v>#N/A</v>
      </c>
      <c r="JKH31" t="e">
        <v>#N/A</v>
      </c>
      <c r="JKI31" t="e">
        <v>#N/A</v>
      </c>
      <c r="JKJ31" t="e">
        <v>#N/A</v>
      </c>
      <c r="JKK31" t="e">
        <v>#N/A</v>
      </c>
      <c r="JKL31" t="e">
        <v>#N/A</v>
      </c>
      <c r="JKM31" t="e">
        <v>#N/A</v>
      </c>
      <c r="JKN31" t="e">
        <v>#N/A</v>
      </c>
      <c r="JKO31" t="e">
        <v>#N/A</v>
      </c>
      <c r="JKP31" t="e">
        <v>#N/A</v>
      </c>
      <c r="JKQ31" t="e">
        <v>#N/A</v>
      </c>
      <c r="JKR31" t="e">
        <v>#N/A</v>
      </c>
      <c r="JKS31" t="e">
        <v>#N/A</v>
      </c>
      <c r="JKT31" t="e">
        <v>#N/A</v>
      </c>
      <c r="JKU31" t="e">
        <v>#N/A</v>
      </c>
      <c r="JKV31" t="e">
        <v>#N/A</v>
      </c>
      <c r="JKW31" t="e">
        <v>#N/A</v>
      </c>
      <c r="JKX31" t="e">
        <v>#N/A</v>
      </c>
      <c r="JKY31" t="e">
        <v>#N/A</v>
      </c>
      <c r="JKZ31" t="e">
        <v>#N/A</v>
      </c>
      <c r="JLA31" t="e">
        <v>#N/A</v>
      </c>
      <c r="JLB31" t="e">
        <v>#N/A</v>
      </c>
      <c r="JLC31" t="e">
        <v>#N/A</v>
      </c>
      <c r="JLD31" t="e">
        <v>#N/A</v>
      </c>
      <c r="JLE31" t="e">
        <v>#N/A</v>
      </c>
      <c r="JLF31" t="e">
        <v>#N/A</v>
      </c>
      <c r="JLG31" t="e">
        <v>#N/A</v>
      </c>
      <c r="JLH31" t="e">
        <v>#N/A</v>
      </c>
      <c r="JLI31" t="e">
        <v>#N/A</v>
      </c>
      <c r="JLJ31" t="e">
        <v>#N/A</v>
      </c>
      <c r="JLK31" t="e">
        <v>#N/A</v>
      </c>
      <c r="JLL31" t="e">
        <v>#N/A</v>
      </c>
      <c r="JLM31" t="e">
        <v>#N/A</v>
      </c>
      <c r="JLN31" t="e">
        <v>#N/A</v>
      </c>
      <c r="JLO31" t="e">
        <v>#N/A</v>
      </c>
      <c r="JLP31" t="e">
        <v>#N/A</v>
      </c>
      <c r="JLQ31" t="e">
        <v>#N/A</v>
      </c>
      <c r="JLR31" t="e">
        <v>#N/A</v>
      </c>
      <c r="JLS31" t="e">
        <v>#N/A</v>
      </c>
      <c r="JLT31" t="e">
        <v>#N/A</v>
      </c>
      <c r="JLU31" t="e">
        <v>#N/A</v>
      </c>
      <c r="JLV31" t="e">
        <v>#N/A</v>
      </c>
      <c r="JLW31" t="e">
        <v>#N/A</v>
      </c>
      <c r="JLX31" t="e">
        <v>#N/A</v>
      </c>
      <c r="JLY31" t="e">
        <v>#N/A</v>
      </c>
      <c r="JLZ31" t="e">
        <v>#N/A</v>
      </c>
      <c r="JMA31" t="e">
        <v>#N/A</v>
      </c>
      <c r="JMB31" t="e">
        <v>#N/A</v>
      </c>
      <c r="JMC31" t="e">
        <v>#N/A</v>
      </c>
      <c r="JMD31" t="e">
        <v>#N/A</v>
      </c>
      <c r="JME31" t="e">
        <v>#N/A</v>
      </c>
      <c r="JMF31" t="e">
        <v>#N/A</v>
      </c>
      <c r="JMG31" t="e">
        <v>#N/A</v>
      </c>
      <c r="JMH31" t="e">
        <v>#N/A</v>
      </c>
      <c r="JMI31" t="e">
        <v>#N/A</v>
      </c>
      <c r="JMJ31" t="e">
        <v>#N/A</v>
      </c>
      <c r="JMK31" t="e">
        <v>#N/A</v>
      </c>
      <c r="JML31" t="e">
        <v>#N/A</v>
      </c>
      <c r="JMM31" t="e">
        <v>#N/A</v>
      </c>
      <c r="JMN31" t="e">
        <v>#N/A</v>
      </c>
      <c r="JMO31" t="e">
        <v>#N/A</v>
      </c>
      <c r="JMP31" t="e">
        <v>#N/A</v>
      </c>
      <c r="JMQ31" t="e">
        <v>#N/A</v>
      </c>
      <c r="JMR31" t="e">
        <v>#N/A</v>
      </c>
      <c r="JMS31" t="e">
        <v>#N/A</v>
      </c>
      <c r="JMT31" t="e">
        <v>#N/A</v>
      </c>
      <c r="JMU31" t="e">
        <v>#N/A</v>
      </c>
      <c r="JMV31" t="e">
        <v>#N/A</v>
      </c>
      <c r="JMW31" t="e">
        <v>#N/A</v>
      </c>
      <c r="JMX31" t="e">
        <v>#N/A</v>
      </c>
      <c r="JMY31" t="e">
        <v>#N/A</v>
      </c>
      <c r="JMZ31" t="e">
        <v>#N/A</v>
      </c>
      <c r="JNA31" t="e">
        <v>#N/A</v>
      </c>
      <c r="JNB31" t="e">
        <v>#N/A</v>
      </c>
      <c r="JNC31" t="e">
        <v>#N/A</v>
      </c>
      <c r="JND31" t="e">
        <v>#N/A</v>
      </c>
      <c r="JNE31" t="e">
        <v>#N/A</v>
      </c>
      <c r="JNF31" t="e">
        <v>#N/A</v>
      </c>
      <c r="JNG31" t="e">
        <v>#N/A</v>
      </c>
      <c r="JNH31" t="e">
        <v>#N/A</v>
      </c>
      <c r="JNI31" t="e">
        <v>#N/A</v>
      </c>
      <c r="JNJ31" t="e">
        <v>#N/A</v>
      </c>
      <c r="JNK31" t="e">
        <v>#N/A</v>
      </c>
      <c r="JNL31" t="e">
        <v>#N/A</v>
      </c>
      <c r="JNM31" t="e">
        <v>#N/A</v>
      </c>
      <c r="JNN31" t="e">
        <v>#N/A</v>
      </c>
      <c r="JNO31" t="e">
        <v>#N/A</v>
      </c>
      <c r="JNP31" t="e">
        <v>#N/A</v>
      </c>
      <c r="JNQ31" t="e">
        <v>#N/A</v>
      </c>
      <c r="JNR31" t="e">
        <v>#N/A</v>
      </c>
      <c r="JNS31" t="e">
        <v>#N/A</v>
      </c>
      <c r="JNT31" t="e">
        <v>#N/A</v>
      </c>
      <c r="JNU31" t="e">
        <v>#N/A</v>
      </c>
      <c r="JNV31" t="e">
        <v>#N/A</v>
      </c>
      <c r="JNW31" t="e">
        <v>#N/A</v>
      </c>
      <c r="JNX31" t="e">
        <v>#N/A</v>
      </c>
      <c r="JNY31" t="e">
        <v>#N/A</v>
      </c>
      <c r="JNZ31" t="e">
        <v>#N/A</v>
      </c>
      <c r="JOA31" t="e">
        <v>#N/A</v>
      </c>
      <c r="JOB31" t="e">
        <v>#N/A</v>
      </c>
      <c r="JOC31" t="e">
        <v>#N/A</v>
      </c>
      <c r="JOD31" t="e">
        <v>#N/A</v>
      </c>
      <c r="JOE31" t="e">
        <v>#N/A</v>
      </c>
      <c r="JOF31" t="e">
        <v>#N/A</v>
      </c>
      <c r="JOG31" t="e">
        <v>#N/A</v>
      </c>
      <c r="JOH31" t="e">
        <v>#N/A</v>
      </c>
      <c r="JOI31" t="e">
        <v>#N/A</v>
      </c>
      <c r="JOJ31" t="e">
        <v>#N/A</v>
      </c>
      <c r="JOK31" t="e">
        <v>#N/A</v>
      </c>
      <c r="JOL31" t="e">
        <v>#N/A</v>
      </c>
      <c r="JOM31" t="e">
        <v>#N/A</v>
      </c>
      <c r="JON31" t="e">
        <v>#N/A</v>
      </c>
      <c r="JOO31" t="e">
        <v>#N/A</v>
      </c>
      <c r="JOP31" t="e">
        <v>#N/A</v>
      </c>
      <c r="JOQ31" t="e">
        <v>#N/A</v>
      </c>
      <c r="JOR31" t="e">
        <v>#N/A</v>
      </c>
      <c r="JOS31" t="e">
        <v>#N/A</v>
      </c>
      <c r="JOT31" t="e">
        <v>#N/A</v>
      </c>
      <c r="JOU31" t="e">
        <v>#N/A</v>
      </c>
      <c r="JOV31" t="e">
        <v>#N/A</v>
      </c>
      <c r="JOW31" t="e">
        <v>#N/A</v>
      </c>
      <c r="JOX31" t="e">
        <v>#N/A</v>
      </c>
      <c r="JOY31" t="e">
        <v>#N/A</v>
      </c>
      <c r="JOZ31" t="e">
        <v>#N/A</v>
      </c>
      <c r="JPA31" t="e">
        <v>#N/A</v>
      </c>
      <c r="JPB31" t="e">
        <v>#N/A</v>
      </c>
      <c r="JPC31" t="e">
        <v>#N/A</v>
      </c>
      <c r="JPD31" t="e">
        <v>#N/A</v>
      </c>
      <c r="JPE31" t="e">
        <v>#N/A</v>
      </c>
      <c r="JPF31" t="e">
        <v>#N/A</v>
      </c>
      <c r="JPG31" t="e">
        <v>#N/A</v>
      </c>
      <c r="JPH31" t="e">
        <v>#N/A</v>
      </c>
      <c r="JPI31" t="e">
        <v>#N/A</v>
      </c>
      <c r="JPJ31" t="e">
        <v>#N/A</v>
      </c>
      <c r="JPK31" t="e">
        <v>#N/A</v>
      </c>
      <c r="JPL31" t="e">
        <v>#N/A</v>
      </c>
      <c r="JPM31" t="e">
        <v>#N/A</v>
      </c>
      <c r="JPN31" t="e">
        <v>#N/A</v>
      </c>
      <c r="JPO31" t="e">
        <v>#N/A</v>
      </c>
      <c r="JPP31" t="e">
        <v>#N/A</v>
      </c>
      <c r="JPQ31" t="e">
        <v>#N/A</v>
      </c>
      <c r="JPR31" t="e">
        <v>#N/A</v>
      </c>
      <c r="JPS31" t="e">
        <v>#N/A</v>
      </c>
      <c r="JPT31" t="e">
        <v>#N/A</v>
      </c>
      <c r="JPU31" t="e">
        <v>#N/A</v>
      </c>
      <c r="JPV31" t="e">
        <v>#N/A</v>
      </c>
      <c r="JPW31" t="e">
        <v>#N/A</v>
      </c>
      <c r="JPX31" t="e">
        <v>#N/A</v>
      </c>
      <c r="JPY31" t="e">
        <v>#N/A</v>
      </c>
      <c r="JPZ31" t="e">
        <v>#N/A</v>
      </c>
      <c r="JQA31" t="e">
        <v>#N/A</v>
      </c>
      <c r="JQB31" t="e">
        <v>#N/A</v>
      </c>
      <c r="JQC31" t="e">
        <v>#N/A</v>
      </c>
      <c r="JQD31" t="e">
        <v>#N/A</v>
      </c>
      <c r="JQE31" t="e">
        <v>#N/A</v>
      </c>
      <c r="JQF31" t="e">
        <v>#N/A</v>
      </c>
      <c r="JQG31" t="e">
        <v>#N/A</v>
      </c>
      <c r="JQH31" t="e">
        <v>#N/A</v>
      </c>
      <c r="JQI31" t="e">
        <v>#N/A</v>
      </c>
      <c r="JQJ31" t="e">
        <v>#N/A</v>
      </c>
      <c r="JQK31" t="e">
        <v>#N/A</v>
      </c>
      <c r="JQL31" t="e">
        <v>#N/A</v>
      </c>
      <c r="JQM31" t="e">
        <v>#N/A</v>
      </c>
      <c r="JQN31" t="e">
        <v>#N/A</v>
      </c>
      <c r="JQO31" t="e">
        <v>#N/A</v>
      </c>
      <c r="JQP31" t="e">
        <v>#N/A</v>
      </c>
      <c r="JQQ31" t="e">
        <v>#N/A</v>
      </c>
      <c r="JQR31" t="e">
        <v>#N/A</v>
      </c>
      <c r="JQS31" t="e">
        <v>#N/A</v>
      </c>
      <c r="JQT31" t="e">
        <v>#N/A</v>
      </c>
      <c r="JQU31" t="e">
        <v>#N/A</v>
      </c>
      <c r="JQV31" t="e">
        <v>#N/A</v>
      </c>
      <c r="JQW31" t="e">
        <v>#N/A</v>
      </c>
      <c r="JQX31" t="e">
        <v>#N/A</v>
      </c>
      <c r="JQY31" t="e">
        <v>#N/A</v>
      </c>
      <c r="JQZ31" t="e">
        <v>#N/A</v>
      </c>
      <c r="JRA31" t="e">
        <v>#N/A</v>
      </c>
      <c r="JRB31" t="e">
        <v>#N/A</v>
      </c>
      <c r="JRC31" t="e">
        <v>#N/A</v>
      </c>
      <c r="JRD31" t="e">
        <v>#N/A</v>
      </c>
      <c r="JRE31" t="e">
        <v>#N/A</v>
      </c>
      <c r="JRF31" t="e">
        <v>#N/A</v>
      </c>
      <c r="JRG31" t="e">
        <v>#N/A</v>
      </c>
      <c r="JRH31" t="e">
        <v>#N/A</v>
      </c>
      <c r="JRI31" t="e">
        <v>#N/A</v>
      </c>
      <c r="JRJ31" t="e">
        <v>#N/A</v>
      </c>
      <c r="JRK31" t="e">
        <v>#N/A</v>
      </c>
      <c r="JRL31" t="e">
        <v>#N/A</v>
      </c>
      <c r="JRM31" t="e">
        <v>#N/A</v>
      </c>
      <c r="JRN31" t="e">
        <v>#N/A</v>
      </c>
      <c r="JRO31" t="e">
        <v>#N/A</v>
      </c>
      <c r="JRP31" t="e">
        <v>#N/A</v>
      </c>
      <c r="JRQ31" t="e">
        <v>#N/A</v>
      </c>
      <c r="JRR31" t="e">
        <v>#N/A</v>
      </c>
      <c r="JRS31" t="e">
        <v>#N/A</v>
      </c>
      <c r="JRT31" t="e">
        <v>#N/A</v>
      </c>
      <c r="JRU31" t="e">
        <v>#N/A</v>
      </c>
      <c r="JRV31" t="e">
        <v>#N/A</v>
      </c>
      <c r="JRW31" t="e">
        <v>#N/A</v>
      </c>
      <c r="JRX31" t="e">
        <v>#N/A</v>
      </c>
      <c r="JRY31" t="e">
        <v>#N/A</v>
      </c>
      <c r="JRZ31" t="e">
        <v>#N/A</v>
      </c>
      <c r="JSA31" t="e">
        <v>#N/A</v>
      </c>
      <c r="JSB31" t="e">
        <v>#N/A</v>
      </c>
      <c r="JSC31" t="e">
        <v>#N/A</v>
      </c>
      <c r="JSD31" t="e">
        <v>#N/A</v>
      </c>
      <c r="JSE31" t="e">
        <v>#N/A</v>
      </c>
      <c r="JSF31" t="e">
        <v>#N/A</v>
      </c>
      <c r="JSG31" t="e">
        <v>#N/A</v>
      </c>
      <c r="JSH31" t="e">
        <v>#N/A</v>
      </c>
      <c r="JSI31" t="e">
        <v>#N/A</v>
      </c>
      <c r="JSJ31" t="e">
        <v>#N/A</v>
      </c>
      <c r="JSK31" t="e">
        <v>#N/A</v>
      </c>
      <c r="JSL31" t="e">
        <v>#N/A</v>
      </c>
      <c r="JSM31" t="e">
        <v>#N/A</v>
      </c>
      <c r="JSN31" t="e">
        <v>#N/A</v>
      </c>
      <c r="JSO31" t="e">
        <v>#N/A</v>
      </c>
      <c r="JSP31" t="e">
        <v>#N/A</v>
      </c>
      <c r="JSQ31" t="e">
        <v>#N/A</v>
      </c>
      <c r="JSR31" t="e">
        <v>#N/A</v>
      </c>
      <c r="JSS31" t="e">
        <v>#N/A</v>
      </c>
      <c r="JST31" t="e">
        <v>#N/A</v>
      </c>
      <c r="JSU31" t="e">
        <v>#N/A</v>
      </c>
      <c r="JSV31" t="e">
        <v>#N/A</v>
      </c>
      <c r="JSW31" t="e">
        <v>#N/A</v>
      </c>
      <c r="JSX31" t="e">
        <v>#N/A</v>
      </c>
      <c r="JSY31" t="e">
        <v>#N/A</v>
      </c>
      <c r="JSZ31" t="e">
        <v>#N/A</v>
      </c>
      <c r="JTA31" t="e">
        <v>#N/A</v>
      </c>
      <c r="JTB31" t="e">
        <v>#N/A</v>
      </c>
      <c r="JTC31" t="e">
        <v>#N/A</v>
      </c>
      <c r="JTD31" t="e">
        <v>#N/A</v>
      </c>
      <c r="JTE31" t="e">
        <v>#N/A</v>
      </c>
      <c r="JTF31" t="e">
        <v>#N/A</v>
      </c>
      <c r="JTG31" t="e">
        <v>#N/A</v>
      </c>
      <c r="JTH31" t="e">
        <v>#N/A</v>
      </c>
      <c r="JTI31" t="e">
        <v>#N/A</v>
      </c>
      <c r="JTJ31" t="e">
        <v>#N/A</v>
      </c>
      <c r="JTK31" t="e">
        <v>#N/A</v>
      </c>
      <c r="JTL31" t="e">
        <v>#N/A</v>
      </c>
      <c r="JTM31" t="e">
        <v>#N/A</v>
      </c>
      <c r="JTN31" t="e">
        <v>#N/A</v>
      </c>
      <c r="JTO31" t="e">
        <v>#N/A</v>
      </c>
      <c r="JTP31" t="e">
        <v>#N/A</v>
      </c>
      <c r="JTQ31" t="e">
        <v>#N/A</v>
      </c>
      <c r="JTR31" t="e">
        <v>#N/A</v>
      </c>
      <c r="JTS31" t="e">
        <v>#N/A</v>
      </c>
      <c r="JTT31" t="e">
        <v>#N/A</v>
      </c>
      <c r="JTU31" t="e">
        <v>#N/A</v>
      </c>
      <c r="JTV31" t="e">
        <v>#N/A</v>
      </c>
      <c r="JTW31" t="e">
        <v>#N/A</v>
      </c>
      <c r="JTX31" t="e">
        <v>#N/A</v>
      </c>
      <c r="JTY31" t="e">
        <v>#N/A</v>
      </c>
      <c r="JTZ31" t="e">
        <v>#N/A</v>
      </c>
      <c r="JUA31" t="e">
        <v>#N/A</v>
      </c>
      <c r="JUB31" t="e">
        <v>#N/A</v>
      </c>
      <c r="JUC31" t="e">
        <v>#N/A</v>
      </c>
      <c r="JUD31" t="e">
        <v>#N/A</v>
      </c>
      <c r="JUE31" t="e">
        <v>#N/A</v>
      </c>
      <c r="JUF31" t="e">
        <v>#N/A</v>
      </c>
      <c r="JUG31" t="e">
        <v>#N/A</v>
      </c>
      <c r="JUH31" t="e">
        <v>#N/A</v>
      </c>
      <c r="JUI31" t="e">
        <v>#N/A</v>
      </c>
      <c r="JUJ31" t="e">
        <v>#N/A</v>
      </c>
      <c r="JUK31" t="e">
        <v>#N/A</v>
      </c>
      <c r="JUL31" t="e">
        <v>#N/A</v>
      </c>
      <c r="JUM31" t="e">
        <v>#N/A</v>
      </c>
      <c r="JUN31" t="e">
        <v>#N/A</v>
      </c>
      <c r="JUO31" t="e">
        <v>#N/A</v>
      </c>
      <c r="JUP31" t="e">
        <v>#N/A</v>
      </c>
      <c r="JUQ31" t="e">
        <v>#N/A</v>
      </c>
      <c r="JUR31" t="e">
        <v>#N/A</v>
      </c>
      <c r="JUS31" t="e">
        <v>#N/A</v>
      </c>
      <c r="JUT31" t="e">
        <v>#N/A</v>
      </c>
      <c r="JUU31" t="e">
        <v>#N/A</v>
      </c>
      <c r="JUV31" t="e">
        <v>#N/A</v>
      </c>
      <c r="JUW31" t="e">
        <v>#N/A</v>
      </c>
      <c r="JUX31" t="e">
        <v>#N/A</v>
      </c>
      <c r="JUY31" t="e">
        <v>#N/A</v>
      </c>
      <c r="JUZ31" t="e">
        <v>#N/A</v>
      </c>
      <c r="JVA31" t="e">
        <v>#N/A</v>
      </c>
      <c r="JVB31" t="e">
        <v>#N/A</v>
      </c>
      <c r="JVC31" t="e">
        <v>#N/A</v>
      </c>
      <c r="JVD31" t="e">
        <v>#N/A</v>
      </c>
      <c r="JVE31" t="e">
        <v>#N/A</v>
      </c>
      <c r="JVF31" t="e">
        <v>#N/A</v>
      </c>
      <c r="JVG31" t="e">
        <v>#N/A</v>
      </c>
      <c r="JVH31" t="e">
        <v>#N/A</v>
      </c>
      <c r="JVI31" t="e">
        <v>#N/A</v>
      </c>
      <c r="JVJ31" t="e">
        <v>#N/A</v>
      </c>
      <c r="JVK31" t="e">
        <v>#N/A</v>
      </c>
      <c r="JVL31" t="e">
        <v>#N/A</v>
      </c>
      <c r="JVM31" t="e">
        <v>#N/A</v>
      </c>
      <c r="JVN31" t="e">
        <v>#N/A</v>
      </c>
      <c r="JVO31" t="e">
        <v>#N/A</v>
      </c>
      <c r="JVP31" t="e">
        <v>#N/A</v>
      </c>
      <c r="JVQ31" t="e">
        <v>#N/A</v>
      </c>
      <c r="JVR31" t="e">
        <v>#N/A</v>
      </c>
      <c r="JVS31" t="e">
        <v>#N/A</v>
      </c>
      <c r="JVT31" t="e">
        <v>#N/A</v>
      </c>
      <c r="JVU31" t="e">
        <v>#N/A</v>
      </c>
      <c r="JVV31" t="e">
        <v>#N/A</v>
      </c>
      <c r="JVW31" t="e">
        <v>#N/A</v>
      </c>
      <c r="JVX31" t="e">
        <v>#N/A</v>
      </c>
      <c r="JVY31" t="e">
        <v>#N/A</v>
      </c>
      <c r="JVZ31" t="e">
        <v>#N/A</v>
      </c>
      <c r="JWA31" t="e">
        <v>#N/A</v>
      </c>
      <c r="JWB31" t="e">
        <v>#N/A</v>
      </c>
      <c r="JWC31" t="e">
        <v>#N/A</v>
      </c>
      <c r="JWD31" t="e">
        <v>#N/A</v>
      </c>
      <c r="JWE31" t="e">
        <v>#N/A</v>
      </c>
      <c r="JWF31" t="e">
        <v>#N/A</v>
      </c>
      <c r="JWG31" t="e">
        <v>#N/A</v>
      </c>
      <c r="JWH31" t="e">
        <v>#N/A</v>
      </c>
      <c r="JWI31" t="e">
        <v>#N/A</v>
      </c>
      <c r="JWJ31" t="e">
        <v>#N/A</v>
      </c>
      <c r="JWK31" t="e">
        <v>#N/A</v>
      </c>
      <c r="JWL31" t="e">
        <v>#N/A</v>
      </c>
      <c r="JWM31" t="e">
        <v>#N/A</v>
      </c>
      <c r="JWN31" t="e">
        <v>#N/A</v>
      </c>
      <c r="JWO31" t="e">
        <v>#N/A</v>
      </c>
      <c r="JWP31" t="e">
        <v>#N/A</v>
      </c>
      <c r="JWQ31" t="e">
        <v>#N/A</v>
      </c>
      <c r="JWR31" t="e">
        <v>#N/A</v>
      </c>
      <c r="JWS31" t="e">
        <v>#N/A</v>
      </c>
      <c r="JWT31" t="e">
        <v>#N/A</v>
      </c>
      <c r="JWU31" t="e">
        <v>#N/A</v>
      </c>
      <c r="JWV31" t="e">
        <v>#N/A</v>
      </c>
      <c r="JWW31" t="e">
        <v>#N/A</v>
      </c>
      <c r="JWX31" t="e">
        <v>#N/A</v>
      </c>
      <c r="JWY31" t="e">
        <v>#N/A</v>
      </c>
      <c r="JWZ31" t="e">
        <v>#N/A</v>
      </c>
      <c r="JXA31" t="e">
        <v>#N/A</v>
      </c>
      <c r="JXB31" t="e">
        <v>#N/A</v>
      </c>
      <c r="JXC31" t="e">
        <v>#N/A</v>
      </c>
      <c r="JXD31" t="e">
        <v>#N/A</v>
      </c>
      <c r="JXE31" t="e">
        <v>#N/A</v>
      </c>
      <c r="JXF31" t="e">
        <v>#N/A</v>
      </c>
      <c r="JXG31" t="e">
        <v>#N/A</v>
      </c>
      <c r="JXH31" t="e">
        <v>#N/A</v>
      </c>
      <c r="JXI31" t="e">
        <v>#N/A</v>
      </c>
      <c r="JXJ31" t="e">
        <v>#N/A</v>
      </c>
      <c r="JXK31" t="e">
        <v>#N/A</v>
      </c>
      <c r="JXL31" t="e">
        <v>#N/A</v>
      </c>
      <c r="JXM31" t="e">
        <v>#N/A</v>
      </c>
      <c r="JXN31" t="e">
        <v>#N/A</v>
      </c>
      <c r="JXO31" t="e">
        <v>#N/A</v>
      </c>
      <c r="JXP31" t="e">
        <v>#N/A</v>
      </c>
      <c r="JXQ31" t="e">
        <v>#N/A</v>
      </c>
      <c r="JXR31" t="e">
        <v>#N/A</v>
      </c>
      <c r="JXS31" t="e">
        <v>#N/A</v>
      </c>
      <c r="JXT31" t="e">
        <v>#N/A</v>
      </c>
      <c r="JXU31" t="e">
        <v>#N/A</v>
      </c>
      <c r="JXV31" t="e">
        <v>#N/A</v>
      </c>
      <c r="JXW31" t="e">
        <v>#N/A</v>
      </c>
      <c r="JXX31" t="e">
        <v>#N/A</v>
      </c>
      <c r="JXY31" t="e">
        <v>#N/A</v>
      </c>
      <c r="JXZ31" t="e">
        <v>#N/A</v>
      </c>
      <c r="JYA31" t="e">
        <v>#N/A</v>
      </c>
      <c r="JYB31" t="e">
        <v>#N/A</v>
      </c>
      <c r="JYC31" t="e">
        <v>#N/A</v>
      </c>
      <c r="JYD31" t="e">
        <v>#N/A</v>
      </c>
      <c r="JYE31" t="e">
        <v>#N/A</v>
      </c>
      <c r="JYF31" t="e">
        <v>#N/A</v>
      </c>
      <c r="JYG31" t="e">
        <v>#N/A</v>
      </c>
      <c r="JYH31" t="e">
        <v>#N/A</v>
      </c>
      <c r="JYI31" t="e">
        <v>#N/A</v>
      </c>
      <c r="JYJ31" t="e">
        <v>#N/A</v>
      </c>
      <c r="JYK31" t="e">
        <v>#N/A</v>
      </c>
      <c r="JYL31" t="e">
        <v>#N/A</v>
      </c>
      <c r="JYM31" t="e">
        <v>#N/A</v>
      </c>
      <c r="JYN31" t="e">
        <v>#N/A</v>
      </c>
      <c r="JYO31" t="e">
        <v>#N/A</v>
      </c>
      <c r="JYP31" t="e">
        <v>#N/A</v>
      </c>
      <c r="JYQ31" t="e">
        <v>#N/A</v>
      </c>
      <c r="JYR31" t="e">
        <v>#N/A</v>
      </c>
      <c r="JYS31" t="e">
        <v>#N/A</v>
      </c>
      <c r="JYT31" t="e">
        <v>#N/A</v>
      </c>
      <c r="JYU31" t="e">
        <v>#N/A</v>
      </c>
      <c r="JYV31" t="e">
        <v>#N/A</v>
      </c>
      <c r="JYW31" t="e">
        <v>#N/A</v>
      </c>
      <c r="JYX31" t="e">
        <v>#N/A</v>
      </c>
      <c r="JYY31" t="e">
        <v>#N/A</v>
      </c>
      <c r="JYZ31" t="e">
        <v>#N/A</v>
      </c>
      <c r="JZA31" t="e">
        <v>#N/A</v>
      </c>
      <c r="JZB31" t="e">
        <v>#N/A</v>
      </c>
      <c r="JZC31" t="e">
        <v>#N/A</v>
      </c>
      <c r="JZD31" t="e">
        <v>#N/A</v>
      </c>
      <c r="JZE31" t="e">
        <v>#N/A</v>
      </c>
      <c r="JZF31" t="e">
        <v>#N/A</v>
      </c>
      <c r="JZG31" t="e">
        <v>#N/A</v>
      </c>
      <c r="JZH31" t="e">
        <v>#N/A</v>
      </c>
      <c r="JZI31" t="e">
        <v>#N/A</v>
      </c>
      <c r="JZJ31" t="e">
        <v>#N/A</v>
      </c>
      <c r="JZK31" t="e">
        <v>#N/A</v>
      </c>
      <c r="JZL31" t="e">
        <v>#N/A</v>
      </c>
      <c r="JZM31" t="e">
        <v>#N/A</v>
      </c>
      <c r="JZN31" t="e">
        <v>#N/A</v>
      </c>
      <c r="JZO31" t="e">
        <v>#N/A</v>
      </c>
      <c r="JZP31" t="e">
        <v>#N/A</v>
      </c>
      <c r="JZQ31" t="e">
        <v>#N/A</v>
      </c>
      <c r="JZR31" t="e">
        <v>#N/A</v>
      </c>
      <c r="JZS31" t="e">
        <v>#N/A</v>
      </c>
      <c r="JZT31" t="e">
        <v>#N/A</v>
      </c>
      <c r="JZU31" t="e">
        <v>#N/A</v>
      </c>
      <c r="JZV31" t="e">
        <v>#N/A</v>
      </c>
      <c r="JZW31" t="e">
        <v>#N/A</v>
      </c>
      <c r="JZX31" t="e">
        <v>#N/A</v>
      </c>
      <c r="JZY31" t="e">
        <v>#N/A</v>
      </c>
      <c r="JZZ31" t="e">
        <v>#N/A</v>
      </c>
      <c r="KAA31" t="e">
        <v>#N/A</v>
      </c>
      <c r="KAB31" t="e">
        <v>#N/A</v>
      </c>
      <c r="KAC31" t="e">
        <v>#N/A</v>
      </c>
      <c r="KAD31" t="e">
        <v>#N/A</v>
      </c>
      <c r="KAE31" t="e">
        <v>#N/A</v>
      </c>
      <c r="KAF31" t="e">
        <v>#N/A</v>
      </c>
      <c r="KAG31" t="e">
        <v>#N/A</v>
      </c>
      <c r="KAH31" t="e">
        <v>#N/A</v>
      </c>
      <c r="KAI31" t="e">
        <v>#N/A</v>
      </c>
      <c r="KAJ31" t="e">
        <v>#N/A</v>
      </c>
      <c r="KAK31" t="e">
        <v>#N/A</v>
      </c>
      <c r="KAL31" t="e">
        <v>#N/A</v>
      </c>
      <c r="KAM31" t="e">
        <v>#N/A</v>
      </c>
      <c r="KAN31" t="e">
        <v>#N/A</v>
      </c>
      <c r="KAO31" t="e">
        <v>#N/A</v>
      </c>
      <c r="KAP31" t="e">
        <v>#N/A</v>
      </c>
      <c r="KAQ31" t="e">
        <v>#N/A</v>
      </c>
      <c r="KAR31" t="e">
        <v>#N/A</v>
      </c>
      <c r="KAS31" t="e">
        <v>#N/A</v>
      </c>
      <c r="KAT31" t="e">
        <v>#N/A</v>
      </c>
      <c r="KAU31" t="e">
        <v>#N/A</v>
      </c>
      <c r="KAV31" t="e">
        <v>#N/A</v>
      </c>
      <c r="KAW31" t="e">
        <v>#N/A</v>
      </c>
      <c r="KAX31" t="e">
        <v>#N/A</v>
      </c>
      <c r="KAY31" t="e">
        <v>#N/A</v>
      </c>
      <c r="KAZ31" t="e">
        <v>#N/A</v>
      </c>
      <c r="KBA31" t="e">
        <v>#N/A</v>
      </c>
      <c r="KBB31" t="e">
        <v>#N/A</v>
      </c>
      <c r="KBC31" t="e">
        <v>#N/A</v>
      </c>
      <c r="KBD31" t="e">
        <v>#N/A</v>
      </c>
      <c r="KBE31" t="e">
        <v>#N/A</v>
      </c>
      <c r="KBF31" t="e">
        <v>#N/A</v>
      </c>
      <c r="KBG31" t="e">
        <v>#N/A</v>
      </c>
      <c r="KBH31" t="e">
        <v>#N/A</v>
      </c>
      <c r="KBI31" t="e">
        <v>#N/A</v>
      </c>
      <c r="KBJ31" t="e">
        <v>#N/A</v>
      </c>
      <c r="KBK31" t="e">
        <v>#N/A</v>
      </c>
      <c r="KBL31" t="e">
        <v>#N/A</v>
      </c>
      <c r="KBM31" t="e">
        <v>#N/A</v>
      </c>
      <c r="KBN31" t="e">
        <v>#N/A</v>
      </c>
      <c r="KBO31" t="e">
        <v>#N/A</v>
      </c>
      <c r="KBP31" t="e">
        <v>#N/A</v>
      </c>
      <c r="KBQ31" t="e">
        <v>#N/A</v>
      </c>
      <c r="KBR31" t="e">
        <v>#N/A</v>
      </c>
      <c r="KBS31" t="e">
        <v>#N/A</v>
      </c>
      <c r="KBT31" t="e">
        <v>#N/A</v>
      </c>
      <c r="KBU31" t="e">
        <v>#N/A</v>
      </c>
      <c r="KBV31" t="e">
        <v>#N/A</v>
      </c>
      <c r="KBW31" t="e">
        <v>#N/A</v>
      </c>
      <c r="KBX31" t="e">
        <v>#N/A</v>
      </c>
      <c r="KBY31" t="e">
        <v>#N/A</v>
      </c>
      <c r="KBZ31" t="e">
        <v>#N/A</v>
      </c>
      <c r="KCA31" t="e">
        <v>#N/A</v>
      </c>
      <c r="KCB31" t="e">
        <v>#N/A</v>
      </c>
      <c r="KCC31" t="e">
        <v>#N/A</v>
      </c>
      <c r="KCD31" t="e">
        <v>#N/A</v>
      </c>
      <c r="KCE31" t="e">
        <v>#N/A</v>
      </c>
      <c r="KCF31" t="e">
        <v>#N/A</v>
      </c>
      <c r="KCG31" t="e">
        <v>#N/A</v>
      </c>
      <c r="KCH31" t="e">
        <v>#N/A</v>
      </c>
      <c r="KCI31" t="e">
        <v>#N/A</v>
      </c>
      <c r="KCJ31" t="e">
        <v>#N/A</v>
      </c>
      <c r="KCK31" t="e">
        <v>#N/A</v>
      </c>
      <c r="KCL31" t="e">
        <v>#N/A</v>
      </c>
      <c r="KCM31" t="e">
        <v>#N/A</v>
      </c>
      <c r="KCN31" t="e">
        <v>#N/A</v>
      </c>
      <c r="KCO31" t="e">
        <v>#N/A</v>
      </c>
      <c r="KCP31" t="e">
        <v>#N/A</v>
      </c>
      <c r="KCQ31" t="e">
        <v>#N/A</v>
      </c>
      <c r="KCR31" t="e">
        <v>#N/A</v>
      </c>
      <c r="KCS31" t="e">
        <v>#N/A</v>
      </c>
      <c r="KCT31" t="e">
        <v>#N/A</v>
      </c>
      <c r="KCU31" t="e">
        <v>#N/A</v>
      </c>
      <c r="KCV31" t="e">
        <v>#N/A</v>
      </c>
      <c r="KCW31" t="e">
        <v>#N/A</v>
      </c>
      <c r="KCX31" t="e">
        <v>#N/A</v>
      </c>
      <c r="KCY31" t="e">
        <v>#N/A</v>
      </c>
      <c r="KCZ31" t="e">
        <v>#N/A</v>
      </c>
      <c r="KDA31" t="e">
        <v>#N/A</v>
      </c>
      <c r="KDB31" t="e">
        <v>#N/A</v>
      </c>
      <c r="KDC31" t="e">
        <v>#N/A</v>
      </c>
      <c r="KDD31" t="e">
        <v>#N/A</v>
      </c>
      <c r="KDE31" t="e">
        <v>#N/A</v>
      </c>
      <c r="KDF31" t="e">
        <v>#N/A</v>
      </c>
      <c r="KDG31" t="e">
        <v>#N/A</v>
      </c>
      <c r="KDH31" t="e">
        <v>#N/A</v>
      </c>
      <c r="KDI31" t="e">
        <v>#N/A</v>
      </c>
      <c r="KDJ31" t="e">
        <v>#N/A</v>
      </c>
      <c r="KDK31" t="e">
        <v>#N/A</v>
      </c>
      <c r="KDL31" t="e">
        <v>#N/A</v>
      </c>
      <c r="KDM31" t="e">
        <v>#N/A</v>
      </c>
      <c r="KDN31" t="e">
        <v>#N/A</v>
      </c>
      <c r="KDO31" t="e">
        <v>#N/A</v>
      </c>
      <c r="KDP31" t="e">
        <v>#N/A</v>
      </c>
      <c r="KDQ31" t="e">
        <v>#N/A</v>
      </c>
      <c r="KDR31" t="e">
        <v>#N/A</v>
      </c>
      <c r="KDS31" t="e">
        <v>#N/A</v>
      </c>
      <c r="KDT31" t="e">
        <v>#N/A</v>
      </c>
      <c r="KDU31" t="e">
        <v>#N/A</v>
      </c>
      <c r="KDV31" t="e">
        <v>#N/A</v>
      </c>
      <c r="KDW31" t="e">
        <v>#N/A</v>
      </c>
      <c r="KDX31" t="e">
        <v>#N/A</v>
      </c>
      <c r="KDY31" t="e">
        <v>#N/A</v>
      </c>
      <c r="KDZ31" t="e">
        <v>#N/A</v>
      </c>
      <c r="KEA31" t="e">
        <v>#N/A</v>
      </c>
      <c r="KEB31" t="e">
        <v>#N/A</v>
      </c>
      <c r="KEC31" t="e">
        <v>#N/A</v>
      </c>
      <c r="KED31" t="e">
        <v>#N/A</v>
      </c>
      <c r="KEE31" t="e">
        <v>#N/A</v>
      </c>
      <c r="KEF31" t="e">
        <v>#N/A</v>
      </c>
      <c r="KEG31" t="e">
        <v>#N/A</v>
      </c>
      <c r="KEH31" t="e">
        <v>#N/A</v>
      </c>
      <c r="KEI31" t="e">
        <v>#N/A</v>
      </c>
      <c r="KEJ31" t="e">
        <v>#N/A</v>
      </c>
      <c r="KEK31" t="e">
        <v>#N/A</v>
      </c>
      <c r="KEL31" t="e">
        <v>#N/A</v>
      </c>
      <c r="KEM31" t="e">
        <v>#N/A</v>
      </c>
      <c r="KEN31" t="e">
        <v>#N/A</v>
      </c>
      <c r="KEO31" t="e">
        <v>#N/A</v>
      </c>
      <c r="KEP31" t="e">
        <v>#N/A</v>
      </c>
      <c r="KEQ31" t="e">
        <v>#N/A</v>
      </c>
      <c r="KER31" t="e">
        <v>#N/A</v>
      </c>
      <c r="KES31" t="e">
        <v>#N/A</v>
      </c>
      <c r="KET31" t="e">
        <v>#N/A</v>
      </c>
      <c r="KEU31" t="e">
        <v>#N/A</v>
      </c>
      <c r="KEV31" t="e">
        <v>#N/A</v>
      </c>
      <c r="KEW31" t="e">
        <v>#N/A</v>
      </c>
      <c r="KEX31" t="e">
        <v>#N/A</v>
      </c>
      <c r="KEY31" t="e">
        <v>#N/A</v>
      </c>
      <c r="KEZ31" t="e">
        <v>#N/A</v>
      </c>
      <c r="KFA31" t="e">
        <v>#N/A</v>
      </c>
      <c r="KFB31" t="e">
        <v>#N/A</v>
      </c>
      <c r="KFC31" t="e">
        <v>#N/A</v>
      </c>
      <c r="KFD31" t="e">
        <v>#N/A</v>
      </c>
      <c r="KFE31" t="e">
        <v>#N/A</v>
      </c>
      <c r="KFF31" t="e">
        <v>#N/A</v>
      </c>
      <c r="KFG31" t="e">
        <v>#N/A</v>
      </c>
      <c r="KFH31" t="e">
        <v>#N/A</v>
      </c>
      <c r="KFI31" t="e">
        <v>#N/A</v>
      </c>
      <c r="KFJ31" t="e">
        <v>#N/A</v>
      </c>
      <c r="KFK31" t="e">
        <v>#N/A</v>
      </c>
      <c r="KFL31" t="e">
        <v>#N/A</v>
      </c>
      <c r="KFM31" t="e">
        <v>#N/A</v>
      </c>
      <c r="KFN31" t="e">
        <v>#N/A</v>
      </c>
      <c r="KFO31" t="e">
        <v>#N/A</v>
      </c>
      <c r="KFP31" t="e">
        <v>#N/A</v>
      </c>
      <c r="KFQ31" t="e">
        <v>#N/A</v>
      </c>
      <c r="KFR31" t="e">
        <v>#N/A</v>
      </c>
      <c r="KFS31" t="e">
        <v>#N/A</v>
      </c>
      <c r="KFT31" t="e">
        <v>#N/A</v>
      </c>
      <c r="KFU31" t="e">
        <v>#N/A</v>
      </c>
      <c r="KFV31" t="e">
        <v>#N/A</v>
      </c>
      <c r="KFW31" t="e">
        <v>#N/A</v>
      </c>
      <c r="KFX31" t="e">
        <v>#N/A</v>
      </c>
      <c r="KFY31" t="e">
        <v>#N/A</v>
      </c>
      <c r="KFZ31" t="e">
        <v>#N/A</v>
      </c>
      <c r="KGA31" t="e">
        <v>#N/A</v>
      </c>
      <c r="KGB31" t="e">
        <v>#N/A</v>
      </c>
      <c r="KGC31" t="e">
        <v>#N/A</v>
      </c>
      <c r="KGD31" t="e">
        <v>#N/A</v>
      </c>
      <c r="KGE31" t="e">
        <v>#N/A</v>
      </c>
      <c r="KGF31" t="e">
        <v>#N/A</v>
      </c>
      <c r="KGG31" t="e">
        <v>#N/A</v>
      </c>
      <c r="KGH31" t="e">
        <v>#N/A</v>
      </c>
      <c r="KGI31" t="e">
        <v>#N/A</v>
      </c>
      <c r="KGJ31" t="e">
        <v>#N/A</v>
      </c>
      <c r="KGK31" t="e">
        <v>#N/A</v>
      </c>
      <c r="KGL31" t="e">
        <v>#N/A</v>
      </c>
      <c r="KGM31" t="e">
        <v>#N/A</v>
      </c>
      <c r="KGN31" t="e">
        <v>#N/A</v>
      </c>
      <c r="KGO31" t="e">
        <v>#N/A</v>
      </c>
      <c r="KGP31" t="e">
        <v>#N/A</v>
      </c>
      <c r="KGQ31" t="e">
        <v>#N/A</v>
      </c>
      <c r="KGR31" t="e">
        <v>#N/A</v>
      </c>
      <c r="KGS31" t="e">
        <v>#N/A</v>
      </c>
      <c r="KGT31" t="e">
        <v>#N/A</v>
      </c>
      <c r="KGU31" t="e">
        <v>#N/A</v>
      </c>
      <c r="KGV31" t="e">
        <v>#N/A</v>
      </c>
      <c r="KGW31" t="e">
        <v>#N/A</v>
      </c>
      <c r="KGX31" t="e">
        <v>#N/A</v>
      </c>
      <c r="KGY31" t="e">
        <v>#N/A</v>
      </c>
      <c r="KGZ31" t="e">
        <v>#N/A</v>
      </c>
      <c r="KHA31" t="e">
        <v>#N/A</v>
      </c>
      <c r="KHB31" t="e">
        <v>#N/A</v>
      </c>
      <c r="KHC31" t="e">
        <v>#N/A</v>
      </c>
      <c r="KHD31" t="e">
        <v>#N/A</v>
      </c>
      <c r="KHE31" t="e">
        <v>#N/A</v>
      </c>
      <c r="KHF31" t="e">
        <v>#N/A</v>
      </c>
      <c r="KHG31" t="e">
        <v>#N/A</v>
      </c>
      <c r="KHH31" t="e">
        <v>#N/A</v>
      </c>
      <c r="KHI31" t="e">
        <v>#N/A</v>
      </c>
      <c r="KHJ31" t="e">
        <v>#N/A</v>
      </c>
      <c r="KHK31" t="e">
        <v>#N/A</v>
      </c>
      <c r="KHL31" t="e">
        <v>#N/A</v>
      </c>
      <c r="KHM31" t="e">
        <v>#N/A</v>
      </c>
      <c r="KHN31" t="e">
        <v>#N/A</v>
      </c>
      <c r="KHO31" t="e">
        <v>#N/A</v>
      </c>
      <c r="KHP31" t="e">
        <v>#N/A</v>
      </c>
      <c r="KHQ31" t="e">
        <v>#N/A</v>
      </c>
      <c r="KHR31" t="e">
        <v>#N/A</v>
      </c>
      <c r="KHS31" t="e">
        <v>#N/A</v>
      </c>
      <c r="KHT31" t="e">
        <v>#N/A</v>
      </c>
      <c r="KHU31" t="e">
        <v>#N/A</v>
      </c>
      <c r="KHV31" t="e">
        <v>#N/A</v>
      </c>
      <c r="KHW31" t="e">
        <v>#N/A</v>
      </c>
      <c r="KHX31" t="e">
        <v>#N/A</v>
      </c>
      <c r="KHY31" t="e">
        <v>#N/A</v>
      </c>
      <c r="KHZ31" t="e">
        <v>#N/A</v>
      </c>
      <c r="KIA31" t="e">
        <v>#N/A</v>
      </c>
      <c r="KIB31" t="e">
        <v>#N/A</v>
      </c>
      <c r="KIC31" t="e">
        <v>#N/A</v>
      </c>
      <c r="KID31" t="e">
        <v>#N/A</v>
      </c>
      <c r="KIE31" t="e">
        <v>#N/A</v>
      </c>
      <c r="KIF31" t="e">
        <v>#N/A</v>
      </c>
      <c r="KIG31" t="e">
        <v>#N/A</v>
      </c>
      <c r="KIH31" t="e">
        <v>#N/A</v>
      </c>
      <c r="KII31" t="e">
        <v>#N/A</v>
      </c>
      <c r="KIJ31" t="e">
        <v>#N/A</v>
      </c>
      <c r="KIK31" t="e">
        <v>#N/A</v>
      </c>
      <c r="KIL31" t="e">
        <v>#N/A</v>
      </c>
      <c r="KIM31" t="e">
        <v>#N/A</v>
      </c>
      <c r="KIN31" t="e">
        <v>#N/A</v>
      </c>
      <c r="KIO31" t="e">
        <v>#N/A</v>
      </c>
      <c r="KIP31" t="e">
        <v>#N/A</v>
      </c>
      <c r="KIQ31" t="e">
        <v>#N/A</v>
      </c>
      <c r="KIR31" t="e">
        <v>#N/A</v>
      </c>
      <c r="KIS31" t="e">
        <v>#N/A</v>
      </c>
      <c r="KIT31" t="e">
        <v>#N/A</v>
      </c>
      <c r="KIU31" t="e">
        <v>#N/A</v>
      </c>
      <c r="KIV31" t="e">
        <v>#N/A</v>
      </c>
      <c r="KIW31" t="e">
        <v>#N/A</v>
      </c>
      <c r="KIX31" t="e">
        <v>#N/A</v>
      </c>
      <c r="KIY31" t="e">
        <v>#N/A</v>
      </c>
      <c r="KIZ31" t="e">
        <v>#N/A</v>
      </c>
      <c r="KJA31" t="e">
        <v>#N/A</v>
      </c>
      <c r="KJB31" t="e">
        <v>#N/A</v>
      </c>
      <c r="KJC31" t="e">
        <v>#N/A</v>
      </c>
      <c r="KJD31" t="e">
        <v>#N/A</v>
      </c>
      <c r="KJE31" t="e">
        <v>#N/A</v>
      </c>
      <c r="KJF31" t="e">
        <v>#N/A</v>
      </c>
      <c r="KJG31" t="e">
        <v>#N/A</v>
      </c>
      <c r="KJH31" t="e">
        <v>#N/A</v>
      </c>
      <c r="KJI31" t="e">
        <v>#N/A</v>
      </c>
      <c r="KJJ31" t="e">
        <v>#N/A</v>
      </c>
      <c r="KJK31" t="e">
        <v>#N/A</v>
      </c>
      <c r="KJL31" t="e">
        <v>#N/A</v>
      </c>
      <c r="KJM31" t="e">
        <v>#N/A</v>
      </c>
      <c r="KJN31" t="e">
        <v>#N/A</v>
      </c>
      <c r="KJO31" t="e">
        <v>#N/A</v>
      </c>
      <c r="KJP31" t="e">
        <v>#N/A</v>
      </c>
      <c r="KJQ31" t="e">
        <v>#N/A</v>
      </c>
      <c r="KJR31" t="e">
        <v>#N/A</v>
      </c>
      <c r="KJS31" t="e">
        <v>#N/A</v>
      </c>
      <c r="KJT31" t="e">
        <v>#N/A</v>
      </c>
      <c r="KJU31" t="e">
        <v>#N/A</v>
      </c>
      <c r="KJV31" t="e">
        <v>#N/A</v>
      </c>
      <c r="KJW31" t="e">
        <v>#N/A</v>
      </c>
      <c r="KJX31" t="e">
        <v>#N/A</v>
      </c>
      <c r="KJY31" t="e">
        <v>#N/A</v>
      </c>
      <c r="KJZ31" t="e">
        <v>#N/A</v>
      </c>
      <c r="KKA31" t="e">
        <v>#N/A</v>
      </c>
      <c r="KKB31" t="e">
        <v>#N/A</v>
      </c>
      <c r="KKC31" t="e">
        <v>#N/A</v>
      </c>
      <c r="KKD31" t="e">
        <v>#N/A</v>
      </c>
      <c r="KKE31" t="e">
        <v>#N/A</v>
      </c>
      <c r="KKF31" t="e">
        <v>#N/A</v>
      </c>
      <c r="KKG31" t="e">
        <v>#N/A</v>
      </c>
      <c r="KKH31" t="e">
        <v>#N/A</v>
      </c>
      <c r="KKI31" t="e">
        <v>#N/A</v>
      </c>
      <c r="KKJ31" t="e">
        <v>#N/A</v>
      </c>
      <c r="KKK31" t="e">
        <v>#N/A</v>
      </c>
      <c r="KKL31" t="e">
        <v>#N/A</v>
      </c>
      <c r="KKM31" t="e">
        <v>#N/A</v>
      </c>
      <c r="KKN31" t="e">
        <v>#N/A</v>
      </c>
      <c r="KKO31" t="e">
        <v>#N/A</v>
      </c>
      <c r="KKP31" t="e">
        <v>#N/A</v>
      </c>
      <c r="KKQ31" t="e">
        <v>#N/A</v>
      </c>
      <c r="KKR31" t="e">
        <v>#N/A</v>
      </c>
      <c r="KKS31" t="e">
        <v>#N/A</v>
      </c>
      <c r="KKT31" t="e">
        <v>#N/A</v>
      </c>
      <c r="KKU31" t="e">
        <v>#N/A</v>
      </c>
      <c r="KKV31" t="e">
        <v>#N/A</v>
      </c>
      <c r="KKW31" t="e">
        <v>#N/A</v>
      </c>
      <c r="KKX31" t="e">
        <v>#N/A</v>
      </c>
      <c r="KKY31" t="e">
        <v>#N/A</v>
      </c>
      <c r="KKZ31" t="e">
        <v>#N/A</v>
      </c>
      <c r="KLA31" t="e">
        <v>#N/A</v>
      </c>
      <c r="KLB31" t="e">
        <v>#N/A</v>
      </c>
      <c r="KLC31" t="e">
        <v>#N/A</v>
      </c>
      <c r="KLD31" t="e">
        <v>#N/A</v>
      </c>
      <c r="KLE31" t="e">
        <v>#N/A</v>
      </c>
      <c r="KLF31" t="e">
        <v>#N/A</v>
      </c>
      <c r="KLG31" t="e">
        <v>#N/A</v>
      </c>
      <c r="KLH31" t="e">
        <v>#N/A</v>
      </c>
      <c r="KLI31" t="e">
        <v>#N/A</v>
      </c>
      <c r="KLJ31" t="e">
        <v>#N/A</v>
      </c>
      <c r="KLK31" t="e">
        <v>#N/A</v>
      </c>
      <c r="KLL31" t="e">
        <v>#N/A</v>
      </c>
      <c r="KLM31" t="e">
        <v>#N/A</v>
      </c>
      <c r="KLN31" t="e">
        <v>#N/A</v>
      </c>
      <c r="KLO31" t="e">
        <v>#N/A</v>
      </c>
      <c r="KLP31" t="e">
        <v>#N/A</v>
      </c>
      <c r="KLQ31" t="e">
        <v>#N/A</v>
      </c>
      <c r="KLR31" t="e">
        <v>#N/A</v>
      </c>
      <c r="KLS31" t="e">
        <v>#N/A</v>
      </c>
      <c r="KLT31" t="e">
        <v>#N/A</v>
      </c>
      <c r="KLU31" t="e">
        <v>#N/A</v>
      </c>
      <c r="KLV31" t="e">
        <v>#N/A</v>
      </c>
      <c r="KLW31" t="e">
        <v>#N/A</v>
      </c>
      <c r="KLX31" t="e">
        <v>#N/A</v>
      </c>
      <c r="KLY31" t="e">
        <v>#N/A</v>
      </c>
      <c r="KLZ31" t="e">
        <v>#N/A</v>
      </c>
      <c r="KMA31" t="e">
        <v>#N/A</v>
      </c>
      <c r="KMB31" t="e">
        <v>#N/A</v>
      </c>
      <c r="KMC31" t="e">
        <v>#N/A</v>
      </c>
      <c r="KMD31" t="e">
        <v>#N/A</v>
      </c>
      <c r="KME31" t="e">
        <v>#N/A</v>
      </c>
      <c r="KMF31" t="e">
        <v>#N/A</v>
      </c>
      <c r="KMG31" t="e">
        <v>#N/A</v>
      </c>
      <c r="KMH31" t="e">
        <v>#N/A</v>
      </c>
      <c r="KMI31" t="e">
        <v>#N/A</v>
      </c>
      <c r="KMJ31" t="e">
        <v>#N/A</v>
      </c>
      <c r="KMK31" t="e">
        <v>#N/A</v>
      </c>
      <c r="KML31" t="e">
        <v>#N/A</v>
      </c>
      <c r="KMM31" t="e">
        <v>#N/A</v>
      </c>
      <c r="KMN31" t="e">
        <v>#N/A</v>
      </c>
      <c r="KMO31" t="e">
        <v>#N/A</v>
      </c>
      <c r="KMP31" t="e">
        <v>#N/A</v>
      </c>
      <c r="KMQ31" t="e">
        <v>#N/A</v>
      </c>
      <c r="KMR31" t="e">
        <v>#N/A</v>
      </c>
      <c r="KMS31" t="e">
        <v>#N/A</v>
      </c>
      <c r="KMT31" t="e">
        <v>#N/A</v>
      </c>
      <c r="KMU31" t="e">
        <v>#N/A</v>
      </c>
      <c r="KMV31" t="e">
        <v>#N/A</v>
      </c>
      <c r="KMW31" t="e">
        <v>#N/A</v>
      </c>
      <c r="KMX31" t="e">
        <v>#N/A</v>
      </c>
      <c r="KMY31" t="e">
        <v>#N/A</v>
      </c>
      <c r="KMZ31" t="e">
        <v>#N/A</v>
      </c>
      <c r="KNA31" t="e">
        <v>#N/A</v>
      </c>
      <c r="KNB31" t="e">
        <v>#N/A</v>
      </c>
      <c r="KNC31" t="e">
        <v>#N/A</v>
      </c>
      <c r="KND31" t="e">
        <v>#N/A</v>
      </c>
      <c r="KNE31" t="e">
        <v>#N/A</v>
      </c>
      <c r="KNF31" t="e">
        <v>#N/A</v>
      </c>
      <c r="KNG31" t="e">
        <v>#N/A</v>
      </c>
      <c r="KNH31" t="e">
        <v>#N/A</v>
      </c>
      <c r="KNI31" t="e">
        <v>#N/A</v>
      </c>
      <c r="KNJ31" t="e">
        <v>#N/A</v>
      </c>
      <c r="KNK31" t="e">
        <v>#N/A</v>
      </c>
      <c r="KNL31" t="e">
        <v>#N/A</v>
      </c>
      <c r="KNM31" t="e">
        <v>#N/A</v>
      </c>
      <c r="KNN31" t="e">
        <v>#N/A</v>
      </c>
      <c r="KNO31" t="e">
        <v>#N/A</v>
      </c>
      <c r="KNP31" t="e">
        <v>#N/A</v>
      </c>
      <c r="KNQ31" t="e">
        <v>#N/A</v>
      </c>
      <c r="KNR31" t="e">
        <v>#N/A</v>
      </c>
      <c r="KNS31" t="e">
        <v>#N/A</v>
      </c>
      <c r="KNT31" t="e">
        <v>#N/A</v>
      </c>
      <c r="KNU31" t="e">
        <v>#N/A</v>
      </c>
      <c r="KNV31" t="e">
        <v>#N/A</v>
      </c>
      <c r="KNW31" t="e">
        <v>#N/A</v>
      </c>
      <c r="KNX31" t="e">
        <v>#N/A</v>
      </c>
      <c r="KNY31" t="e">
        <v>#N/A</v>
      </c>
      <c r="KNZ31" t="e">
        <v>#N/A</v>
      </c>
      <c r="KOA31" t="e">
        <v>#N/A</v>
      </c>
      <c r="KOB31" t="e">
        <v>#N/A</v>
      </c>
      <c r="KOC31" t="e">
        <v>#N/A</v>
      </c>
      <c r="KOD31" t="e">
        <v>#N/A</v>
      </c>
      <c r="KOE31" t="e">
        <v>#N/A</v>
      </c>
      <c r="KOF31" t="e">
        <v>#N/A</v>
      </c>
      <c r="KOG31" t="e">
        <v>#N/A</v>
      </c>
      <c r="KOH31" t="e">
        <v>#N/A</v>
      </c>
      <c r="KOI31" t="e">
        <v>#N/A</v>
      </c>
      <c r="KOJ31" t="e">
        <v>#N/A</v>
      </c>
      <c r="KOK31" t="e">
        <v>#N/A</v>
      </c>
      <c r="KOL31" t="e">
        <v>#N/A</v>
      </c>
      <c r="KOM31" t="e">
        <v>#N/A</v>
      </c>
      <c r="KON31" t="e">
        <v>#N/A</v>
      </c>
      <c r="KOO31" t="e">
        <v>#N/A</v>
      </c>
      <c r="KOP31" t="e">
        <v>#N/A</v>
      </c>
      <c r="KOQ31" t="e">
        <v>#N/A</v>
      </c>
      <c r="KOR31" t="e">
        <v>#N/A</v>
      </c>
      <c r="KOS31" t="e">
        <v>#N/A</v>
      </c>
      <c r="KOT31" t="e">
        <v>#N/A</v>
      </c>
      <c r="KOU31" t="e">
        <v>#N/A</v>
      </c>
      <c r="KOV31" t="e">
        <v>#N/A</v>
      </c>
      <c r="KOW31" t="e">
        <v>#N/A</v>
      </c>
      <c r="KOX31" t="e">
        <v>#N/A</v>
      </c>
      <c r="KOY31" t="e">
        <v>#N/A</v>
      </c>
      <c r="KOZ31" t="e">
        <v>#N/A</v>
      </c>
      <c r="KPA31" t="e">
        <v>#N/A</v>
      </c>
      <c r="KPB31" t="e">
        <v>#N/A</v>
      </c>
      <c r="KPC31" t="e">
        <v>#N/A</v>
      </c>
      <c r="KPD31" t="e">
        <v>#N/A</v>
      </c>
      <c r="KPE31" t="e">
        <v>#N/A</v>
      </c>
      <c r="KPF31" t="e">
        <v>#N/A</v>
      </c>
      <c r="KPG31" t="e">
        <v>#N/A</v>
      </c>
      <c r="KPH31" t="e">
        <v>#N/A</v>
      </c>
      <c r="KPI31" t="e">
        <v>#N/A</v>
      </c>
      <c r="KPJ31" t="e">
        <v>#N/A</v>
      </c>
      <c r="KPK31" t="e">
        <v>#N/A</v>
      </c>
      <c r="KPL31" t="e">
        <v>#N/A</v>
      </c>
      <c r="KPM31" t="e">
        <v>#N/A</v>
      </c>
      <c r="KPN31" t="e">
        <v>#N/A</v>
      </c>
      <c r="KPO31" t="e">
        <v>#N/A</v>
      </c>
      <c r="KPP31" t="e">
        <v>#N/A</v>
      </c>
      <c r="KPQ31" t="e">
        <v>#N/A</v>
      </c>
      <c r="KPR31" t="e">
        <v>#N/A</v>
      </c>
      <c r="KPS31" t="e">
        <v>#N/A</v>
      </c>
      <c r="KPT31" t="e">
        <v>#N/A</v>
      </c>
      <c r="KPU31" t="e">
        <v>#N/A</v>
      </c>
      <c r="KPV31" t="e">
        <v>#N/A</v>
      </c>
      <c r="KPW31" t="e">
        <v>#N/A</v>
      </c>
      <c r="KPX31" t="e">
        <v>#N/A</v>
      </c>
      <c r="KPY31" t="e">
        <v>#N/A</v>
      </c>
      <c r="KPZ31" t="e">
        <v>#N/A</v>
      </c>
      <c r="KQA31" t="e">
        <v>#N/A</v>
      </c>
      <c r="KQB31" t="e">
        <v>#N/A</v>
      </c>
      <c r="KQC31" t="e">
        <v>#N/A</v>
      </c>
      <c r="KQD31" t="e">
        <v>#N/A</v>
      </c>
      <c r="KQE31" t="e">
        <v>#N/A</v>
      </c>
      <c r="KQF31" t="e">
        <v>#N/A</v>
      </c>
      <c r="KQG31" t="e">
        <v>#N/A</v>
      </c>
      <c r="KQH31" t="e">
        <v>#N/A</v>
      </c>
      <c r="KQI31" t="e">
        <v>#N/A</v>
      </c>
      <c r="KQJ31" t="e">
        <v>#N/A</v>
      </c>
      <c r="KQK31" t="e">
        <v>#N/A</v>
      </c>
      <c r="KQL31" t="e">
        <v>#N/A</v>
      </c>
      <c r="KQM31" t="e">
        <v>#N/A</v>
      </c>
      <c r="KQN31" t="e">
        <v>#N/A</v>
      </c>
      <c r="KQO31" t="e">
        <v>#N/A</v>
      </c>
      <c r="KQP31" t="e">
        <v>#N/A</v>
      </c>
      <c r="KQQ31" t="e">
        <v>#N/A</v>
      </c>
      <c r="KQR31" t="e">
        <v>#N/A</v>
      </c>
      <c r="KQS31" t="e">
        <v>#N/A</v>
      </c>
      <c r="KQT31" t="e">
        <v>#N/A</v>
      </c>
      <c r="KQU31" t="e">
        <v>#N/A</v>
      </c>
      <c r="KQV31" t="e">
        <v>#N/A</v>
      </c>
      <c r="KQW31" t="e">
        <v>#N/A</v>
      </c>
      <c r="KQX31" t="e">
        <v>#N/A</v>
      </c>
      <c r="KQY31" t="e">
        <v>#N/A</v>
      </c>
      <c r="KQZ31" t="e">
        <v>#N/A</v>
      </c>
      <c r="KRA31" t="e">
        <v>#N/A</v>
      </c>
      <c r="KRB31" t="e">
        <v>#N/A</v>
      </c>
      <c r="KRC31" t="e">
        <v>#N/A</v>
      </c>
      <c r="KRD31" t="e">
        <v>#N/A</v>
      </c>
      <c r="KRE31" t="e">
        <v>#N/A</v>
      </c>
      <c r="KRF31" t="e">
        <v>#N/A</v>
      </c>
      <c r="KRG31" t="e">
        <v>#N/A</v>
      </c>
      <c r="KRH31" t="e">
        <v>#N/A</v>
      </c>
      <c r="KRI31" t="e">
        <v>#N/A</v>
      </c>
      <c r="KRJ31" t="e">
        <v>#N/A</v>
      </c>
      <c r="KRK31" t="e">
        <v>#N/A</v>
      </c>
      <c r="KRL31" t="e">
        <v>#N/A</v>
      </c>
      <c r="KRM31" t="e">
        <v>#N/A</v>
      </c>
      <c r="KRN31" t="e">
        <v>#N/A</v>
      </c>
      <c r="KRO31" t="e">
        <v>#N/A</v>
      </c>
      <c r="KRP31" t="e">
        <v>#N/A</v>
      </c>
      <c r="KRQ31" t="e">
        <v>#N/A</v>
      </c>
      <c r="KRR31" t="e">
        <v>#N/A</v>
      </c>
      <c r="KRS31" t="e">
        <v>#N/A</v>
      </c>
      <c r="KRT31" t="e">
        <v>#N/A</v>
      </c>
      <c r="KRU31" t="e">
        <v>#N/A</v>
      </c>
      <c r="KRV31" t="e">
        <v>#N/A</v>
      </c>
      <c r="KRW31" t="e">
        <v>#N/A</v>
      </c>
      <c r="KRX31" t="e">
        <v>#N/A</v>
      </c>
      <c r="KRY31" t="e">
        <v>#N/A</v>
      </c>
      <c r="KRZ31" t="e">
        <v>#N/A</v>
      </c>
      <c r="KSA31" t="e">
        <v>#N/A</v>
      </c>
      <c r="KSB31" t="e">
        <v>#N/A</v>
      </c>
      <c r="KSC31" t="e">
        <v>#N/A</v>
      </c>
      <c r="KSD31" t="e">
        <v>#N/A</v>
      </c>
      <c r="KSE31" t="e">
        <v>#N/A</v>
      </c>
      <c r="KSF31" t="e">
        <v>#N/A</v>
      </c>
      <c r="KSG31" t="e">
        <v>#N/A</v>
      </c>
      <c r="KSH31" t="e">
        <v>#N/A</v>
      </c>
      <c r="KSI31" t="e">
        <v>#N/A</v>
      </c>
      <c r="KSJ31" t="e">
        <v>#N/A</v>
      </c>
      <c r="KSK31" t="e">
        <v>#N/A</v>
      </c>
      <c r="KSL31" t="e">
        <v>#N/A</v>
      </c>
      <c r="KSM31" t="e">
        <v>#N/A</v>
      </c>
      <c r="KSN31" t="e">
        <v>#N/A</v>
      </c>
      <c r="KSO31" t="e">
        <v>#N/A</v>
      </c>
      <c r="KSP31" t="e">
        <v>#N/A</v>
      </c>
      <c r="KSQ31" t="e">
        <v>#N/A</v>
      </c>
      <c r="KSR31" t="e">
        <v>#N/A</v>
      </c>
      <c r="KSS31" t="e">
        <v>#N/A</v>
      </c>
      <c r="KST31" t="e">
        <v>#N/A</v>
      </c>
      <c r="KSU31" t="e">
        <v>#N/A</v>
      </c>
      <c r="KSV31" t="e">
        <v>#N/A</v>
      </c>
      <c r="KSW31" t="e">
        <v>#N/A</v>
      </c>
      <c r="KSX31" t="e">
        <v>#N/A</v>
      </c>
      <c r="KSY31" t="e">
        <v>#N/A</v>
      </c>
      <c r="KSZ31" t="e">
        <v>#N/A</v>
      </c>
      <c r="KTA31" t="e">
        <v>#N/A</v>
      </c>
      <c r="KTB31" t="e">
        <v>#N/A</v>
      </c>
      <c r="KTC31" t="e">
        <v>#N/A</v>
      </c>
      <c r="KTD31" t="e">
        <v>#N/A</v>
      </c>
      <c r="KTE31" t="e">
        <v>#N/A</v>
      </c>
      <c r="KTF31" t="e">
        <v>#N/A</v>
      </c>
      <c r="KTG31" t="e">
        <v>#N/A</v>
      </c>
      <c r="KTH31" t="e">
        <v>#N/A</v>
      </c>
      <c r="KTI31" t="e">
        <v>#N/A</v>
      </c>
      <c r="KTJ31" t="e">
        <v>#N/A</v>
      </c>
      <c r="KTK31" t="e">
        <v>#N/A</v>
      </c>
      <c r="KTL31" t="e">
        <v>#N/A</v>
      </c>
      <c r="KTM31" t="e">
        <v>#N/A</v>
      </c>
      <c r="KTN31" t="e">
        <v>#N/A</v>
      </c>
      <c r="KTO31" t="e">
        <v>#N/A</v>
      </c>
      <c r="KTP31" t="e">
        <v>#N/A</v>
      </c>
      <c r="KTQ31" t="e">
        <v>#N/A</v>
      </c>
      <c r="KTR31" t="e">
        <v>#N/A</v>
      </c>
      <c r="KTS31" t="e">
        <v>#N/A</v>
      </c>
      <c r="KTT31" t="e">
        <v>#N/A</v>
      </c>
      <c r="KTU31" t="e">
        <v>#N/A</v>
      </c>
      <c r="KTV31" t="e">
        <v>#N/A</v>
      </c>
      <c r="KTW31" t="e">
        <v>#N/A</v>
      </c>
      <c r="KTX31" t="e">
        <v>#N/A</v>
      </c>
      <c r="KTY31" t="e">
        <v>#N/A</v>
      </c>
      <c r="KTZ31" t="e">
        <v>#N/A</v>
      </c>
      <c r="KUA31" t="e">
        <v>#N/A</v>
      </c>
      <c r="KUB31" t="e">
        <v>#N/A</v>
      </c>
      <c r="KUC31" t="e">
        <v>#N/A</v>
      </c>
      <c r="KUD31" t="e">
        <v>#N/A</v>
      </c>
      <c r="KUE31" t="e">
        <v>#N/A</v>
      </c>
      <c r="KUF31" t="e">
        <v>#N/A</v>
      </c>
      <c r="KUG31" t="e">
        <v>#N/A</v>
      </c>
      <c r="KUH31" t="e">
        <v>#N/A</v>
      </c>
      <c r="KUI31" t="e">
        <v>#N/A</v>
      </c>
      <c r="KUJ31" t="e">
        <v>#N/A</v>
      </c>
      <c r="KUK31" t="e">
        <v>#N/A</v>
      </c>
      <c r="KUL31" t="e">
        <v>#N/A</v>
      </c>
      <c r="KUM31" t="e">
        <v>#N/A</v>
      </c>
      <c r="KUN31" t="e">
        <v>#N/A</v>
      </c>
      <c r="KUO31" t="e">
        <v>#N/A</v>
      </c>
      <c r="KUP31" t="e">
        <v>#N/A</v>
      </c>
      <c r="KUQ31" t="e">
        <v>#N/A</v>
      </c>
      <c r="KUR31" t="e">
        <v>#N/A</v>
      </c>
      <c r="KUS31" t="e">
        <v>#N/A</v>
      </c>
      <c r="KUT31" t="e">
        <v>#N/A</v>
      </c>
      <c r="KUU31" t="e">
        <v>#N/A</v>
      </c>
      <c r="KUV31" t="e">
        <v>#N/A</v>
      </c>
      <c r="KUW31" t="e">
        <v>#N/A</v>
      </c>
      <c r="KUX31" t="e">
        <v>#N/A</v>
      </c>
      <c r="KUY31" t="e">
        <v>#N/A</v>
      </c>
      <c r="KUZ31" t="e">
        <v>#N/A</v>
      </c>
      <c r="KVA31" t="e">
        <v>#N/A</v>
      </c>
      <c r="KVB31" t="e">
        <v>#N/A</v>
      </c>
      <c r="KVC31" t="e">
        <v>#N/A</v>
      </c>
      <c r="KVD31" t="e">
        <v>#N/A</v>
      </c>
      <c r="KVE31" t="e">
        <v>#N/A</v>
      </c>
      <c r="KVF31" t="e">
        <v>#N/A</v>
      </c>
      <c r="KVG31" t="e">
        <v>#N/A</v>
      </c>
      <c r="KVH31" t="e">
        <v>#N/A</v>
      </c>
      <c r="KVI31" t="e">
        <v>#N/A</v>
      </c>
      <c r="KVJ31" t="e">
        <v>#N/A</v>
      </c>
      <c r="KVK31" t="e">
        <v>#N/A</v>
      </c>
      <c r="KVL31" t="e">
        <v>#N/A</v>
      </c>
      <c r="KVM31" t="e">
        <v>#N/A</v>
      </c>
      <c r="KVN31" t="e">
        <v>#N/A</v>
      </c>
      <c r="KVO31" t="e">
        <v>#N/A</v>
      </c>
      <c r="KVP31" t="e">
        <v>#N/A</v>
      </c>
      <c r="KVQ31" t="e">
        <v>#N/A</v>
      </c>
      <c r="KVR31" t="e">
        <v>#N/A</v>
      </c>
      <c r="KVS31" t="e">
        <v>#N/A</v>
      </c>
      <c r="KVT31" t="e">
        <v>#N/A</v>
      </c>
      <c r="KVU31" t="e">
        <v>#N/A</v>
      </c>
      <c r="KVV31" t="e">
        <v>#N/A</v>
      </c>
      <c r="KVW31" t="e">
        <v>#N/A</v>
      </c>
      <c r="KVX31" t="e">
        <v>#N/A</v>
      </c>
      <c r="KVY31" t="e">
        <v>#N/A</v>
      </c>
      <c r="KVZ31" t="e">
        <v>#N/A</v>
      </c>
      <c r="KWA31" t="e">
        <v>#N/A</v>
      </c>
      <c r="KWB31" t="e">
        <v>#N/A</v>
      </c>
      <c r="KWC31" t="e">
        <v>#N/A</v>
      </c>
      <c r="KWD31" t="e">
        <v>#N/A</v>
      </c>
      <c r="KWE31" t="e">
        <v>#N/A</v>
      </c>
      <c r="KWF31" t="e">
        <v>#N/A</v>
      </c>
      <c r="KWG31" t="e">
        <v>#N/A</v>
      </c>
      <c r="KWH31" t="e">
        <v>#N/A</v>
      </c>
      <c r="KWI31" t="e">
        <v>#N/A</v>
      </c>
      <c r="KWJ31" t="e">
        <v>#N/A</v>
      </c>
      <c r="KWK31" t="e">
        <v>#N/A</v>
      </c>
      <c r="KWL31" t="e">
        <v>#N/A</v>
      </c>
      <c r="KWM31" t="e">
        <v>#N/A</v>
      </c>
      <c r="KWN31" t="e">
        <v>#N/A</v>
      </c>
      <c r="KWO31" t="e">
        <v>#N/A</v>
      </c>
      <c r="KWP31" t="e">
        <v>#N/A</v>
      </c>
      <c r="KWQ31" t="e">
        <v>#N/A</v>
      </c>
      <c r="KWR31" t="e">
        <v>#N/A</v>
      </c>
      <c r="KWS31" t="e">
        <v>#N/A</v>
      </c>
      <c r="KWT31" t="e">
        <v>#N/A</v>
      </c>
      <c r="KWU31" t="e">
        <v>#N/A</v>
      </c>
      <c r="KWV31" t="e">
        <v>#N/A</v>
      </c>
      <c r="KWW31" t="e">
        <v>#N/A</v>
      </c>
      <c r="KWX31" t="e">
        <v>#N/A</v>
      </c>
      <c r="KWY31" t="e">
        <v>#N/A</v>
      </c>
      <c r="KWZ31" t="e">
        <v>#N/A</v>
      </c>
      <c r="KXA31" t="e">
        <v>#N/A</v>
      </c>
      <c r="KXB31" t="e">
        <v>#N/A</v>
      </c>
      <c r="KXC31" t="e">
        <v>#N/A</v>
      </c>
      <c r="KXD31" t="e">
        <v>#N/A</v>
      </c>
      <c r="KXE31" t="e">
        <v>#N/A</v>
      </c>
      <c r="KXF31" t="e">
        <v>#N/A</v>
      </c>
      <c r="KXG31" t="e">
        <v>#N/A</v>
      </c>
      <c r="KXH31" t="e">
        <v>#N/A</v>
      </c>
      <c r="KXI31" t="e">
        <v>#N/A</v>
      </c>
      <c r="KXJ31" t="e">
        <v>#N/A</v>
      </c>
      <c r="KXK31" t="e">
        <v>#N/A</v>
      </c>
      <c r="KXL31" t="e">
        <v>#N/A</v>
      </c>
      <c r="KXM31" t="e">
        <v>#N/A</v>
      </c>
      <c r="KXN31" t="e">
        <v>#N/A</v>
      </c>
      <c r="KXO31" t="e">
        <v>#N/A</v>
      </c>
      <c r="KXP31" t="e">
        <v>#N/A</v>
      </c>
      <c r="KXQ31" t="e">
        <v>#N/A</v>
      </c>
      <c r="KXR31" t="e">
        <v>#N/A</v>
      </c>
      <c r="KXS31" t="e">
        <v>#N/A</v>
      </c>
      <c r="KXT31" t="e">
        <v>#N/A</v>
      </c>
      <c r="KXU31" t="e">
        <v>#N/A</v>
      </c>
      <c r="KXV31" t="e">
        <v>#N/A</v>
      </c>
      <c r="KXW31" t="e">
        <v>#N/A</v>
      </c>
      <c r="KXX31" t="e">
        <v>#N/A</v>
      </c>
      <c r="KXY31" t="e">
        <v>#N/A</v>
      </c>
      <c r="KXZ31" t="e">
        <v>#N/A</v>
      </c>
      <c r="KYA31" t="e">
        <v>#N/A</v>
      </c>
      <c r="KYB31" t="e">
        <v>#N/A</v>
      </c>
      <c r="KYC31" t="e">
        <v>#N/A</v>
      </c>
      <c r="KYD31" t="e">
        <v>#N/A</v>
      </c>
      <c r="KYE31" t="e">
        <v>#N/A</v>
      </c>
      <c r="KYF31" t="e">
        <v>#N/A</v>
      </c>
      <c r="KYG31" t="e">
        <v>#N/A</v>
      </c>
      <c r="KYH31" t="e">
        <v>#N/A</v>
      </c>
      <c r="KYI31" t="e">
        <v>#N/A</v>
      </c>
      <c r="KYJ31" t="e">
        <v>#N/A</v>
      </c>
      <c r="KYK31" t="e">
        <v>#N/A</v>
      </c>
      <c r="KYL31" t="e">
        <v>#N/A</v>
      </c>
      <c r="KYM31" t="e">
        <v>#N/A</v>
      </c>
      <c r="KYN31" t="e">
        <v>#N/A</v>
      </c>
      <c r="KYO31" t="e">
        <v>#N/A</v>
      </c>
      <c r="KYP31" t="e">
        <v>#N/A</v>
      </c>
      <c r="KYQ31" t="e">
        <v>#N/A</v>
      </c>
      <c r="KYR31" t="e">
        <v>#N/A</v>
      </c>
      <c r="KYS31" t="e">
        <v>#N/A</v>
      </c>
      <c r="KYT31" t="e">
        <v>#N/A</v>
      </c>
      <c r="KYU31" t="e">
        <v>#N/A</v>
      </c>
      <c r="KYV31" t="e">
        <v>#N/A</v>
      </c>
      <c r="KYW31" t="e">
        <v>#N/A</v>
      </c>
      <c r="KYX31" t="e">
        <v>#N/A</v>
      </c>
      <c r="KYY31" t="e">
        <v>#N/A</v>
      </c>
      <c r="KYZ31" t="e">
        <v>#N/A</v>
      </c>
      <c r="KZA31" t="e">
        <v>#N/A</v>
      </c>
      <c r="KZB31" t="e">
        <v>#N/A</v>
      </c>
      <c r="KZC31" t="e">
        <v>#N/A</v>
      </c>
      <c r="KZD31" t="e">
        <v>#N/A</v>
      </c>
      <c r="KZE31" t="e">
        <v>#N/A</v>
      </c>
      <c r="KZF31" t="e">
        <v>#N/A</v>
      </c>
      <c r="KZG31" t="e">
        <v>#N/A</v>
      </c>
      <c r="KZH31" t="e">
        <v>#N/A</v>
      </c>
      <c r="KZI31" t="e">
        <v>#N/A</v>
      </c>
      <c r="KZJ31" t="e">
        <v>#N/A</v>
      </c>
      <c r="KZK31" t="e">
        <v>#N/A</v>
      </c>
      <c r="KZL31" t="e">
        <v>#N/A</v>
      </c>
      <c r="KZM31" t="e">
        <v>#N/A</v>
      </c>
      <c r="KZN31" t="e">
        <v>#N/A</v>
      </c>
      <c r="KZO31" t="e">
        <v>#N/A</v>
      </c>
      <c r="KZP31" t="e">
        <v>#N/A</v>
      </c>
      <c r="KZQ31" t="e">
        <v>#N/A</v>
      </c>
      <c r="KZR31" t="e">
        <v>#N/A</v>
      </c>
      <c r="KZS31" t="e">
        <v>#N/A</v>
      </c>
      <c r="KZT31" t="e">
        <v>#N/A</v>
      </c>
      <c r="KZU31" t="e">
        <v>#N/A</v>
      </c>
      <c r="KZV31" t="e">
        <v>#N/A</v>
      </c>
      <c r="KZW31" t="e">
        <v>#N/A</v>
      </c>
      <c r="KZX31" t="e">
        <v>#N/A</v>
      </c>
      <c r="KZY31" t="e">
        <v>#N/A</v>
      </c>
      <c r="KZZ31" t="e">
        <v>#N/A</v>
      </c>
      <c r="LAA31" t="e">
        <v>#N/A</v>
      </c>
      <c r="LAB31" t="e">
        <v>#N/A</v>
      </c>
      <c r="LAC31" t="e">
        <v>#N/A</v>
      </c>
      <c r="LAD31" t="e">
        <v>#N/A</v>
      </c>
      <c r="LAE31" t="e">
        <v>#N/A</v>
      </c>
      <c r="LAF31" t="e">
        <v>#N/A</v>
      </c>
      <c r="LAG31" t="e">
        <v>#N/A</v>
      </c>
      <c r="LAH31" t="e">
        <v>#N/A</v>
      </c>
      <c r="LAI31" t="e">
        <v>#N/A</v>
      </c>
      <c r="LAJ31" t="e">
        <v>#N/A</v>
      </c>
      <c r="LAK31" t="e">
        <v>#N/A</v>
      </c>
      <c r="LAL31" t="e">
        <v>#N/A</v>
      </c>
      <c r="LAM31" t="e">
        <v>#N/A</v>
      </c>
      <c r="LAN31" t="e">
        <v>#N/A</v>
      </c>
      <c r="LAO31" t="e">
        <v>#N/A</v>
      </c>
      <c r="LAP31" t="e">
        <v>#N/A</v>
      </c>
      <c r="LAQ31" t="e">
        <v>#N/A</v>
      </c>
      <c r="LAR31" t="e">
        <v>#N/A</v>
      </c>
      <c r="LAS31" t="e">
        <v>#N/A</v>
      </c>
      <c r="LAT31" t="e">
        <v>#N/A</v>
      </c>
      <c r="LAU31" t="e">
        <v>#N/A</v>
      </c>
      <c r="LAV31" t="e">
        <v>#N/A</v>
      </c>
      <c r="LAW31" t="e">
        <v>#N/A</v>
      </c>
      <c r="LAX31" t="e">
        <v>#N/A</v>
      </c>
      <c r="LAY31" t="e">
        <v>#N/A</v>
      </c>
      <c r="LAZ31" t="e">
        <v>#N/A</v>
      </c>
      <c r="LBA31" t="e">
        <v>#N/A</v>
      </c>
      <c r="LBB31" t="e">
        <v>#N/A</v>
      </c>
      <c r="LBC31" t="e">
        <v>#N/A</v>
      </c>
      <c r="LBD31" t="e">
        <v>#N/A</v>
      </c>
      <c r="LBE31" t="e">
        <v>#N/A</v>
      </c>
      <c r="LBF31" t="e">
        <v>#N/A</v>
      </c>
      <c r="LBG31" t="e">
        <v>#N/A</v>
      </c>
      <c r="LBH31" t="e">
        <v>#N/A</v>
      </c>
      <c r="LBI31" t="e">
        <v>#N/A</v>
      </c>
      <c r="LBJ31" t="e">
        <v>#N/A</v>
      </c>
      <c r="LBK31" t="e">
        <v>#N/A</v>
      </c>
      <c r="LBL31" t="e">
        <v>#N/A</v>
      </c>
      <c r="LBM31" t="e">
        <v>#N/A</v>
      </c>
      <c r="LBN31" t="e">
        <v>#N/A</v>
      </c>
      <c r="LBO31" t="e">
        <v>#N/A</v>
      </c>
      <c r="LBP31" t="e">
        <v>#N/A</v>
      </c>
      <c r="LBQ31" t="e">
        <v>#N/A</v>
      </c>
      <c r="LBR31" t="e">
        <v>#N/A</v>
      </c>
      <c r="LBS31" t="e">
        <v>#N/A</v>
      </c>
      <c r="LBT31" t="e">
        <v>#N/A</v>
      </c>
      <c r="LBU31" t="e">
        <v>#N/A</v>
      </c>
      <c r="LBV31" t="e">
        <v>#N/A</v>
      </c>
      <c r="LBW31" t="e">
        <v>#N/A</v>
      </c>
      <c r="LBX31" t="e">
        <v>#N/A</v>
      </c>
      <c r="LBY31" t="e">
        <v>#N/A</v>
      </c>
      <c r="LBZ31" t="e">
        <v>#N/A</v>
      </c>
      <c r="LCA31" t="e">
        <v>#N/A</v>
      </c>
      <c r="LCB31" t="e">
        <v>#N/A</v>
      </c>
      <c r="LCC31" t="e">
        <v>#N/A</v>
      </c>
      <c r="LCD31" t="e">
        <v>#N/A</v>
      </c>
      <c r="LCE31" t="e">
        <v>#N/A</v>
      </c>
      <c r="LCF31" t="e">
        <v>#N/A</v>
      </c>
      <c r="LCG31" t="e">
        <v>#N/A</v>
      </c>
      <c r="LCH31" t="e">
        <v>#N/A</v>
      </c>
      <c r="LCI31" t="e">
        <v>#N/A</v>
      </c>
      <c r="LCJ31" t="e">
        <v>#N/A</v>
      </c>
      <c r="LCK31" t="e">
        <v>#N/A</v>
      </c>
      <c r="LCL31" t="e">
        <v>#N/A</v>
      </c>
      <c r="LCM31" t="e">
        <v>#N/A</v>
      </c>
      <c r="LCN31" t="e">
        <v>#N/A</v>
      </c>
      <c r="LCO31" t="e">
        <v>#N/A</v>
      </c>
      <c r="LCP31" t="e">
        <v>#N/A</v>
      </c>
      <c r="LCQ31" t="e">
        <v>#N/A</v>
      </c>
      <c r="LCR31" t="e">
        <v>#N/A</v>
      </c>
      <c r="LCS31" t="e">
        <v>#N/A</v>
      </c>
      <c r="LCT31" t="e">
        <v>#N/A</v>
      </c>
      <c r="LCU31" t="e">
        <v>#N/A</v>
      </c>
      <c r="LCV31" t="e">
        <v>#N/A</v>
      </c>
      <c r="LCW31" t="e">
        <v>#N/A</v>
      </c>
      <c r="LCX31" t="e">
        <v>#N/A</v>
      </c>
      <c r="LCY31" t="e">
        <v>#N/A</v>
      </c>
      <c r="LCZ31" t="e">
        <v>#N/A</v>
      </c>
      <c r="LDA31" t="e">
        <v>#N/A</v>
      </c>
      <c r="LDB31" t="e">
        <v>#N/A</v>
      </c>
      <c r="LDC31" t="e">
        <v>#N/A</v>
      </c>
      <c r="LDD31" t="e">
        <v>#N/A</v>
      </c>
      <c r="LDE31" t="e">
        <v>#N/A</v>
      </c>
      <c r="LDF31" t="e">
        <v>#N/A</v>
      </c>
      <c r="LDG31" t="e">
        <v>#N/A</v>
      </c>
      <c r="LDH31" t="e">
        <v>#N/A</v>
      </c>
      <c r="LDI31" t="e">
        <v>#N/A</v>
      </c>
      <c r="LDJ31" t="e">
        <v>#N/A</v>
      </c>
      <c r="LDK31" t="e">
        <v>#N/A</v>
      </c>
      <c r="LDL31" t="e">
        <v>#N/A</v>
      </c>
      <c r="LDM31" t="e">
        <v>#N/A</v>
      </c>
      <c r="LDN31" t="e">
        <v>#N/A</v>
      </c>
      <c r="LDO31" t="e">
        <v>#N/A</v>
      </c>
      <c r="LDP31" t="e">
        <v>#N/A</v>
      </c>
      <c r="LDQ31" t="e">
        <v>#N/A</v>
      </c>
      <c r="LDR31" t="e">
        <v>#N/A</v>
      </c>
      <c r="LDS31" t="e">
        <v>#N/A</v>
      </c>
      <c r="LDT31" t="e">
        <v>#N/A</v>
      </c>
      <c r="LDU31" t="e">
        <v>#N/A</v>
      </c>
      <c r="LDV31" t="e">
        <v>#N/A</v>
      </c>
      <c r="LDW31" t="e">
        <v>#N/A</v>
      </c>
      <c r="LDX31" t="e">
        <v>#N/A</v>
      </c>
      <c r="LDY31" t="e">
        <v>#N/A</v>
      </c>
      <c r="LDZ31" t="e">
        <v>#N/A</v>
      </c>
      <c r="LEA31" t="e">
        <v>#N/A</v>
      </c>
      <c r="LEB31" t="e">
        <v>#N/A</v>
      </c>
      <c r="LEC31" t="e">
        <v>#N/A</v>
      </c>
      <c r="LED31" t="e">
        <v>#N/A</v>
      </c>
      <c r="LEE31" t="e">
        <v>#N/A</v>
      </c>
      <c r="LEF31" t="e">
        <v>#N/A</v>
      </c>
      <c r="LEG31" t="e">
        <v>#N/A</v>
      </c>
      <c r="LEH31" t="e">
        <v>#N/A</v>
      </c>
      <c r="LEI31" t="e">
        <v>#N/A</v>
      </c>
      <c r="LEJ31" t="e">
        <v>#N/A</v>
      </c>
      <c r="LEK31" t="e">
        <v>#N/A</v>
      </c>
      <c r="LEL31" t="e">
        <v>#N/A</v>
      </c>
      <c r="LEM31" t="e">
        <v>#N/A</v>
      </c>
      <c r="LEN31" t="e">
        <v>#N/A</v>
      </c>
      <c r="LEO31" t="e">
        <v>#N/A</v>
      </c>
      <c r="LEP31" t="e">
        <v>#N/A</v>
      </c>
      <c r="LEQ31" t="e">
        <v>#N/A</v>
      </c>
      <c r="LER31" t="e">
        <v>#N/A</v>
      </c>
      <c r="LES31" t="e">
        <v>#N/A</v>
      </c>
      <c r="LET31" t="e">
        <v>#N/A</v>
      </c>
      <c r="LEU31" t="e">
        <v>#N/A</v>
      </c>
      <c r="LEV31" t="e">
        <v>#N/A</v>
      </c>
      <c r="LEW31" t="e">
        <v>#N/A</v>
      </c>
      <c r="LEX31" t="e">
        <v>#N/A</v>
      </c>
      <c r="LEY31" t="e">
        <v>#N/A</v>
      </c>
      <c r="LEZ31" t="e">
        <v>#N/A</v>
      </c>
      <c r="LFA31" t="e">
        <v>#N/A</v>
      </c>
      <c r="LFB31" t="e">
        <v>#N/A</v>
      </c>
      <c r="LFC31" t="e">
        <v>#N/A</v>
      </c>
      <c r="LFD31" t="e">
        <v>#N/A</v>
      </c>
      <c r="LFE31" t="e">
        <v>#N/A</v>
      </c>
      <c r="LFF31" t="e">
        <v>#N/A</v>
      </c>
      <c r="LFG31" t="e">
        <v>#N/A</v>
      </c>
      <c r="LFH31" t="e">
        <v>#N/A</v>
      </c>
      <c r="LFI31" t="e">
        <v>#N/A</v>
      </c>
      <c r="LFJ31" t="e">
        <v>#N/A</v>
      </c>
      <c r="LFK31" t="e">
        <v>#N/A</v>
      </c>
      <c r="LFL31" t="e">
        <v>#N/A</v>
      </c>
      <c r="LFM31" t="e">
        <v>#N/A</v>
      </c>
      <c r="LFN31" t="e">
        <v>#N/A</v>
      </c>
      <c r="LFO31" t="e">
        <v>#N/A</v>
      </c>
      <c r="LFP31" t="e">
        <v>#N/A</v>
      </c>
      <c r="LFQ31" t="e">
        <v>#N/A</v>
      </c>
      <c r="LFR31" t="e">
        <v>#N/A</v>
      </c>
      <c r="LFS31" t="e">
        <v>#N/A</v>
      </c>
      <c r="LFT31" t="e">
        <v>#N/A</v>
      </c>
      <c r="LFU31" t="e">
        <v>#N/A</v>
      </c>
      <c r="LFV31" t="e">
        <v>#N/A</v>
      </c>
      <c r="LFW31" t="e">
        <v>#N/A</v>
      </c>
      <c r="LFX31" t="e">
        <v>#N/A</v>
      </c>
      <c r="LFY31" t="e">
        <v>#N/A</v>
      </c>
      <c r="LFZ31" t="e">
        <v>#N/A</v>
      </c>
      <c r="LGA31" t="e">
        <v>#N/A</v>
      </c>
      <c r="LGB31" t="e">
        <v>#N/A</v>
      </c>
      <c r="LGC31" t="e">
        <v>#N/A</v>
      </c>
      <c r="LGD31" t="e">
        <v>#N/A</v>
      </c>
      <c r="LGE31" t="e">
        <v>#N/A</v>
      </c>
      <c r="LGF31" t="e">
        <v>#N/A</v>
      </c>
      <c r="LGG31" t="e">
        <v>#N/A</v>
      </c>
      <c r="LGH31" t="e">
        <v>#N/A</v>
      </c>
      <c r="LGI31" t="e">
        <v>#N/A</v>
      </c>
      <c r="LGJ31" t="e">
        <v>#N/A</v>
      </c>
      <c r="LGK31" t="e">
        <v>#N/A</v>
      </c>
      <c r="LGL31" t="e">
        <v>#N/A</v>
      </c>
      <c r="LGM31" t="e">
        <v>#N/A</v>
      </c>
      <c r="LGN31" t="e">
        <v>#N/A</v>
      </c>
      <c r="LGO31" t="e">
        <v>#N/A</v>
      </c>
      <c r="LGP31" t="e">
        <v>#N/A</v>
      </c>
      <c r="LGQ31" t="e">
        <v>#N/A</v>
      </c>
      <c r="LGR31" t="e">
        <v>#N/A</v>
      </c>
      <c r="LGS31" t="e">
        <v>#N/A</v>
      </c>
      <c r="LGT31" t="e">
        <v>#N/A</v>
      </c>
      <c r="LGU31" t="e">
        <v>#N/A</v>
      </c>
      <c r="LGV31" t="e">
        <v>#N/A</v>
      </c>
      <c r="LGW31" t="e">
        <v>#N/A</v>
      </c>
      <c r="LGX31" t="e">
        <v>#N/A</v>
      </c>
      <c r="LGY31" t="e">
        <v>#N/A</v>
      </c>
      <c r="LGZ31" t="e">
        <v>#N/A</v>
      </c>
      <c r="LHA31" t="e">
        <v>#N/A</v>
      </c>
      <c r="LHB31" t="e">
        <v>#N/A</v>
      </c>
      <c r="LHC31" t="e">
        <v>#N/A</v>
      </c>
      <c r="LHD31" t="e">
        <v>#N/A</v>
      </c>
      <c r="LHE31" t="e">
        <v>#N/A</v>
      </c>
      <c r="LHF31" t="e">
        <v>#N/A</v>
      </c>
      <c r="LHG31" t="e">
        <v>#N/A</v>
      </c>
      <c r="LHH31" t="e">
        <v>#N/A</v>
      </c>
      <c r="LHI31" t="e">
        <v>#N/A</v>
      </c>
      <c r="LHJ31" t="e">
        <v>#N/A</v>
      </c>
      <c r="LHK31" t="e">
        <v>#N/A</v>
      </c>
      <c r="LHL31" t="e">
        <v>#N/A</v>
      </c>
      <c r="LHM31" t="e">
        <v>#N/A</v>
      </c>
      <c r="LHN31" t="e">
        <v>#N/A</v>
      </c>
      <c r="LHO31" t="e">
        <v>#N/A</v>
      </c>
      <c r="LHP31" t="e">
        <v>#N/A</v>
      </c>
      <c r="LHQ31" t="e">
        <v>#N/A</v>
      </c>
      <c r="LHR31" t="e">
        <v>#N/A</v>
      </c>
      <c r="LHS31" t="e">
        <v>#N/A</v>
      </c>
      <c r="LHT31" t="e">
        <v>#N/A</v>
      </c>
      <c r="LHU31" t="e">
        <v>#N/A</v>
      </c>
      <c r="LHV31" t="e">
        <v>#N/A</v>
      </c>
      <c r="LHW31" t="e">
        <v>#N/A</v>
      </c>
      <c r="LHX31" t="e">
        <v>#N/A</v>
      </c>
      <c r="LHY31" t="e">
        <v>#N/A</v>
      </c>
      <c r="LHZ31" t="e">
        <v>#N/A</v>
      </c>
      <c r="LIA31" t="e">
        <v>#N/A</v>
      </c>
      <c r="LIB31" t="e">
        <v>#N/A</v>
      </c>
      <c r="LIC31" t="e">
        <v>#N/A</v>
      </c>
      <c r="LID31" t="e">
        <v>#N/A</v>
      </c>
      <c r="LIE31" t="e">
        <v>#N/A</v>
      </c>
      <c r="LIF31" t="e">
        <v>#N/A</v>
      </c>
      <c r="LIG31" t="e">
        <v>#N/A</v>
      </c>
      <c r="LIH31" t="e">
        <v>#N/A</v>
      </c>
      <c r="LII31" t="e">
        <v>#N/A</v>
      </c>
      <c r="LIJ31" t="e">
        <v>#N/A</v>
      </c>
      <c r="LIK31" t="e">
        <v>#N/A</v>
      </c>
      <c r="LIL31" t="e">
        <v>#N/A</v>
      </c>
      <c r="LIM31" t="e">
        <v>#N/A</v>
      </c>
      <c r="LIN31" t="e">
        <v>#N/A</v>
      </c>
      <c r="LIO31" t="e">
        <v>#N/A</v>
      </c>
      <c r="LIP31" t="e">
        <v>#N/A</v>
      </c>
      <c r="LIQ31" t="e">
        <v>#N/A</v>
      </c>
      <c r="LIR31" t="e">
        <v>#N/A</v>
      </c>
      <c r="LIS31" t="e">
        <v>#N/A</v>
      </c>
      <c r="LIT31" t="e">
        <v>#N/A</v>
      </c>
      <c r="LIU31" t="e">
        <v>#N/A</v>
      </c>
      <c r="LIV31" t="e">
        <v>#N/A</v>
      </c>
      <c r="LIW31" t="e">
        <v>#N/A</v>
      </c>
      <c r="LIX31" t="e">
        <v>#N/A</v>
      </c>
      <c r="LIY31" t="e">
        <v>#N/A</v>
      </c>
      <c r="LIZ31" t="e">
        <v>#N/A</v>
      </c>
      <c r="LJA31" t="e">
        <v>#N/A</v>
      </c>
      <c r="LJB31" t="e">
        <v>#N/A</v>
      </c>
      <c r="LJC31" t="e">
        <v>#N/A</v>
      </c>
      <c r="LJD31" t="e">
        <v>#N/A</v>
      </c>
      <c r="LJE31" t="e">
        <v>#N/A</v>
      </c>
      <c r="LJF31" t="e">
        <v>#N/A</v>
      </c>
      <c r="LJG31" t="e">
        <v>#N/A</v>
      </c>
      <c r="LJH31" t="e">
        <v>#N/A</v>
      </c>
      <c r="LJI31" t="e">
        <v>#N/A</v>
      </c>
      <c r="LJJ31" t="e">
        <v>#N/A</v>
      </c>
      <c r="LJK31" t="e">
        <v>#N/A</v>
      </c>
      <c r="LJL31" t="e">
        <v>#N/A</v>
      </c>
      <c r="LJM31" t="e">
        <v>#N/A</v>
      </c>
      <c r="LJN31" t="e">
        <v>#N/A</v>
      </c>
      <c r="LJO31" t="e">
        <v>#N/A</v>
      </c>
      <c r="LJP31" t="e">
        <v>#N/A</v>
      </c>
      <c r="LJQ31" t="e">
        <v>#N/A</v>
      </c>
      <c r="LJR31" t="e">
        <v>#N/A</v>
      </c>
      <c r="LJS31" t="e">
        <v>#N/A</v>
      </c>
      <c r="LJT31" t="e">
        <v>#N/A</v>
      </c>
      <c r="LJU31" t="e">
        <v>#N/A</v>
      </c>
      <c r="LJV31" t="e">
        <v>#N/A</v>
      </c>
      <c r="LJW31" t="e">
        <v>#N/A</v>
      </c>
      <c r="LJX31" t="e">
        <v>#N/A</v>
      </c>
      <c r="LJY31" t="e">
        <v>#N/A</v>
      </c>
      <c r="LJZ31" t="e">
        <v>#N/A</v>
      </c>
      <c r="LKA31" t="e">
        <v>#N/A</v>
      </c>
      <c r="LKB31" t="e">
        <v>#N/A</v>
      </c>
      <c r="LKC31" t="e">
        <v>#N/A</v>
      </c>
      <c r="LKD31" t="e">
        <v>#N/A</v>
      </c>
      <c r="LKE31" t="e">
        <v>#N/A</v>
      </c>
      <c r="LKF31" t="e">
        <v>#N/A</v>
      </c>
      <c r="LKG31" t="e">
        <v>#N/A</v>
      </c>
      <c r="LKH31" t="e">
        <v>#N/A</v>
      </c>
      <c r="LKI31" t="e">
        <v>#N/A</v>
      </c>
      <c r="LKJ31" t="e">
        <v>#N/A</v>
      </c>
      <c r="LKK31" t="e">
        <v>#N/A</v>
      </c>
      <c r="LKL31" t="e">
        <v>#N/A</v>
      </c>
      <c r="LKM31" t="e">
        <v>#N/A</v>
      </c>
      <c r="LKN31" t="e">
        <v>#N/A</v>
      </c>
      <c r="LKO31" t="e">
        <v>#N/A</v>
      </c>
      <c r="LKP31" t="e">
        <v>#N/A</v>
      </c>
      <c r="LKQ31" t="e">
        <v>#N/A</v>
      </c>
      <c r="LKR31" t="e">
        <v>#N/A</v>
      </c>
      <c r="LKS31" t="e">
        <v>#N/A</v>
      </c>
      <c r="LKT31" t="e">
        <v>#N/A</v>
      </c>
      <c r="LKU31" t="e">
        <v>#N/A</v>
      </c>
      <c r="LKV31" t="e">
        <v>#N/A</v>
      </c>
      <c r="LKW31" t="e">
        <v>#N/A</v>
      </c>
      <c r="LKX31" t="e">
        <v>#N/A</v>
      </c>
      <c r="LKY31" t="e">
        <v>#N/A</v>
      </c>
      <c r="LKZ31" t="e">
        <v>#N/A</v>
      </c>
      <c r="LLA31" t="e">
        <v>#N/A</v>
      </c>
      <c r="LLB31" t="e">
        <v>#N/A</v>
      </c>
      <c r="LLC31" t="e">
        <v>#N/A</v>
      </c>
      <c r="LLD31" t="e">
        <v>#N/A</v>
      </c>
      <c r="LLE31" t="e">
        <v>#N/A</v>
      </c>
      <c r="LLF31" t="e">
        <v>#N/A</v>
      </c>
      <c r="LLG31" t="e">
        <v>#N/A</v>
      </c>
      <c r="LLH31" t="e">
        <v>#N/A</v>
      </c>
      <c r="LLI31" t="e">
        <v>#N/A</v>
      </c>
      <c r="LLJ31" t="e">
        <v>#N/A</v>
      </c>
      <c r="LLK31" t="e">
        <v>#N/A</v>
      </c>
      <c r="LLL31" t="e">
        <v>#N/A</v>
      </c>
      <c r="LLM31" t="e">
        <v>#N/A</v>
      </c>
      <c r="LLN31" t="e">
        <v>#N/A</v>
      </c>
      <c r="LLO31" t="e">
        <v>#N/A</v>
      </c>
      <c r="LLP31" t="e">
        <v>#N/A</v>
      </c>
      <c r="LLQ31" t="e">
        <v>#N/A</v>
      </c>
      <c r="LLR31" t="e">
        <v>#N/A</v>
      </c>
      <c r="LLS31" t="e">
        <v>#N/A</v>
      </c>
      <c r="LLT31" t="e">
        <v>#N/A</v>
      </c>
      <c r="LLU31" t="e">
        <v>#N/A</v>
      </c>
      <c r="LLV31" t="e">
        <v>#N/A</v>
      </c>
      <c r="LLW31" t="e">
        <v>#N/A</v>
      </c>
      <c r="LLX31" t="e">
        <v>#N/A</v>
      </c>
      <c r="LLY31" t="e">
        <v>#N/A</v>
      </c>
      <c r="LLZ31" t="e">
        <v>#N/A</v>
      </c>
      <c r="LMA31" t="e">
        <v>#N/A</v>
      </c>
      <c r="LMB31" t="e">
        <v>#N/A</v>
      </c>
      <c r="LMC31" t="e">
        <v>#N/A</v>
      </c>
      <c r="LMD31" t="e">
        <v>#N/A</v>
      </c>
      <c r="LME31" t="e">
        <v>#N/A</v>
      </c>
      <c r="LMF31" t="e">
        <v>#N/A</v>
      </c>
      <c r="LMG31" t="e">
        <v>#N/A</v>
      </c>
      <c r="LMH31" t="e">
        <v>#N/A</v>
      </c>
      <c r="LMI31" t="e">
        <v>#N/A</v>
      </c>
      <c r="LMJ31" t="e">
        <v>#N/A</v>
      </c>
      <c r="LMK31" t="e">
        <v>#N/A</v>
      </c>
      <c r="LML31" t="e">
        <v>#N/A</v>
      </c>
      <c r="LMM31" t="e">
        <v>#N/A</v>
      </c>
      <c r="LMN31" t="e">
        <v>#N/A</v>
      </c>
      <c r="LMO31" t="e">
        <v>#N/A</v>
      </c>
      <c r="LMP31" t="e">
        <v>#N/A</v>
      </c>
      <c r="LMQ31" t="e">
        <v>#N/A</v>
      </c>
      <c r="LMR31" t="e">
        <v>#N/A</v>
      </c>
      <c r="LMS31" t="e">
        <v>#N/A</v>
      </c>
      <c r="LMT31" t="e">
        <v>#N/A</v>
      </c>
      <c r="LMU31" t="e">
        <v>#N/A</v>
      </c>
      <c r="LMV31" t="e">
        <v>#N/A</v>
      </c>
      <c r="LMW31" t="e">
        <v>#N/A</v>
      </c>
      <c r="LMX31" t="e">
        <v>#N/A</v>
      </c>
      <c r="LMY31" t="e">
        <v>#N/A</v>
      </c>
      <c r="LMZ31" t="e">
        <v>#N/A</v>
      </c>
      <c r="LNA31" t="e">
        <v>#N/A</v>
      </c>
      <c r="LNB31" t="e">
        <v>#N/A</v>
      </c>
      <c r="LNC31" t="e">
        <v>#N/A</v>
      </c>
      <c r="LND31" t="e">
        <v>#N/A</v>
      </c>
      <c r="LNE31" t="e">
        <v>#N/A</v>
      </c>
      <c r="LNF31" t="e">
        <v>#N/A</v>
      </c>
      <c r="LNG31" t="e">
        <v>#N/A</v>
      </c>
      <c r="LNH31" t="e">
        <v>#N/A</v>
      </c>
      <c r="LNI31" t="e">
        <v>#N/A</v>
      </c>
      <c r="LNJ31" t="e">
        <v>#N/A</v>
      </c>
      <c r="LNK31" t="e">
        <v>#N/A</v>
      </c>
      <c r="LNL31" t="e">
        <v>#N/A</v>
      </c>
      <c r="LNM31" t="e">
        <v>#N/A</v>
      </c>
      <c r="LNN31" t="e">
        <v>#N/A</v>
      </c>
      <c r="LNO31" t="e">
        <v>#N/A</v>
      </c>
      <c r="LNP31" t="e">
        <v>#N/A</v>
      </c>
      <c r="LNQ31" t="e">
        <v>#N/A</v>
      </c>
      <c r="LNR31" t="e">
        <v>#N/A</v>
      </c>
      <c r="LNS31" t="e">
        <v>#N/A</v>
      </c>
      <c r="LNT31" t="e">
        <v>#N/A</v>
      </c>
      <c r="LNU31" t="e">
        <v>#N/A</v>
      </c>
      <c r="LNV31" t="e">
        <v>#N/A</v>
      </c>
      <c r="LNW31" t="e">
        <v>#N/A</v>
      </c>
      <c r="LNX31" t="e">
        <v>#N/A</v>
      </c>
      <c r="LNY31" t="e">
        <v>#N/A</v>
      </c>
      <c r="LNZ31" t="e">
        <v>#N/A</v>
      </c>
      <c r="LOA31" t="e">
        <v>#N/A</v>
      </c>
      <c r="LOB31" t="e">
        <v>#N/A</v>
      </c>
      <c r="LOC31" t="e">
        <v>#N/A</v>
      </c>
      <c r="LOD31" t="e">
        <v>#N/A</v>
      </c>
      <c r="LOE31" t="e">
        <v>#N/A</v>
      </c>
      <c r="LOF31" t="e">
        <v>#N/A</v>
      </c>
      <c r="LOG31" t="e">
        <v>#N/A</v>
      </c>
      <c r="LOH31" t="e">
        <v>#N/A</v>
      </c>
      <c r="LOI31" t="e">
        <v>#N/A</v>
      </c>
      <c r="LOJ31" t="e">
        <v>#N/A</v>
      </c>
      <c r="LOK31" t="e">
        <v>#N/A</v>
      </c>
      <c r="LOL31" t="e">
        <v>#N/A</v>
      </c>
      <c r="LOM31" t="e">
        <v>#N/A</v>
      </c>
      <c r="LON31" t="e">
        <v>#N/A</v>
      </c>
      <c r="LOO31" t="e">
        <v>#N/A</v>
      </c>
      <c r="LOP31" t="e">
        <v>#N/A</v>
      </c>
      <c r="LOQ31" t="e">
        <v>#N/A</v>
      </c>
      <c r="LOR31" t="e">
        <v>#N/A</v>
      </c>
      <c r="LOS31" t="e">
        <v>#N/A</v>
      </c>
      <c r="LOT31" t="e">
        <v>#N/A</v>
      </c>
      <c r="LOU31" t="e">
        <v>#N/A</v>
      </c>
      <c r="LOV31" t="e">
        <v>#N/A</v>
      </c>
      <c r="LOW31" t="e">
        <v>#N/A</v>
      </c>
      <c r="LOX31" t="e">
        <v>#N/A</v>
      </c>
      <c r="LOY31" t="e">
        <v>#N/A</v>
      </c>
      <c r="LOZ31" t="e">
        <v>#N/A</v>
      </c>
      <c r="LPA31" t="e">
        <v>#N/A</v>
      </c>
      <c r="LPB31" t="e">
        <v>#N/A</v>
      </c>
      <c r="LPC31" t="e">
        <v>#N/A</v>
      </c>
      <c r="LPD31" t="e">
        <v>#N/A</v>
      </c>
      <c r="LPE31" t="e">
        <v>#N/A</v>
      </c>
      <c r="LPF31" t="e">
        <v>#N/A</v>
      </c>
      <c r="LPG31" t="e">
        <v>#N/A</v>
      </c>
      <c r="LPH31" t="e">
        <v>#N/A</v>
      </c>
      <c r="LPI31" t="e">
        <v>#N/A</v>
      </c>
      <c r="LPJ31" t="e">
        <v>#N/A</v>
      </c>
      <c r="LPK31" t="e">
        <v>#N/A</v>
      </c>
      <c r="LPL31" t="e">
        <v>#N/A</v>
      </c>
      <c r="LPM31" t="e">
        <v>#N/A</v>
      </c>
      <c r="LPN31" t="e">
        <v>#N/A</v>
      </c>
      <c r="LPO31" t="e">
        <v>#N/A</v>
      </c>
      <c r="LPP31" t="e">
        <v>#N/A</v>
      </c>
      <c r="LPQ31" t="e">
        <v>#N/A</v>
      </c>
      <c r="LPR31" t="e">
        <v>#N/A</v>
      </c>
      <c r="LPS31" t="e">
        <v>#N/A</v>
      </c>
      <c r="LPT31" t="e">
        <v>#N/A</v>
      </c>
      <c r="LPU31" t="e">
        <v>#N/A</v>
      </c>
      <c r="LPV31" t="e">
        <v>#N/A</v>
      </c>
      <c r="LPW31" t="e">
        <v>#N/A</v>
      </c>
      <c r="LPX31" t="e">
        <v>#N/A</v>
      </c>
      <c r="LPY31" t="e">
        <v>#N/A</v>
      </c>
      <c r="LPZ31" t="e">
        <v>#N/A</v>
      </c>
      <c r="LQA31" t="e">
        <v>#N/A</v>
      </c>
      <c r="LQB31" t="e">
        <v>#N/A</v>
      </c>
      <c r="LQC31" t="e">
        <v>#N/A</v>
      </c>
      <c r="LQD31" t="e">
        <v>#N/A</v>
      </c>
      <c r="LQE31" t="e">
        <v>#N/A</v>
      </c>
      <c r="LQF31" t="e">
        <v>#N/A</v>
      </c>
      <c r="LQG31" t="e">
        <v>#N/A</v>
      </c>
      <c r="LQH31" t="e">
        <v>#N/A</v>
      </c>
      <c r="LQI31" t="e">
        <v>#N/A</v>
      </c>
      <c r="LQJ31" t="e">
        <v>#N/A</v>
      </c>
      <c r="LQK31" t="e">
        <v>#N/A</v>
      </c>
      <c r="LQL31" t="e">
        <v>#N/A</v>
      </c>
      <c r="LQM31" t="e">
        <v>#N/A</v>
      </c>
      <c r="LQN31" t="e">
        <v>#N/A</v>
      </c>
      <c r="LQO31" t="e">
        <v>#N/A</v>
      </c>
      <c r="LQP31" t="e">
        <v>#N/A</v>
      </c>
      <c r="LQQ31" t="e">
        <v>#N/A</v>
      </c>
      <c r="LQR31" t="e">
        <v>#N/A</v>
      </c>
      <c r="LQS31" t="e">
        <v>#N/A</v>
      </c>
      <c r="LQT31" t="e">
        <v>#N/A</v>
      </c>
      <c r="LQU31" t="e">
        <v>#N/A</v>
      </c>
      <c r="LQV31" t="e">
        <v>#N/A</v>
      </c>
      <c r="LQW31" t="e">
        <v>#N/A</v>
      </c>
      <c r="LQX31" t="e">
        <v>#N/A</v>
      </c>
      <c r="LQY31" t="e">
        <v>#N/A</v>
      </c>
      <c r="LQZ31" t="e">
        <v>#N/A</v>
      </c>
      <c r="LRA31" t="e">
        <v>#N/A</v>
      </c>
      <c r="LRB31" t="e">
        <v>#N/A</v>
      </c>
      <c r="LRC31" t="e">
        <v>#N/A</v>
      </c>
      <c r="LRD31" t="e">
        <v>#N/A</v>
      </c>
      <c r="LRE31" t="e">
        <v>#N/A</v>
      </c>
      <c r="LRF31" t="e">
        <v>#N/A</v>
      </c>
      <c r="LRG31" t="e">
        <v>#N/A</v>
      </c>
      <c r="LRH31" t="e">
        <v>#N/A</v>
      </c>
      <c r="LRI31" t="e">
        <v>#N/A</v>
      </c>
      <c r="LRJ31" t="e">
        <v>#N/A</v>
      </c>
      <c r="LRK31" t="e">
        <v>#N/A</v>
      </c>
      <c r="LRL31" t="e">
        <v>#N/A</v>
      </c>
      <c r="LRM31" t="e">
        <v>#N/A</v>
      </c>
      <c r="LRN31" t="e">
        <v>#N/A</v>
      </c>
      <c r="LRO31" t="e">
        <v>#N/A</v>
      </c>
      <c r="LRP31" t="e">
        <v>#N/A</v>
      </c>
      <c r="LRQ31" t="e">
        <v>#N/A</v>
      </c>
      <c r="LRR31" t="e">
        <v>#N/A</v>
      </c>
      <c r="LRS31" t="e">
        <v>#N/A</v>
      </c>
      <c r="LRT31" t="e">
        <v>#N/A</v>
      </c>
      <c r="LRU31" t="e">
        <v>#N/A</v>
      </c>
      <c r="LRV31" t="e">
        <v>#N/A</v>
      </c>
      <c r="LRW31" t="e">
        <v>#N/A</v>
      </c>
      <c r="LRX31" t="e">
        <v>#N/A</v>
      </c>
      <c r="LRY31" t="e">
        <v>#N/A</v>
      </c>
      <c r="LRZ31" t="e">
        <v>#N/A</v>
      </c>
      <c r="LSA31" t="e">
        <v>#N/A</v>
      </c>
      <c r="LSB31" t="e">
        <v>#N/A</v>
      </c>
      <c r="LSC31" t="e">
        <v>#N/A</v>
      </c>
      <c r="LSD31" t="e">
        <v>#N/A</v>
      </c>
      <c r="LSE31" t="e">
        <v>#N/A</v>
      </c>
      <c r="LSF31" t="e">
        <v>#N/A</v>
      </c>
      <c r="LSG31" t="e">
        <v>#N/A</v>
      </c>
      <c r="LSH31" t="e">
        <v>#N/A</v>
      </c>
      <c r="LSI31" t="e">
        <v>#N/A</v>
      </c>
      <c r="LSJ31" t="e">
        <v>#N/A</v>
      </c>
      <c r="LSK31" t="e">
        <v>#N/A</v>
      </c>
      <c r="LSL31" t="e">
        <v>#N/A</v>
      </c>
      <c r="LSM31" t="e">
        <v>#N/A</v>
      </c>
      <c r="LSN31" t="e">
        <v>#N/A</v>
      </c>
      <c r="LSO31" t="e">
        <v>#N/A</v>
      </c>
      <c r="LSP31" t="e">
        <v>#N/A</v>
      </c>
      <c r="LSQ31" t="e">
        <v>#N/A</v>
      </c>
      <c r="LSR31" t="e">
        <v>#N/A</v>
      </c>
      <c r="LSS31" t="e">
        <v>#N/A</v>
      </c>
      <c r="LST31" t="e">
        <v>#N/A</v>
      </c>
      <c r="LSU31" t="e">
        <v>#N/A</v>
      </c>
      <c r="LSV31" t="e">
        <v>#N/A</v>
      </c>
      <c r="LSW31" t="e">
        <v>#N/A</v>
      </c>
      <c r="LSX31" t="e">
        <v>#N/A</v>
      </c>
      <c r="LSY31" t="e">
        <v>#N/A</v>
      </c>
      <c r="LSZ31" t="e">
        <v>#N/A</v>
      </c>
      <c r="LTA31" t="e">
        <v>#N/A</v>
      </c>
      <c r="LTB31" t="e">
        <v>#N/A</v>
      </c>
      <c r="LTC31" t="e">
        <v>#N/A</v>
      </c>
      <c r="LTD31" t="e">
        <v>#N/A</v>
      </c>
      <c r="LTE31" t="e">
        <v>#N/A</v>
      </c>
      <c r="LTF31" t="e">
        <v>#N/A</v>
      </c>
      <c r="LTG31" t="e">
        <v>#N/A</v>
      </c>
      <c r="LTH31" t="e">
        <v>#N/A</v>
      </c>
      <c r="LTI31" t="e">
        <v>#N/A</v>
      </c>
      <c r="LTJ31" t="e">
        <v>#N/A</v>
      </c>
      <c r="LTK31" t="e">
        <v>#N/A</v>
      </c>
      <c r="LTL31" t="e">
        <v>#N/A</v>
      </c>
      <c r="LTM31" t="e">
        <v>#N/A</v>
      </c>
      <c r="LTN31" t="e">
        <v>#N/A</v>
      </c>
      <c r="LTO31" t="e">
        <v>#N/A</v>
      </c>
      <c r="LTP31" t="e">
        <v>#N/A</v>
      </c>
      <c r="LTQ31" t="e">
        <v>#N/A</v>
      </c>
      <c r="LTR31" t="e">
        <v>#N/A</v>
      </c>
      <c r="LTS31" t="e">
        <v>#N/A</v>
      </c>
      <c r="LTT31" t="e">
        <v>#N/A</v>
      </c>
      <c r="LTU31" t="e">
        <v>#N/A</v>
      </c>
      <c r="LTV31" t="e">
        <v>#N/A</v>
      </c>
      <c r="LTW31" t="e">
        <v>#N/A</v>
      </c>
      <c r="LTX31" t="e">
        <v>#N/A</v>
      </c>
      <c r="LTY31" t="e">
        <v>#N/A</v>
      </c>
      <c r="LTZ31" t="e">
        <v>#N/A</v>
      </c>
      <c r="LUA31" t="e">
        <v>#N/A</v>
      </c>
      <c r="LUB31" t="e">
        <v>#N/A</v>
      </c>
      <c r="LUC31" t="e">
        <v>#N/A</v>
      </c>
      <c r="LUD31" t="e">
        <v>#N/A</v>
      </c>
      <c r="LUE31" t="e">
        <v>#N/A</v>
      </c>
      <c r="LUF31" t="e">
        <v>#N/A</v>
      </c>
      <c r="LUG31" t="e">
        <v>#N/A</v>
      </c>
      <c r="LUH31" t="e">
        <v>#N/A</v>
      </c>
      <c r="LUI31" t="e">
        <v>#N/A</v>
      </c>
      <c r="LUJ31" t="e">
        <v>#N/A</v>
      </c>
      <c r="LUK31" t="e">
        <v>#N/A</v>
      </c>
      <c r="LUL31" t="e">
        <v>#N/A</v>
      </c>
      <c r="LUM31" t="e">
        <v>#N/A</v>
      </c>
      <c r="LUN31" t="e">
        <v>#N/A</v>
      </c>
      <c r="LUO31" t="e">
        <v>#N/A</v>
      </c>
      <c r="LUP31" t="e">
        <v>#N/A</v>
      </c>
      <c r="LUQ31" t="e">
        <v>#N/A</v>
      </c>
      <c r="LUR31" t="e">
        <v>#N/A</v>
      </c>
      <c r="LUS31" t="e">
        <v>#N/A</v>
      </c>
      <c r="LUT31" t="e">
        <v>#N/A</v>
      </c>
      <c r="LUU31" t="e">
        <v>#N/A</v>
      </c>
      <c r="LUV31" t="e">
        <v>#N/A</v>
      </c>
      <c r="LUW31" t="e">
        <v>#N/A</v>
      </c>
      <c r="LUX31" t="e">
        <v>#N/A</v>
      </c>
      <c r="LUY31" t="e">
        <v>#N/A</v>
      </c>
      <c r="LUZ31" t="e">
        <v>#N/A</v>
      </c>
      <c r="LVA31" t="e">
        <v>#N/A</v>
      </c>
      <c r="LVB31" t="e">
        <v>#N/A</v>
      </c>
      <c r="LVC31" t="e">
        <v>#N/A</v>
      </c>
      <c r="LVD31" t="e">
        <v>#N/A</v>
      </c>
      <c r="LVE31" t="e">
        <v>#N/A</v>
      </c>
      <c r="LVF31" t="e">
        <v>#N/A</v>
      </c>
      <c r="LVG31" t="e">
        <v>#N/A</v>
      </c>
      <c r="LVH31" t="e">
        <v>#N/A</v>
      </c>
      <c r="LVI31" t="e">
        <v>#N/A</v>
      </c>
      <c r="LVJ31" t="e">
        <v>#N/A</v>
      </c>
      <c r="LVK31" t="e">
        <v>#N/A</v>
      </c>
      <c r="LVL31" t="e">
        <v>#N/A</v>
      </c>
      <c r="LVM31" t="e">
        <v>#N/A</v>
      </c>
      <c r="LVN31" t="e">
        <v>#N/A</v>
      </c>
      <c r="LVO31" t="e">
        <v>#N/A</v>
      </c>
      <c r="LVP31" t="e">
        <v>#N/A</v>
      </c>
      <c r="LVQ31" t="e">
        <v>#N/A</v>
      </c>
      <c r="LVR31" t="e">
        <v>#N/A</v>
      </c>
      <c r="LVS31" t="e">
        <v>#N/A</v>
      </c>
      <c r="LVT31" t="e">
        <v>#N/A</v>
      </c>
      <c r="LVU31" t="e">
        <v>#N/A</v>
      </c>
      <c r="LVV31" t="e">
        <v>#N/A</v>
      </c>
      <c r="LVW31" t="e">
        <v>#N/A</v>
      </c>
      <c r="LVX31" t="e">
        <v>#N/A</v>
      </c>
      <c r="LVY31" t="e">
        <v>#N/A</v>
      </c>
      <c r="LVZ31" t="e">
        <v>#N/A</v>
      </c>
      <c r="LWA31" t="e">
        <v>#N/A</v>
      </c>
      <c r="LWB31" t="e">
        <v>#N/A</v>
      </c>
      <c r="LWC31" t="e">
        <v>#N/A</v>
      </c>
      <c r="LWD31" t="e">
        <v>#N/A</v>
      </c>
      <c r="LWE31" t="e">
        <v>#N/A</v>
      </c>
      <c r="LWF31" t="e">
        <v>#N/A</v>
      </c>
      <c r="LWG31" t="e">
        <v>#N/A</v>
      </c>
      <c r="LWH31" t="e">
        <v>#N/A</v>
      </c>
      <c r="LWI31" t="e">
        <v>#N/A</v>
      </c>
      <c r="LWJ31" t="e">
        <v>#N/A</v>
      </c>
      <c r="LWK31" t="e">
        <v>#N/A</v>
      </c>
      <c r="LWL31" t="e">
        <v>#N/A</v>
      </c>
      <c r="LWM31" t="e">
        <v>#N/A</v>
      </c>
      <c r="LWN31" t="e">
        <v>#N/A</v>
      </c>
      <c r="LWO31" t="e">
        <v>#N/A</v>
      </c>
      <c r="LWP31" t="e">
        <v>#N/A</v>
      </c>
      <c r="LWQ31" t="e">
        <v>#N/A</v>
      </c>
      <c r="LWR31" t="e">
        <v>#N/A</v>
      </c>
      <c r="LWS31" t="e">
        <v>#N/A</v>
      </c>
      <c r="LWT31" t="e">
        <v>#N/A</v>
      </c>
      <c r="LWU31" t="e">
        <v>#N/A</v>
      </c>
      <c r="LWV31" t="e">
        <v>#N/A</v>
      </c>
      <c r="LWW31" t="e">
        <v>#N/A</v>
      </c>
      <c r="LWX31" t="e">
        <v>#N/A</v>
      </c>
      <c r="LWY31" t="e">
        <v>#N/A</v>
      </c>
      <c r="LWZ31" t="e">
        <v>#N/A</v>
      </c>
      <c r="LXA31" t="e">
        <v>#N/A</v>
      </c>
      <c r="LXB31" t="e">
        <v>#N/A</v>
      </c>
      <c r="LXC31" t="e">
        <v>#N/A</v>
      </c>
      <c r="LXD31" t="e">
        <v>#N/A</v>
      </c>
      <c r="LXE31" t="e">
        <v>#N/A</v>
      </c>
      <c r="LXF31" t="e">
        <v>#N/A</v>
      </c>
      <c r="LXG31" t="e">
        <v>#N/A</v>
      </c>
      <c r="LXH31" t="e">
        <v>#N/A</v>
      </c>
      <c r="LXI31" t="e">
        <v>#N/A</v>
      </c>
      <c r="LXJ31" t="e">
        <v>#N/A</v>
      </c>
      <c r="LXK31" t="e">
        <v>#N/A</v>
      </c>
      <c r="LXL31" t="e">
        <v>#N/A</v>
      </c>
      <c r="LXM31" t="e">
        <v>#N/A</v>
      </c>
      <c r="LXN31" t="e">
        <v>#N/A</v>
      </c>
      <c r="LXO31" t="e">
        <v>#N/A</v>
      </c>
      <c r="LXP31" t="e">
        <v>#N/A</v>
      </c>
      <c r="LXQ31" t="e">
        <v>#N/A</v>
      </c>
      <c r="LXR31" t="e">
        <v>#N/A</v>
      </c>
      <c r="LXS31" t="e">
        <v>#N/A</v>
      </c>
      <c r="LXT31" t="e">
        <v>#N/A</v>
      </c>
      <c r="LXU31" t="e">
        <v>#N/A</v>
      </c>
      <c r="LXV31" t="e">
        <v>#N/A</v>
      </c>
      <c r="LXW31" t="e">
        <v>#N/A</v>
      </c>
      <c r="LXX31" t="e">
        <v>#N/A</v>
      </c>
      <c r="LXY31" t="e">
        <v>#N/A</v>
      </c>
      <c r="LXZ31" t="e">
        <v>#N/A</v>
      </c>
      <c r="LYA31" t="e">
        <v>#N/A</v>
      </c>
      <c r="LYB31" t="e">
        <v>#N/A</v>
      </c>
      <c r="LYC31" t="e">
        <v>#N/A</v>
      </c>
      <c r="LYD31" t="e">
        <v>#N/A</v>
      </c>
      <c r="LYE31" t="e">
        <v>#N/A</v>
      </c>
      <c r="LYF31" t="e">
        <v>#N/A</v>
      </c>
      <c r="LYG31" t="e">
        <v>#N/A</v>
      </c>
      <c r="LYH31" t="e">
        <v>#N/A</v>
      </c>
      <c r="LYI31" t="e">
        <v>#N/A</v>
      </c>
      <c r="LYJ31" t="e">
        <v>#N/A</v>
      </c>
      <c r="LYK31" t="e">
        <v>#N/A</v>
      </c>
      <c r="LYL31" t="e">
        <v>#N/A</v>
      </c>
      <c r="LYM31" t="e">
        <v>#N/A</v>
      </c>
      <c r="LYN31" t="e">
        <v>#N/A</v>
      </c>
      <c r="LYO31" t="e">
        <v>#N/A</v>
      </c>
      <c r="LYP31" t="e">
        <v>#N/A</v>
      </c>
      <c r="LYQ31" t="e">
        <v>#N/A</v>
      </c>
      <c r="LYR31" t="e">
        <v>#N/A</v>
      </c>
      <c r="LYS31" t="e">
        <v>#N/A</v>
      </c>
      <c r="LYT31" t="e">
        <v>#N/A</v>
      </c>
      <c r="LYU31" t="e">
        <v>#N/A</v>
      </c>
      <c r="LYV31" t="e">
        <v>#N/A</v>
      </c>
      <c r="LYW31" t="e">
        <v>#N/A</v>
      </c>
      <c r="LYX31" t="e">
        <v>#N/A</v>
      </c>
      <c r="LYY31" t="e">
        <v>#N/A</v>
      </c>
      <c r="LYZ31" t="e">
        <v>#N/A</v>
      </c>
      <c r="LZA31" t="e">
        <v>#N/A</v>
      </c>
      <c r="LZB31" t="e">
        <v>#N/A</v>
      </c>
      <c r="LZC31" t="e">
        <v>#N/A</v>
      </c>
      <c r="LZD31" t="e">
        <v>#N/A</v>
      </c>
      <c r="LZE31" t="e">
        <v>#N/A</v>
      </c>
      <c r="LZF31" t="e">
        <v>#N/A</v>
      </c>
      <c r="LZG31" t="e">
        <v>#N/A</v>
      </c>
      <c r="LZH31" t="e">
        <v>#N/A</v>
      </c>
      <c r="LZI31" t="e">
        <v>#N/A</v>
      </c>
      <c r="LZJ31" t="e">
        <v>#N/A</v>
      </c>
      <c r="LZK31" t="e">
        <v>#N/A</v>
      </c>
      <c r="LZL31" t="e">
        <v>#N/A</v>
      </c>
      <c r="LZM31" t="e">
        <v>#N/A</v>
      </c>
      <c r="LZN31" t="e">
        <v>#N/A</v>
      </c>
      <c r="LZO31" t="e">
        <v>#N/A</v>
      </c>
      <c r="LZP31" t="e">
        <v>#N/A</v>
      </c>
      <c r="LZQ31" t="e">
        <v>#N/A</v>
      </c>
      <c r="LZR31" t="e">
        <v>#N/A</v>
      </c>
      <c r="LZS31" t="e">
        <v>#N/A</v>
      </c>
      <c r="LZT31" t="e">
        <v>#N/A</v>
      </c>
      <c r="LZU31" t="e">
        <v>#N/A</v>
      </c>
      <c r="LZV31" t="e">
        <v>#N/A</v>
      </c>
      <c r="LZW31" t="e">
        <v>#N/A</v>
      </c>
      <c r="LZX31" t="e">
        <v>#N/A</v>
      </c>
      <c r="LZY31" t="e">
        <v>#N/A</v>
      </c>
      <c r="LZZ31" t="e">
        <v>#N/A</v>
      </c>
      <c r="MAA31" t="e">
        <v>#N/A</v>
      </c>
      <c r="MAB31" t="e">
        <v>#N/A</v>
      </c>
      <c r="MAC31" t="e">
        <v>#N/A</v>
      </c>
      <c r="MAD31" t="e">
        <v>#N/A</v>
      </c>
      <c r="MAE31" t="e">
        <v>#N/A</v>
      </c>
      <c r="MAF31" t="e">
        <v>#N/A</v>
      </c>
      <c r="MAG31" t="e">
        <v>#N/A</v>
      </c>
      <c r="MAH31" t="e">
        <v>#N/A</v>
      </c>
      <c r="MAI31" t="e">
        <v>#N/A</v>
      </c>
      <c r="MAJ31" t="e">
        <v>#N/A</v>
      </c>
      <c r="MAK31" t="e">
        <v>#N/A</v>
      </c>
      <c r="MAL31" t="e">
        <v>#N/A</v>
      </c>
      <c r="MAM31" t="e">
        <v>#N/A</v>
      </c>
      <c r="MAN31" t="e">
        <v>#N/A</v>
      </c>
      <c r="MAO31" t="e">
        <v>#N/A</v>
      </c>
      <c r="MAP31" t="e">
        <v>#N/A</v>
      </c>
      <c r="MAQ31" t="e">
        <v>#N/A</v>
      </c>
      <c r="MAR31" t="e">
        <v>#N/A</v>
      </c>
      <c r="MAS31" t="e">
        <v>#N/A</v>
      </c>
      <c r="MAT31" t="e">
        <v>#N/A</v>
      </c>
      <c r="MAU31" t="e">
        <v>#N/A</v>
      </c>
      <c r="MAV31" t="e">
        <v>#N/A</v>
      </c>
      <c r="MAW31" t="e">
        <v>#N/A</v>
      </c>
      <c r="MAX31" t="e">
        <v>#N/A</v>
      </c>
      <c r="MAY31" t="e">
        <v>#N/A</v>
      </c>
      <c r="MAZ31" t="e">
        <v>#N/A</v>
      </c>
      <c r="MBA31" t="e">
        <v>#N/A</v>
      </c>
      <c r="MBB31" t="e">
        <v>#N/A</v>
      </c>
      <c r="MBC31" t="e">
        <v>#N/A</v>
      </c>
      <c r="MBD31" t="e">
        <v>#N/A</v>
      </c>
      <c r="MBE31" t="e">
        <v>#N/A</v>
      </c>
      <c r="MBF31" t="e">
        <v>#N/A</v>
      </c>
      <c r="MBG31" t="e">
        <v>#N/A</v>
      </c>
      <c r="MBH31" t="e">
        <v>#N/A</v>
      </c>
      <c r="MBI31" t="e">
        <v>#N/A</v>
      </c>
      <c r="MBJ31" t="e">
        <v>#N/A</v>
      </c>
      <c r="MBK31" t="e">
        <v>#N/A</v>
      </c>
      <c r="MBL31" t="e">
        <v>#N/A</v>
      </c>
      <c r="MBM31" t="e">
        <v>#N/A</v>
      </c>
      <c r="MBN31" t="e">
        <v>#N/A</v>
      </c>
      <c r="MBO31" t="e">
        <v>#N/A</v>
      </c>
      <c r="MBP31" t="e">
        <v>#N/A</v>
      </c>
      <c r="MBQ31" t="e">
        <v>#N/A</v>
      </c>
      <c r="MBR31" t="e">
        <v>#N/A</v>
      </c>
      <c r="MBS31" t="e">
        <v>#N/A</v>
      </c>
      <c r="MBT31" t="e">
        <v>#N/A</v>
      </c>
      <c r="MBU31" t="e">
        <v>#N/A</v>
      </c>
      <c r="MBV31" t="e">
        <v>#N/A</v>
      </c>
      <c r="MBW31" t="e">
        <v>#N/A</v>
      </c>
      <c r="MBX31" t="e">
        <v>#N/A</v>
      </c>
      <c r="MBY31" t="e">
        <v>#N/A</v>
      </c>
      <c r="MBZ31" t="e">
        <v>#N/A</v>
      </c>
      <c r="MCA31" t="e">
        <v>#N/A</v>
      </c>
      <c r="MCB31" t="e">
        <v>#N/A</v>
      </c>
      <c r="MCC31" t="e">
        <v>#N/A</v>
      </c>
      <c r="MCD31" t="e">
        <v>#N/A</v>
      </c>
      <c r="MCE31" t="e">
        <v>#N/A</v>
      </c>
      <c r="MCF31" t="e">
        <v>#N/A</v>
      </c>
      <c r="MCG31" t="e">
        <v>#N/A</v>
      </c>
      <c r="MCH31" t="e">
        <v>#N/A</v>
      </c>
      <c r="MCI31" t="e">
        <v>#N/A</v>
      </c>
      <c r="MCJ31" t="e">
        <v>#N/A</v>
      </c>
      <c r="MCK31" t="e">
        <v>#N/A</v>
      </c>
      <c r="MCL31" t="e">
        <v>#N/A</v>
      </c>
      <c r="MCM31" t="e">
        <v>#N/A</v>
      </c>
      <c r="MCN31" t="e">
        <v>#N/A</v>
      </c>
      <c r="MCO31" t="e">
        <v>#N/A</v>
      </c>
      <c r="MCP31" t="e">
        <v>#N/A</v>
      </c>
      <c r="MCQ31" t="e">
        <v>#N/A</v>
      </c>
      <c r="MCR31" t="e">
        <v>#N/A</v>
      </c>
      <c r="MCS31" t="e">
        <v>#N/A</v>
      </c>
      <c r="MCT31" t="e">
        <v>#N/A</v>
      </c>
      <c r="MCU31" t="e">
        <v>#N/A</v>
      </c>
      <c r="MCV31" t="e">
        <v>#N/A</v>
      </c>
      <c r="MCW31" t="e">
        <v>#N/A</v>
      </c>
      <c r="MCX31" t="e">
        <v>#N/A</v>
      </c>
      <c r="MCY31" t="e">
        <v>#N/A</v>
      </c>
      <c r="MCZ31" t="e">
        <v>#N/A</v>
      </c>
      <c r="MDA31" t="e">
        <v>#N/A</v>
      </c>
      <c r="MDB31" t="e">
        <v>#N/A</v>
      </c>
      <c r="MDC31" t="e">
        <v>#N/A</v>
      </c>
      <c r="MDD31" t="e">
        <v>#N/A</v>
      </c>
      <c r="MDE31" t="e">
        <v>#N/A</v>
      </c>
      <c r="MDF31" t="e">
        <v>#N/A</v>
      </c>
      <c r="MDG31" t="e">
        <v>#N/A</v>
      </c>
      <c r="MDH31" t="e">
        <v>#N/A</v>
      </c>
      <c r="MDI31" t="e">
        <v>#N/A</v>
      </c>
      <c r="MDJ31" t="e">
        <v>#N/A</v>
      </c>
      <c r="MDK31" t="e">
        <v>#N/A</v>
      </c>
      <c r="MDL31" t="e">
        <v>#N/A</v>
      </c>
      <c r="MDM31" t="e">
        <v>#N/A</v>
      </c>
      <c r="MDN31" t="e">
        <v>#N/A</v>
      </c>
      <c r="MDO31" t="e">
        <v>#N/A</v>
      </c>
      <c r="MDP31" t="e">
        <v>#N/A</v>
      </c>
      <c r="MDQ31" t="e">
        <v>#N/A</v>
      </c>
      <c r="MDR31" t="e">
        <v>#N/A</v>
      </c>
      <c r="MDS31" t="e">
        <v>#N/A</v>
      </c>
      <c r="MDT31" t="e">
        <v>#N/A</v>
      </c>
      <c r="MDU31" t="e">
        <v>#N/A</v>
      </c>
      <c r="MDV31" t="e">
        <v>#N/A</v>
      </c>
      <c r="MDW31" t="e">
        <v>#N/A</v>
      </c>
      <c r="MDX31" t="e">
        <v>#N/A</v>
      </c>
      <c r="MDY31" t="e">
        <v>#N/A</v>
      </c>
      <c r="MDZ31" t="e">
        <v>#N/A</v>
      </c>
      <c r="MEA31" t="e">
        <v>#N/A</v>
      </c>
      <c r="MEB31" t="e">
        <v>#N/A</v>
      </c>
      <c r="MEC31" t="e">
        <v>#N/A</v>
      </c>
      <c r="MED31" t="e">
        <v>#N/A</v>
      </c>
      <c r="MEE31" t="e">
        <v>#N/A</v>
      </c>
      <c r="MEF31" t="e">
        <v>#N/A</v>
      </c>
      <c r="MEG31" t="e">
        <v>#N/A</v>
      </c>
      <c r="MEH31" t="e">
        <v>#N/A</v>
      </c>
      <c r="MEI31" t="e">
        <v>#N/A</v>
      </c>
      <c r="MEJ31" t="e">
        <v>#N/A</v>
      </c>
      <c r="MEK31" t="e">
        <v>#N/A</v>
      </c>
      <c r="MEL31" t="e">
        <v>#N/A</v>
      </c>
      <c r="MEM31" t="e">
        <v>#N/A</v>
      </c>
      <c r="MEN31" t="e">
        <v>#N/A</v>
      </c>
      <c r="MEO31" t="e">
        <v>#N/A</v>
      </c>
      <c r="MEP31" t="e">
        <v>#N/A</v>
      </c>
      <c r="MEQ31" t="e">
        <v>#N/A</v>
      </c>
      <c r="MER31" t="e">
        <v>#N/A</v>
      </c>
      <c r="MES31" t="e">
        <v>#N/A</v>
      </c>
      <c r="MET31" t="e">
        <v>#N/A</v>
      </c>
      <c r="MEU31" t="e">
        <v>#N/A</v>
      </c>
      <c r="MEV31" t="e">
        <v>#N/A</v>
      </c>
      <c r="MEW31" t="e">
        <v>#N/A</v>
      </c>
      <c r="MEX31" t="e">
        <v>#N/A</v>
      </c>
      <c r="MEY31" t="e">
        <v>#N/A</v>
      </c>
      <c r="MEZ31" t="e">
        <v>#N/A</v>
      </c>
      <c r="MFA31" t="e">
        <v>#N/A</v>
      </c>
      <c r="MFB31" t="e">
        <v>#N/A</v>
      </c>
      <c r="MFC31" t="e">
        <v>#N/A</v>
      </c>
      <c r="MFD31" t="e">
        <v>#N/A</v>
      </c>
      <c r="MFE31" t="e">
        <v>#N/A</v>
      </c>
      <c r="MFF31" t="e">
        <v>#N/A</v>
      </c>
      <c r="MFG31" t="e">
        <v>#N/A</v>
      </c>
      <c r="MFH31" t="e">
        <v>#N/A</v>
      </c>
      <c r="MFI31" t="e">
        <v>#N/A</v>
      </c>
      <c r="MFJ31" t="e">
        <v>#N/A</v>
      </c>
      <c r="MFK31" t="e">
        <v>#N/A</v>
      </c>
      <c r="MFL31" t="e">
        <v>#N/A</v>
      </c>
      <c r="MFM31" t="e">
        <v>#N/A</v>
      </c>
      <c r="MFN31" t="e">
        <v>#N/A</v>
      </c>
      <c r="MFO31" t="e">
        <v>#N/A</v>
      </c>
      <c r="MFP31" t="e">
        <v>#N/A</v>
      </c>
      <c r="MFQ31" t="e">
        <v>#N/A</v>
      </c>
      <c r="MFR31" t="e">
        <v>#N/A</v>
      </c>
      <c r="MFS31" t="e">
        <v>#N/A</v>
      </c>
      <c r="MFT31" t="e">
        <v>#N/A</v>
      </c>
      <c r="MFU31" t="e">
        <v>#N/A</v>
      </c>
      <c r="MFV31" t="e">
        <v>#N/A</v>
      </c>
      <c r="MFW31" t="e">
        <v>#N/A</v>
      </c>
      <c r="MFX31" t="e">
        <v>#N/A</v>
      </c>
      <c r="MFY31" t="e">
        <v>#N/A</v>
      </c>
      <c r="MFZ31" t="e">
        <v>#N/A</v>
      </c>
      <c r="MGA31" t="e">
        <v>#N/A</v>
      </c>
      <c r="MGB31" t="e">
        <v>#N/A</v>
      </c>
      <c r="MGC31" t="e">
        <v>#N/A</v>
      </c>
      <c r="MGD31" t="e">
        <v>#N/A</v>
      </c>
      <c r="MGE31" t="e">
        <v>#N/A</v>
      </c>
      <c r="MGF31" t="e">
        <v>#N/A</v>
      </c>
      <c r="MGG31" t="e">
        <v>#N/A</v>
      </c>
      <c r="MGH31" t="e">
        <v>#N/A</v>
      </c>
      <c r="MGI31" t="e">
        <v>#N/A</v>
      </c>
      <c r="MGJ31" t="e">
        <v>#N/A</v>
      </c>
      <c r="MGK31" t="e">
        <v>#N/A</v>
      </c>
      <c r="MGL31" t="e">
        <v>#N/A</v>
      </c>
      <c r="MGM31" t="e">
        <v>#N/A</v>
      </c>
      <c r="MGN31" t="e">
        <v>#N/A</v>
      </c>
      <c r="MGO31" t="e">
        <v>#N/A</v>
      </c>
      <c r="MGP31" t="e">
        <v>#N/A</v>
      </c>
      <c r="MGQ31" t="e">
        <v>#N/A</v>
      </c>
      <c r="MGR31" t="e">
        <v>#N/A</v>
      </c>
      <c r="MGS31" t="e">
        <v>#N/A</v>
      </c>
      <c r="MGT31" t="e">
        <v>#N/A</v>
      </c>
      <c r="MGU31" t="e">
        <v>#N/A</v>
      </c>
      <c r="MGV31" t="e">
        <v>#N/A</v>
      </c>
      <c r="MGW31" t="e">
        <v>#N/A</v>
      </c>
      <c r="MGX31" t="e">
        <v>#N/A</v>
      </c>
      <c r="MGY31" t="e">
        <v>#N/A</v>
      </c>
      <c r="MGZ31" t="e">
        <v>#N/A</v>
      </c>
      <c r="MHA31" t="e">
        <v>#N/A</v>
      </c>
      <c r="MHB31" t="e">
        <v>#N/A</v>
      </c>
      <c r="MHC31" t="e">
        <v>#N/A</v>
      </c>
      <c r="MHD31" t="e">
        <v>#N/A</v>
      </c>
      <c r="MHE31" t="e">
        <v>#N/A</v>
      </c>
      <c r="MHF31" t="e">
        <v>#N/A</v>
      </c>
      <c r="MHG31" t="e">
        <v>#N/A</v>
      </c>
      <c r="MHH31" t="e">
        <v>#N/A</v>
      </c>
      <c r="MHI31" t="e">
        <v>#N/A</v>
      </c>
      <c r="MHJ31" t="e">
        <v>#N/A</v>
      </c>
      <c r="MHK31" t="e">
        <v>#N/A</v>
      </c>
      <c r="MHL31" t="e">
        <v>#N/A</v>
      </c>
      <c r="MHM31" t="e">
        <v>#N/A</v>
      </c>
      <c r="MHN31" t="e">
        <v>#N/A</v>
      </c>
      <c r="MHO31" t="e">
        <v>#N/A</v>
      </c>
      <c r="MHP31" t="e">
        <v>#N/A</v>
      </c>
      <c r="MHQ31" t="e">
        <v>#N/A</v>
      </c>
      <c r="MHR31" t="e">
        <v>#N/A</v>
      </c>
      <c r="MHS31" t="e">
        <v>#N/A</v>
      </c>
      <c r="MHT31" t="e">
        <v>#N/A</v>
      </c>
      <c r="MHU31" t="e">
        <v>#N/A</v>
      </c>
      <c r="MHV31" t="e">
        <v>#N/A</v>
      </c>
      <c r="MHW31" t="e">
        <v>#N/A</v>
      </c>
      <c r="MHX31" t="e">
        <v>#N/A</v>
      </c>
      <c r="MHY31" t="e">
        <v>#N/A</v>
      </c>
      <c r="MHZ31" t="e">
        <v>#N/A</v>
      </c>
      <c r="MIA31" t="e">
        <v>#N/A</v>
      </c>
      <c r="MIB31" t="e">
        <v>#N/A</v>
      </c>
      <c r="MIC31" t="e">
        <v>#N/A</v>
      </c>
      <c r="MID31" t="e">
        <v>#N/A</v>
      </c>
      <c r="MIE31" t="e">
        <v>#N/A</v>
      </c>
      <c r="MIF31" t="e">
        <v>#N/A</v>
      </c>
      <c r="MIG31" t="e">
        <v>#N/A</v>
      </c>
      <c r="MIH31" t="e">
        <v>#N/A</v>
      </c>
      <c r="MII31" t="e">
        <v>#N/A</v>
      </c>
      <c r="MIJ31" t="e">
        <v>#N/A</v>
      </c>
      <c r="MIK31" t="e">
        <v>#N/A</v>
      </c>
      <c r="MIL31" t="e">
        <v>#N/A</v>
      </c>
      <c r="MIM31" t="e">
        <v>#N/A</v>
      </c>
      <c r="MIN31" t="e">
        <v>#N/A</v>
      </c>
      <c r="MIO31" t="e">
        <v>#N/A</v>
      </c>
      <c r="MIP31" t="e">
        <v>#N/A</v>
      </c>
      <c r="MIQ31" t="e">
        <v>#N/A</v>
      </c>
      <c r="MIR31" t="e">
        <v>#N/A</v>
      </c>
      <c r="MIS31" t="e">
        <v>#N/A</v>
      </c>
      <c r="MIT31" t="e">
        <v>#N/A</v>
      </c>
      <c r="MIU31" t="e">
        <v>#N/A</v>
      </c>
      <c r="MIV31" t="e">
        <v>#N/A</v>
      </c>
      <c r="MIW31" t="e">
        <v>#N/A</v>
      </c>
      <c r="MIX31" t="e">
        <v>#N/A</v>
      </c>
      <c r="MIY31" t="e">
        <v>#N/A</v>
      </c>
      <c r="MIZ31" t="e">
        <v>#N/A</v>
      </c>
      <c r="MJA31" t="e">
        <v>#N/A</v>
      </c>
      <c r="MJB31" t="e">
        <v>#N/A</v>
      </c>
      <c r="MJC31" t="e">
        <v>#N/A</v>
      </c>
      <c r="MJD31" t="e">
        <v>#N/A</v>
      </c>
      <c r="MJE31" t="e">
        <v>#N/A</v>
      </c>
      <c r="MJF31" t="e">
        <v>#N/A</v>
      </c>
      <c r="MJG31" t="e">
        <v>#N/A</v>
      </c>
      <c r="MJH31" t="e">
        <v>#N/A</v>
      </c>
      <c r="MJI31" t="e">
        <v>#N/A</v>
      </c>
      <c r="MJJ31" t="e">
        <v>#N/A</v>
      </c>
      <c r="MJK31" t="e">
        <v>#N/A</v>
      </c>
      <c r="MJL31" t="e">
        <v>#N/A</v>
      </c>
      <c r="MJM31" t="e">
        <v>#N/A</v>
      </c>
      <c r="MJN31" t="e">
        <v>#N/A</v>
      </c>
      <c r="MJO31" t="e">
        <v>#N/A</v>
      </c>
      <c r="MJP31" t="e">
        <v>#N/A</v>
      </c>
      <c r="MJQ31" t="e">
        <v>#N/A</v>
      </c>
      <c r="MJR31" t="e">
        <v>#N/A</v>
      </c>
      <c r="MJS31" t="e">
        <v>#N/A</v>
      </c>
      <c r="MJT31" t="e">
        <v>#N/A</v>
      </c>
      <c r="MJU31" t="e">
        <v>#N/A</v>
      </c>
      <c r="MJV31" t="e">
        <v>#N/A</v>
      </c>
      <c r="MJW31" t="e">
        <v>#N/A</v>
      </c>
      <c r="MJX31" t="e">
        <v>#N/A</v>
      </c>
      <c r="MJY31" t="e">
        <v>#N/A</v>
      </c>
      <c r="MJZ31" t="e">
        <v>#N/A</v>
      </c>
      <c r="MKA31" t="e">
        <v>#N/A</v>
      </c>
      <c r="MKB31" t="e">
        <v>#N/A</v>
      </c>
      <c r="MKC31" t="e">
        <v>#N/A</v>
      </c>
      <c r="MKD31" t="e">
        <v>#N/A</v>
      </c>
      <c r="MKE31" t="e">
        <v>#N/A</v>
      </c>
      <c r="MKF31" t="e">
        <v>#N/A</v>
      </c>
      <c r="MKG31" t="e">
        <v>#N/A</v>
      </c>
      <c r="MKH31" t="e">
        <v>#N/A</v>
      </c>
      <c r="MKI31" t="e">
        <v>#N/A</v>
      </c>
      <c r="MKJ31" t="e">
        <v>#N/A</v>
      </c>
      <c r="MKK31" t="e">
        <v>#N/A</v>
      </c>
      <c r="MKL31" t="e">
        <v>#N/A</v>
      </c>
      <c r="MKM31" t="e">
        <v>#N/A</v>
      </c>
      <c r="MKN31" t="e">
        <v>#N/A</v>
      </c>
      <c r="MKO31" t="e">
        <v>#N/A</v>
      </c>
      <c r="MKP31" t="e">
        <v>#N/A</v>
      </c>
      <c r="MKQ31" t="e">
        <v>#N/A</v>
      </c>
      <c r="MKR31" t="e">
        <v>#N/A</v>
      </c>
      <c r="MKS31" t="e">
        <v>#N/A</v>
      </c>
      <c r="MKT31" t="e">
        <v>#N/A</v>
      </c>
      <c r="MKU31" t="e">
        <v>#N/A</v>
      </c>
      <c r="MKV31" t="e">
        <v>#N/A</v>
      </c>
      <c r="MKW31" t="e">
        <v>#N/A</v>
      </c>
      <c r="MKX31" t="e">
        <v>#N/A</v>
      </c>
      <c r="MKY31" t="e">
        <v>#N/A</v>
      </c>
      <c r="MKZ31" t="e">
        <v>#N/A</v>
      </c>
      <c r="MLA31" t="e">
        <v>#N/A</v>
      </c>
      <c r="MLB31" t="e">
        <v>#N/A</v>
      </c>
      <c r="MLC31" t="e">
        <v>#N/A</v>
      </c>
      <c r="MLD31" t="e">
        <v>#N/A</v>
      </c>
      <c r="MLE31" t="e">
        <v>#N/A</v>
      </c>
      <c r="MLF31" t="e">
        <v>#N/A</v>
      </c>
      <c r="MLG31" t="e">
        <v>#N/A</v>
      </c>
      <c r="MLH31" t="e">
        <v>#N/A</v>
      </c>
      <c r="MLI31" t="e">
        <v>#N/A</v>
      </c>
      <c r="MLJ31" t="e">
        <v>#N/A</v>
      </c>
      <c r="MLK31" t="e">
        <v>#N/A</v>
      </c>
      <c r="MLL31" t="e">
        <v>#N/A</v>
      </c>
      <c r="MLM31" t="e">
        <v>#N/A</v>
      </c>
      <c r="MLN31" t="e">
        <v>#N/A</v>
      </c>
      <c r="MLO31" t="e">
        <v>#N/A</v>
      </c>
      <c r="MLP31" t="e">
        <v>#N/A</v>
      </c>
      <c r="MLQ31" t="e">
        <v>#N/A</v>
      </c>
      <c r="MLR31" t="e">
        <v>#N/A</v>
      </c>
      <c r="MLS31" t="e">
        <v>#N/A</v>
      </c>
      <c r="MLT31" t="e">
        <v>#N/A</v>
      </c>
      <c r="MLU31" t="e">
        <v>#N/A</v>
      </c>
      <c r="MLV31" t="e">
        <v>#N/A</v>
      </c>
      <c r="MLW31" t="e">
        <v>#N/A</v>
      </c>
      <c r="MLX31" t="e">
        <v>#N/A</v>
      </c>
      <c r="MLY31" t="e">
        <v>#N/A</v>
      </c>
      <c r="MLZ31" t="e">
        <v>#N/A</v>
      </c>
      <c r="MMA31" t="e">
        <v>#N/A</v>
      </c>
      <c r="MMB31" t="e">
        <v>#N/A</v>
      </c>
      <c r="MMC31" t="e">
        <v>#N/A</v>
      </c>
      <c r="MMD31" t="e">
        <v>#N/A</v>
      </c>
      <c r="MME31" t="e">
        <v>#N/A</v>
      </c>
      <c r="MMF31" t="e">
        <v>#N/A</v>
      </c>
      <c r="MMG31" t="e">
        <v>#N/A</v>
      </c>
      <c r="MMH31" t="e">
        <v>#N/A</v>
      </c>
      <c r="MMI31" t="e">
        <v>#N/A</v>
      </c>
      <c r="MMJ31" t="e">
        <v>#N/A</v>
      </c>
      <c r="MMK31" t="e">
        <v>#N/A</v>
      </c>
      <c r="MML31" t="e">
        <v>#N/A</v>
      </c>
      <c r="MMM31" t="e">
        <v>#N/A</v>
      </c>
      <c r="MMN31" t="e">
        <v>#N/A</v>
      </c>
      <c r="MMO31" t="e">
        <v>#N/A</v>
      </c>
      <c r="MMP31" t="e">
        <v>#N/A</v>
      </c>
      <c r="MMQ31" t="e">
        <v>#N/A</v>
      </c>
      <c r="MMR31" t="e">
        <v>#N/A</v>
      </c>
      <c r="MMS31" t="e">
        <v>#N/A</v>
      </c>
      <c r="MMT31" t="e">
        <v>#N/A</v>
      </c>
      <c r="MMU31" t="e">
        <v>#N/A</v>
      </c>
      <c r="MMV31" t="e">
        <v>#N/A</v>
      </c>
      <c r="MMW31" t="e">
        <v>#N/A</v>
      </c>
      <c r="MMX31" t="e">
        <v>#N/A</v>
      </c>
      <c r="MMY31" t="e">
        <v>#N/A</v>
      </c>
      <c r="MMZ31" t="e">
        <v>#N/A</v>
      </c>
      <c r="MNA31" t="e">
        <v>#N/A</v>
      </c>
      <c r="MNB31" t="e">
        <v>#N/A</v>
      </c>
      <c r="MNC31" t="e">
        <v>#N/A</v>
      </c>
      <c r="MND31" t="e">
        <v>#N/A</v>
      </c>
      <c r="MNE31" t="e">
        <v>#N/A</v>
      </c>
      <c r="MNF31" t="e">
        <v>#N/A</v>
      </c>
      <c r="MNG31" t="e">
        <v>#N/A</v>
      </c>
      <c r="MNH31" t="e">
        <v>#N/A</v>
      </c>
      <c r="MNI31" t="e">
        <v>#N/A</v>
      </c>
      <c r="MNJ31" t="e">
        <v>#N/A</v>
      </c>
      <c r="MNK31" t="e">
        <v>#N/A</v>
      </c>
      <c r="MNL31" t="e">
        <v>#N/A</v>
      </c>
      <c r="MNM31" t="e">
        <v>#N/A</v>
      </c>
      <c r="MNN31" t="e">
        <v>#N/A</v>
      </c>
      <c r="MNO31" t="e">
        <v>#N/A</v>
      </c>
      <c r="MNP31" t="e">
        <v>#N/A</v>
      </c>
      <c r="MNQ31" t="e">
        <v>#N/A</v>
      </c>
      <c r="MNR31" t="e">
        <v>#N/A</v>
      </c>
      <c r="MNS31" t="e">
        <v>#N/A</v>
      </c>
      <c r="MNT31" t="e">
        <v>#N/A</v>
      </c>
      <c r="MNU31" t="e">
        <v>#N/A</v>
      </c>
      <c r="MNV31" t="e">
        <v>#N/A</v>
      </c>
      <c r="MNW31" t="e">
        <v>#N/A</v>
      </c>
      <c r="MNX31" t="e">
        <v>#N/A</v>
      </c>
      <c r="MNY31" t="e">
        <v>#N/A</v>
      </c>
      <c r="MNZ31" t="e">
        <v>#N/A</v>
      </c>
      <c r="MOA31" t="e">
        <v>#N/A</v>
      </c>
      <c r="MOB31" t="e">
        <v>#N/A</v>
      </c>
      <c r="MOC31" t="e">
        <v>#N/A</v>
      </c>
      <c r="MOD31" t="e">
        <v>#N/A</v>
      </c>
      <c r="MOE31" t="e">
        <v>#N/A</v>
      </c>
      <c r="MOF31" t="e">
        <v>#N/A</v>
      </c>
      <c r="MOG31" t="e">
        <v>#N/A</v>
      </c>
      <c r="MOH31" t="e">
        <v>#N/A</v>
      </c>
      <c r="MOI31" t="e">
        <v>#N/A</v>
      </c>
      <c r="MOJ31" t="e">
        <v>#N/A</v>
      </c>
      <c r="MOK31" t="e">
        <v>#N/A</v>
      </c>
      <c r="MOL31" t="e">
        <v>#N/A</v>
      </c>
      <c r="MOM31" t="e">
        <v>#N/A</v>
      </c>
      <c r="MON31" t="e">
        <v>#N/A</v>
      </c>
      <c r="MOO31" t="e">
        <v>#N/A</v>
      </c>
      <c r="MOP31" t="e">
        <v>#N/A</v>
      </c>
      <c r="MOQ31" t="e">
        <v>#N/A</v>
      </c>
      <c r="MOR31" t="e">
        <v>#N/A</v>
      </c>
      <c r="MOS31" t="e">
        <v>#N/A</v>
      </c>
      <c r="MOT31" t="e">
        <v>#N/A</v>
      </c>
      <c r="MOU31" t="e">
        <v>#N/A</v>
      </c>
      <c r="MOV31" t="e">
        <v>#N/A</v>
      </c>
      <c r="MOW31" t="e">
        <v>#N/A</v>
      </c>
      <c r="MOX31" t="e">
        <v>#N/A</v>
      </c>
      <c r="MOY31" t="e">
        <v>#N/A</v>
      </c>
      <c r="MOZ31" t="e">
        <v>#N/A</v>
      </c>
      <c r="MPA31" t="e">
        <v>#N/A</v>
      </c>
      <c r="MPB31" t="e">
        <v>#N/A</v>
      </c>
      <c r="MPC31" t="e">
        <v>#N/A</v>
      </c>
      <c r="MPD31" t="e">
        <v>#N/A</v>
      </c>
      <c r="MPE31" t="e">
        <v>#N/A</v>
      </c>
      <c r="MPF31" t="e">
        <v>#N/A</v>
      </c>
      <c r="MPG31" t="e">
        <v>#N/A</v>
      </c>
      <c r="MPH31" t="e">
        <v>#N/A</v>
      </c>
      <c r="MPI31" t="e">
        <v>#N/A</v>
      </c>
      <c r="MPJ31" t="e">
        <v>#N/A</v>
      </c>
      <c r="MPK31" t="e">
        <v>#N/A</v>
      </c>
      <c r="MPL31" t="e">
        <v>#N/A</v>
      </c>
      <c r="MPM31" t="e">
        <v>#N/A</v>
      </c>
      <c r="MPN31" t="e">
        <v>#N/A</v>
      </c>
      <c r="MPO31" t="e">
        <v>#N/A</v>
      </c>
      <c r="MPP31" t="e">
        <v>#N/A</v>
      </c>
      <c r="MPQ31" t="e">
        <v>#N/A</v>
      </c>
      <c r="MPR31" t="e">
        <v>#N/A</v>
      </c>
      <c r="MPS31" t="e">
        <v>#N/A</v>
      </c>
      <c r="MPT31" t="e">
        <v>#N/A</v>
      </c>
      <c r="MPU31" t="e">
        <v>#N/A</v>
      </c>
      <c r="MPV31" t="e">
        <v>#N/A</v>
      </c>
      <c r="MPW31" t="e">
        <v>#N/A</v>
      </c>
      <c r="MPX31" t="e">
        <v>#N/A</v>
      </c>
      <c r="MPY31" t="e">
        <v>#N/A</v>
      </c>
      <c r="MPZ31" t="e">
        <v>#N/A</v>
      </c>
      <c r="MQA31" t="e">
        <v>#N/A</v>
      </c>
      <c r="MQB31" t="e">
        <v>#N/A</v>
      </c>
      <c r="MQC31" t="e">
        <v>#N/A</v>
      </c>
      <c r="MQD31" t="e">
        <v>#N/A</v>
      </c>
      <c r="MQE31" t="e">
        <v>#N/A</v>
      </c>
      <c r="MQF31" t="e">
        <v>#N/A</v>
      </c>
      <c r="MQG31" t="e">
        <v>#N/A</v>
      </c>
      <c r="MQH31" t="e">
        <v>#N/A</v>
      </c>
      <c r="MQI31" t="e">
        <v>#N/A</v>
      </c>
      <c r="MQJ31" t="e">
        <v>#N/A</v>
      </c>
      <c r="MQK31" t="e">
        <v>#N/A</v>
      </c>
      <c r="MQL31" t="e">
        <v>#N/A</v>
      </c>
      <c r="MQM31" t="e">
        <v>#N/A</v>
      </c>
      <c r="MQN31" t="e">
        <v>#N/A</v>
      </c>
      <c r="MQO31" t="e">
        <v>#N/A</v>
      </c>
      <c r="MQP31" t="e">
        <v>#N/A</v>
      </c>
      <c r="MQQ31" t="e">
        <v>#N/A</v>
      </c>
      <c r="MQR31" t="e">
        <v>#N/A</v>
      </c>
      <c r="MQS31" t="e">
        <v>#N/A</v>
      </c>
      <c r="MQT31" t="e">
        <v>#N/A</v>
      </c>
      <c r="MQU31" t="e">
        <v>#N/A</v>
      </c>
      <c r="MQV31" t="e">
        <v>#N/A</v>
      </c>
      <c r="MQW31" t="e">
        <v>#N/A</v>
      </c>
      <c r="MQX31" t="e">
        <v>#N/A</v>
      </c>
      <c r="MQY31" t="e">
        <v>#N/A</v>
      </c>
      <c r="MQZ31" t="e">
        <v>#N/A</v>
      </c>
      <c r="MRA31" t="e">
        <v>#N/A</v>
      </c>
      <c r="MRB31" t="e">
        <v>#N/A</v>
      </c>
      <c r="MRC31" t="e">
        <v>#N/A</v>
      </c>
      <c r="MRD31" t="e">
        <v>#N/A</v>
      </c>
      <c r="MRE31" t="e">
        <v>#N/A</v>
      </c>
      <c r="MRF31" t="e">
        <v>#N/A</v>
      </c>
      <c r="MRG31" t="e">
        <v>#N/A</v>
      </c>
      <c r="MRH31" t="e">
        <v>#N/A</v>
      </c>
      <c r="MRI31" t="e">
        <v>#N/A</v>
      </c>
      <c r="MRJ31" t="e">
        <v>#N/A</v>
      </c>
      <c r="MRK31" t="e">
        <v>#N/A</v>
      </c>
      <c r="MRL31" t="e">
        <v>#N/A</v>
      </c>
      <c r="MRM31" t="e">
        <v>#N/A</v>
      </c>
      <c r="MRN31" t="e">
        <v>#N/A</v>
      </c>
      <c r="MRO31" t="e">
        <v>#N/A</v>
      </c>
      <c r="MRP31" t="e">
        <v>#N/A</v>
      </c>
      <c r="MRQ31" t="e">
        <v>#N/A</v>
      </c>
      <c r="MRR31" t="e">
        <v>#N/A</v>
      </c>
      <c r="MRS31" t="e">
        <v>#N/A</v>
      </c>
      <c r="MRT31" t="e">
        <v>#N/A</v>
      </c>
      <c r="MRU31" t="e">
        <v>#N/A</v>
      </c>
      <c r="MRV31" t="e">
        <v>#N/A</v>
      </c>
      <c r="MRW31" t="e">
        <v>#N/A</v>
      </c>
      <c r="MRX31" t="e">
        <v>#N/A</v>
      </c>
      <c r="MRY31" t="e">
        <v>#N/A</v>
      </c>
      <c r="MRZ31" t="e">
        <v>#N/A</v>
      </c>
      <c r="MSA31" t="e">
        <v>#N/A</v>
      </c>
      <c r="MSB31" t="e">
        <v>#N/A</v>
      </c>
      <c r="MSC31" t="e">
        <v>#N/A</v>
      </c>
      <c r="MSD31" t="e">
        <v>#N/A</v>
      </c>
      <c r="MSE31" t="e">
        <v>#N/A</v>
      </c>
      <c r="MSF31" t="e">
        <v>#N/A</v>
      </c>
      <c r="MSG31" t="e">
        <v>#N/A</v>
      </c>
      <c r="MSH31" t="e">
        <v>#N/A</v>
      </c>
      <c r="MSI31" t="e">
        <v>#N/A</v>
      </c>
      <c r="MSJ31" t="e">
        <v>#N/A</v>
      </c>
      <c r="MSK31" t="e">
        <v>#N/A</v>
      </c>
      <c r="MSL31" t="e">
        <v>#N/A</v>
      </c>
      <c r="MSM31" t="e">
        <v>#N/A</v>
      </c>
      <c r="MSN31" t="e">
        <v>#N/A</v>
      </c>
      <c r="MSO31" t="e">
        <v>#N/A</v>
      </c>
      <c r="MSP31" t="e">
        <v>#N/A</v>
      </c>
      <c r="MSQ31" t="e">
        <v>#N/A</v>
      </c>
      <c r="MSR31" t="e">
        <v>#N/A</v>
      </c>
      <c r="MSS31" t="e">
        <v>#N/A</v>
      </c>
      <c r="MST31" t="e">
        <v>#N/A</v>
      </c>
      <c r="MSU31" t="e">
        <v>#N/A</v>
      </c>
      <c r="MSV31" t="e">
        <v>#N/A</v>
      </c>
      <c r="MSW31" t="e">
        <v>#N/A</v>
      </c>
      <c r="MSX31" t="e">
        <v>#N/A</v>
      </c>
      <c r="MSY31" t="e">
        <v>#N/A</v>
      </c>
      <c r="MSZ31" t="e">
        <v>#N/A</v>
      </c>
      <c r="MTA31" t="e">
        <v>#N/A</v>
      </c>
      <c r="MTB31" t="e">
        <v>#N/A</v>
      </c>
      <c r="MTC31" t="e">
        <v>#N/A</v>
      </c>
      <c r="MTD31" t="e">
        <v>#N/A</v>
      </c>
      <c r="MTE31" t="e">
        <v>#N/A</v>
      </c>
      <c r="MTF31" t="e">
        <v>#N/A</v>
      </c>
      <c r="MTG31" t="e">
        <v>#N/A</v>
      </c>
      <c r="MTH31" t="e">
        <v>#N/A</v>
      </c>
      <c r="MTI31" t="e">
        <v>#N/A</v>
      </c>
      <c r="MTJ31" t="e">
        <v>#N/A</v>
      </c>
      <c r="MTK31" t="e">
        <v>#N/A</v>
      </c>
      <c r="MTL31" t="e">
        <v>#N/A</v>
      </c>
      <c r="MTM31" t="e">
        <v>#N/A</v>
      </c>
      <c r="MTN31" t="e">
        <v>#N/A</v>
      </c>
      <c r="MTO31" t="e">
        <v>#N/A</v>
      </c>
      <c r="MTP31" t="e">
        <v>#N/A</v>
      </c>
      <c r="MTQ31" t="e">
        <v>#N/A</v>
      </c>
      <c r="MTR31" t="e">
        <v>#N/A</v>
      </c>
      <c r="MTS31" t="e">
        <v>#N/A</v>
      </c>
      <c r="MTT31" t="e">
        <v>#N/A</v>
      </c>
      <c r="MTU31" t="e">
        <v>#N/A</v>
      </c>
      <c r="MTV31" t="e">
        <v>#N/A</v>
      </c>
      <c r="MTW31" t="e">
        <v>#N/A</v>
      </c>
      <c r="MTX31" t="e">
        <v>#N/A</v>
      </c>
      <c r="MTY31" t="e">
        <v>#N/A</v>
      </c>
      <c r="MTZ31" t="e">
        <v>#N/A</v>
      </c>
      <c r="MUA31" t="e">
        <v>#N/A</v>
      </c>
      <c r="MUB31" t="e">
        <v>#N/A</v>
      </c>
      <c r="MUC31" t="e">
        <v>#N/A</v>
      </c>
      <c r="MUD31" t="e">
        <v>#N/A</v>
      </c>
      <c r="MUE31" t="e">
        <v>#N/A</v>
      </c>
      <c r="MUF31" t="e">
        <v>#N/A</v>
      </c>
      <c r="MUG31" t="e">
        <v>#N/A</v>
      </c>
      <c r="MUH31" t="e">
        <v>#N/A</v>
      </c>
      <c r="MUI31" t="e">
        <v>#N/A</v>
      </c>
      <c r="MUJ31" t="e">
        <v>#N/A</v>
      </c>
      <c r="MUK31" t="e">
        <v>#N/A</v>
      </c>
      <c r="MUL31" t="e">
        <v>#N/A</v>
      </c>
      <c r="MUM31" t="e">
        <v>#N/A</v>
      </c>
      <c r="MUN31" t="e">
        <v>#N/A</v>
      </c>
      <c r="MUO31" t="e">
        <v>#N/A</v>
      </c>
      <c r="MUP31" t="e">
        <v>#N/A</v>
      </c>
      <c r="MUQ31" t="e">
        <v>#N/A</v>
      </c>
      <c r="MUR31" t="e">
        <v>#N/A</v>
      </c>
      <c r="MUS31" t="e">
        <v>#N/A</v>
      </c>
      <c r="MUT31" t="e">
        <v>#N/A</v>
      </c>
      <c r="MUU31" t="e">
        <v>#N/A</v>
      </c>
      <c r="MUV31" t="e">
        <v>#N/A</v>
      </c>
      <c r="MUW31" t="e">
        <v>#N/A</v>
      </c>
      <c r="MUX31" t="e">
        <v>#N/A</v>
      </c>
      <c r="MUY31" t="e">
        <v>#N/A</v>
      </c>
      <c r="MUZ31" t="e">
        <v>#N/A</v>
      </c>
      <c r="MVA31" t="e">
        <v>#N/A</v>
      </c>
      <c r="MVB31" t="e">
        <v>#N/A</v>
      </c>
      <c r="MVC31" t="e">
        <v>#N/A</v>
      </c>
      <c r="MVD31" t="e">
        <v>#N/A</v>
      </c>
      <c r="MVE31" t="e">
        <v>#N/A</v>
      </c>
      <c r="MVF31" t="e">
        <v>#N/A</v>
      </c>
      <c r="MVG31" t="e">
        <v>#N/A</v>
      </c>
      <c r="MVH31" t="e">
        <v>#N/A</v>
      </c>
      <c r="MVI31" t="e">
        <v>#N/A</v>
      </c>
      <c r="MVJ31" t="e">
        <v>#N/A</v>
      </c>
      <c r="MVK31" t="e">
        <v>#N/A</v>
      </c>
      <c r="MVL31" t="e">
        <v>#N/A</v>
      </c>
      <c r="MVM31" t="e">
        <v>#N/A</v>
      </c>
      <c r="MVN31" t="e">
        <v>#N/A</v>
      </c>
      <c r="MVO31" t="e">
        <v>#N/A</v>
      </c>
      <c r="MVP31" t="e">
        <v>#N/A</v>
      </c>
      <c r="MVQ31" t="e">
        <v>#N/A</v>
      </c>
      <c r="MVR31" t="e">
        <v>#N/A</v>
      </c>
      <c r="MVS31" t="e">
        <v>#N/A</v>
      </c>
      <c r="MVT31" t="e">
        <v>#N/A</v>
      </c>
      <c r="MVU31" t="e">
        <v>#N/A</v>
      </c>
      <c r="MVV31" t="e">
        <v>#N/A</v>
      </c>
      <c r="MVW31" t="e">
        <v>#N/A</v>
      </c>
      <c r="MVX31" t="e">
        <v>#N/A</v>
      </c>
      <c r="MVY31" t="e">
        <v>#N/A</v>
      </c>
      <c r="MVZ31" t="e">
        <v>#N/A</v>
      </c>
      <c r="MWA31" t="e">
        <v>#N/A</v>
      </c>
      <c r="MWB31" t="e">
        <v>#N/A</v>
      </c>
      <c r="MWC31" t="e">
        <v>#N/A</v>
      </c>
      <c r="MWD31" t="e">
        <v>#N/A</v>
      </c>
      <c r="MWE31" t="e">
        <v>#N/A</v>
      </c>
      <c r="MWF31" t="e">
        <v>#N/A</v>
      </c>
      <c r="MWG31" t="e">
        <v>#N/A</v>
      </c>
      <c r="MWH31" t="e">
        <v>#N/A</v>
      </c>
      <c r="MWI31" t="e">
        <v>#N/A</v>
      </c>
      <c r="MWJ31" t="e">
        <v>#N/A</v>
      </c>
      <c r="MWK31" t="e">
        <v>#N/A</v>
      </c>
      <c r="MWL31" t="e">
        <v>#N/A</v>
      </c>
      <c r="MWM31" t="e">
        <v>#N/A</v>
      </c>
      <c r="MWN31" t="e">
        <v>#N/A</v>
      </c>
      <c r="MWO31" t="e">
        <v>#N/A</v>
      </c>
      <c r="MWP31" t="e">
        <v>#N/A</v>
      </c>
      <c r="MWQ31" t="e">
        <v>#N/A</v>
      </c>
      <c r="MWR31" t="e">
        <v>#N/A</v>
      </c>
      <c r="MWS31" t="e">
        <v>#N/A</v>
      </c>
      <c r="MWT31" t="e">
        <v>#N/A</v>
      </c>
      <c r="MWU31" t="e">
        <v>#N/A</v>
      </c>
      <c r="MWV31" t="e">
        <v>#N/A</v>
      </c>
      <c r="MWW31" t="e">
        <v>#N/A</v>
      </c>
      <c r="MWX31" t="e">
        <v>#N/A</v>
      </c>
      <c r="MWY31" t="e">
        <v>#N/A</v>
      </c>
      <c r="MWZ31" t="e">
        <v>#N/A</v>
      </c>
      <c r="MXA31" t="e">
        <v>#N/A</v>
      </c>
      <c r="MXB31" t="e">
        <v>#N/A</v>
      </c>
      <c r="MXC31" t="e">
        <v>#N/A</v>
      </c>
      <c r="MXD31" t="e">
        <v>#N/A</v>
      </c>
      <c r="MXE31" t="e">
        <v>#N/A</v>
      </c>
      <c r="MXF31" t="e">
        <v>#N/A</v>
      </c>
      <c r="MXG31" t="e">
        <v>#N/A</v>
      </c>
      <c r="MXH31" t="e">
        <v>#N/A</v>
      </c>
      <c r="MXI31" t="e">
        <v>#N/A</v>
      </c>
      <c r="MXJ31" t="e">
        <v>#N/A</v>
      </c>
      <c r="MXK31" t="e">
        <v>#N/A</v>
      </c>
      <c r="MXL31" t="e">
        <v>#N/A</v>
      </c>
      <c r="MXM31" t="e">
        <v>#N/A</v>
      </c>
      <c r="MXN31" t="e">
        <v>#N/A</v>
      </c>
      <c r="MXO31" t="e">
        <v>#N/A</v>
      </c>
      <c r="MXP31" t="e">
        <v>#N/A</v>
      </c>
      <c r="MXQ31" t="e">
        <v>#N/A</v>
      </c>
      <c r="MXR31" t="e">
        <v>#N/A</v>
      </c>
      <c r="MXS31" t="e">
        <v>#N/A</v>
      </c>
      <c r="MXT31" t="e">
        <v>#N/A</v>
      </c>
      <c r="MXU31" t="e">
        <v>#N/A</v>
      </c>
      <c r="MXV31" t="e">
        <v>#N/A</v>
      </c>
      <c r="MXW31" t="e">
        <v>#N/A</v>
      </c>
      <c r="MXX31" t="e">
        <v>#N/A</v>
      </c>
      <c r="MXY31" t="e">
        <v>#N/A</v>
      </c>
      <c r="MXZ31" t="e">
        <v>#N/A</v>
      </c>
      <c r="MYA31" t="e">
        <v>#N/A</v>
      </c>
      <c r="MYB31" t="e">
        <v>#N/A</v>
      </c>
      <c r="MYC31" t="e">
        <v>#N/A</v>
      </c>
      <c r="MYD31" t="e">
        <v>#N/A</v>
      </c>
      <c r="MYE31" t="e">
        <v>#N/A</v>
      </c>
      <c r="MYF31" t="e">
        <v>#N/A</v>
      </c>
      <c r="MYG31" t="e">
        <v>#N/A</v>
      </c>
      <c r="MYH31" t="e">
        <v>#N/A</v>
      </c>
      <c r="MYI31" t="e">
        <v>#N/A</v>
      </c>
      <c r="MYJ31" t="e">
        <v>#N/A</v>
      </c>
      <c r="MYK31" t="e">
        <v>#N/A</v>
      </c>
      <c r="MYL31" t="e">
        <v>#N/A</v>
      </c>
      <c r="MYM31" t="e">
        <v>#N/A</v>
      </c>
      <c r="MYN31" t="e">
        <v>#N/A</v>
      </c>
      <c r="MYO31" t="e">
        <v>#N/A</v>
      </c>
      <c r="MYP31" t="e">
        <v>#N/A</v>
      </c>
      <c r="MYQ31" t="e">
        <v>#N/A</v>
      </c>
      <c r="MYR31" t="e">
        <v>#N/A</v>
      </c>
      <c r="MYS31" t="e">
        <v>#N/A</v>
      </c>
      <c r="MYT31" t="e">
        <v>#N/A</v>
      </c>
      <c r="MYU31" t="e">
        <v>#N/A</v>
      </c>
      <c r="MYV31" t="e">
        <v>#N/A</v>
      </c>
      <c r="MYW31" t="e">
        <v>#N/A</v>
      </c>
      <c r="MYX31" t="e">
        <v>#N/A</v>
      </c>
      <c r="MYY31" t="e">
        <v>#N/A</v>
      </c>
      <c r="MYZ31" t="e">
        <v>#N/A</v>
      </c>
      <c r="MZA31" t="e">
        <v>#N/A</v>
      </c>
      <c r="MZB31" t="e">
        <v>#N/A</v>
      </c>
      <c r="MZC31" t="e">
        <v>#N/A</v>
      </c>
      <c r="MZD31" t="e">
        <v>#N/A</v>
      </c>
      <c r="MZE31" t="e">
        <v>#N/A</v>
      </c>
      <c r="MZF31" t="e">
        <v>#N/A</v>
      </c>
      <c r="MZG31" t="e">
        <v>#N/A</v>
      </c>
      <c r="MZH31" t="e">
        <v>#N/A</v>
      </c>
      <c r="MZI31" t="e">
        <v>#N/A</v>
      </c>
      <c r="MZJ31" t="e">
        <v>#N/A</v>
      </c>
      <c r="MZK31" t="e">
        <v>#N/A</v>
      </c>
      <c r="MZL31" t="e">
        <v>#N/A</v>
      </c>
      <c r="MZM31" t="e">
        <v>#N/A</v>
      </c>
      <c r="MZN31" t="e">
        <v>#N/A</v>
      </c>
      <c r="MZO31" t="e">
        <v>#N/A</v>
      </c>
      <c r="MZP31" t="e">
        <v>#N/A</v>
      </c>
      <c r="MZQ31" t="e">
        <v>#N/A</v>
      </c>
      <c r="MZR31" t="e">
        <v>#N/A</v>
      </c>
      <c r="MZS31" t="e">
        <v>#N/A</v>
      </c>
      <c r="MZT31" t="e">
        <v>#N/A</v>
      </c>
      <c r="MZU31" t="e">
        <v>#N/A</v>
      </c>
      <c r="MZV31" t="e">
        <v>#N/A</v>
      </c>
      <c r="MZW31" t="e">
        <v>#N/A</v>
      </c>
      <c r="MZX31" t="e">
        <v>#N/A</v>
      </c>
      <c r="MZY31" t="e">
        <v>#N/A</v>
      </c>
      <c r="MZZ31" t="e">
        <v>#N/A</v>
      </c>
      <c r="NAA31" t="e">
        <v>#N/A</v>
      </c>
      <c r="NAB31" t="e">
        <v>#N/A</v>
      </c>
      <c r="NAC31" t="e">
        <v>#N/A</v>
      </c>
      <c r="NAD31" t="e">
        <v>#N/A</v>
      </c>
      <c r="NAE31" t="e">
        <v>#N/A</v>
      </c>
      <c r="NAF31" t="e">
        <v>#N/A</v>
      </c>
      <c r="NAG31" t="e">
        <v>#N/A</v>
      </c>
      <c r="NAH31" t="e">
        <v>#N/A</v>
      </c>
      <c r="NAI31" t="e">
        <v>#N/A</v>
      </c>
      <c r="NAJ31" t="e">
        <v>#N/A</v>
      </c>
      <c r="NAK31" t="e">
        <v>#N/A</v>
      </c>
      <c r="NAL31" t="e">
        <v>#N/A</v>
      </c>
      <c r="NAM31" t="e">
        <v>#N/A</v>
      </c>
      <c r="NAN31" t="e">
        <v>#N/A</v>
      </c>
      <c r="NAO31" t="e">
        <v>#N/A</v>
      </c>
      <c r="NAP31" t="e">
        <v>#N/A</v>
      </c>
      <c r="NAQ31" t="e">
        <v>#N/A</v>
      </c>
      <c r="NAR31" t="e">
        <v>#N/A</v>
      </c>
      <c r="NAS31" t="e">
        <v>#N/A</v>
      </c>
      <c r="NAT31" t="e">
        <v>#N/A</v>
      </c>
      <c r="NAU31" t="e">
        <v>#N/A</v>
      </c>
      <c r="NAV31" t="e">
        <v>#N/A</v>
      </c>
      <c r="NAW31" t="e">
        <v>#N/A</v>
      </c>
      <c r="NAX31" t="e">
        <v>#N/A</v>
      </c>
      <c r="NAY31" t="e">
        <v>#N/A</v>
      </c>
      <c r="NAZ31" t="e">
        <v>#N/A</v>
      </c>
      <c r="NBA31" t="e">
        <v>#N/A</v>
      </c>
      <c r="NBB31" t="e">
        <v>#N/A</v>
      </c>
      <c r="NBC31" t="e">
        <v>#N/A</v>
      </c>
      <c r="NBD31" t="e">
        <v>#N/A</v>
      </c>
      <c r="NBE31" t="e">
        <v>#N/A</v>
      </c>
      <c r="NBF31" t="e">
        <v>#N/A</v>
      </c>
      <c r="NBG31" t="e">
        <v>#N/A</v>
      </c>
      <c r="NBH31" t="e">
        <v>#N/A</v>
      </c>
      <c r="NBI31" t="e">
        <v>#N/A</v>
      </c>
      <c r="NBJ31" t="e">
        <v>#N/A</v>
      </c>
      <c r="NBK31" t="e">
        <v>#N/A</v>
      </c>
      <c r="NBL31" t="e">
        <v>#N/A</v>
      </c>
      <c r="NBM31" t="e">
        <v>#N/A</v>
      </c>
      <c r="NBN31" t="e">
        <v>#N/A</v>
      </c>
      <c r="NBO31" t="e">
        <v>#N/A</v>
      </c>
      <c r="NBP31" t="e">
        <v>#N/A</v>
      </c>
      <c r="NBQ31" t="e">
        <v>#N/A</v>
      </c>
      <c r="NBR31" t="e">
        <v>#N/A</v>
      </c>
      <c r="NBS31" t="e">
        <v>#N/A</v>
      </c>
      <c r="NBT31" t="e">
        <v>#N/A</v>
      </c>
      <c r="NBU31" t="e">
        <v>#N/A</v>
      </c>
      <c r="NBV31" t="e">
        <v>#N/A</v>
      </c>
      <c r="NBW31" t="e">
        <v>#N/A</v>
      </c>
      <c r="NBX31" t="e">
        <v>#N/A</v>
      </c>
      <c r="NBY31" t="e">
        <v>#N/A</v>
      </c>
      <c r="NBZ31" t="e">
        <v>#N/A</v>
      </c>
      <c r="NCA31" t="e">
        <v>#N/A</v>
      </c>
      <c r="NCB31" t="e">
        <v>#N/A</v>
      </c>
      <c r="NCC31" t="e">
        <v>#N/A</v>
      </c>
      <c r="NCD31" t="e">
        <v>#N/A</v>
      </c>
      <c r="NCE31" t="e">
        <v>#N/A</v>
      </c>
      <c r="NCF31" t="e">
        <v>#N/A</v>
      </c>
      <c r="NCG31" t="e">
        <v>#N/A</v>
      </c>
      <c r="NCH31" t="e">
        <v>#N/A</v>
      </c>
      <c r="NCI31" t="e">
        <v>#N/A</v>
      </c>
      <c r="NCJ31" t="e">
        <v>#N/A</v>
      </c>
      <c r="NCK31" t="e">
        <v>#N/A</v>
      </c>
      <c r="NCL31" t="e">
        <v>#N/A</v>
      </c>
      <c r="NCM31" t="e">
        <v>#N/A</v>
      </c>
      <c r="NCN31" t="e">
        <v>#N/A</v>
      </c>
      <c r="NCO31" t="e">
        <v>#N/A</v>
      </c>
      <c r="NCP31" t="e">
        <v>#N/A</v>
      </c>
      <c r="NCQ31" t="e">
        <v>#N/A</v>
      </c>
      <c r="NCR31" t="e">
        <v>#N/A</v>
      </c>
      <c r="NCS31" t="e">
        <v>#N/A</v>
      </c>
      <c r="NCT31" t="e">
        <v>#N/A</v>
      </c>
      <c r="NCU31" t="e">
        <v>#N/A</v>
      </c>
      <c r="NCV31" t="e">
        <v>#N/A</v>
      </c>
      <c r="NCW31" t="e">
        <v>#N/A</v>
      </c>
      <c r="NCX31" t="e">
        <v>#N/A</v>
      </c>
      <c r="NCY31" t="e">
        <v>#N/A</v>
      </c>
      <c r="NCZ31" t="e">
        <v>#N/A</v>
      </c>
      <c r="NDA31" t="e">
        <v>#N/A</v>
      </c>
      <c r="NDB31" t="e">
        <v>#N/A</v>
      </c>
      <c r="NDC31" t="e">
        <v>#N/A</v>
      </c>
      <c r="NDD31" t="e">
        <v>#N/A</v>
      </c>
      <c r="NDE31" t="e">
        <v>#N/A</v>
      </c>
      <c r="NDF31" t="e">
        <v>#N/A</v>
      </c>
      <c r="NDG31" t="e">
        <v>#N/A</v>
      </c>
      <c r="NDH31" t="e">
        <v>#N/A</v>
      </c>
      <c r="NDI31" t="e">
        <v>#N/A</v>
      </c>
      <c r="NDJ31" t="e">
        <v>#N/A</v>
      </c>
      <c r="NDK31" t="e">
        <v>#N/A</v>
      </c>
      <c r="NDL31" t="e">
        <v>#N/A</v>
      </c>
      <c r="NDM31" t="e">
        <v>#N/A</v>
      </c>
      <c r="NDN31" t="e">
        <v>#N/A</v>
      </c>
      <c r="NDO31" t="e">
        <v>#N/A</v>
      </c>
      <c r="NDP31" t="e">
        <v>#N/A</v>
      </c>
      <c r="NDQ31" t="e">
        <v>#N/A</v>
      </c>
      <c r="NDR31" t="e">
        <v>#N/A</v>
      </c>
      <c r="NDS31" t="e">
        <v>#N/A</v>
      </c>
      <c r="NDT31" t="e">
        <v>#N/A</v>
      </c>
      <c r="NDU31" t="e">
        <v>#N/A</v>
      </c>
      <c r="NDV31" t="e">
        <v>#N/A</v>
      </c>
      <c r="NDW31" t="e">
        <v>#N/A</v>
      </c>
      <c r="NDX31" t="e">
        <v>#N/A</v>
      </c>
      <c r="NDY31" t="e">
        <v>#N/A</v>
      </c>
      <c r="NDZ31" t="e">
        <v>#N/A</v>
      </c>
      <c r="NEA31" t="e">
        <v>#N/A</v>
      </c>
      <c r="NEB31" t="e">
        <v>#N/A</v>
      </c>
      <c r="NEC31" t="e">
        <v>#N/A</v>
      </c>
      <c r="NED31" t="e">
        <v>#N/A</v>
      </c>
      <c r="NEE31" t="e">
        <v>#N/A</v>
      </c>
      <c r="NEF31" t="e">
        <v>#N/A</v>
      </c>
      <c r="NEG31" t="e">
        <v>#N/A</v>
      </c>
      <c r="NEH31" t="e">
        <v>#N/A</v>
      </c>
      <c r="NEI31" t="e">
        <v>#N/A</v>
      </c>
      <c r="NEJ31" t="e">
        <v>#N/A</v>
      </c>
      <c r="NEK31" t="e">
        <v>#N/A</v>
      </c>
      <c r="NEL31" t="e">
        <v>#N/A</v>
      </c>
      <c r="NEM31" t="e">
        <v>#N/A</v>
      </c>
      <c r="NEN31" t="e">
        <v>#N/A</v>
      </c>
      <c r="NEO31" t="e">
        <v>#N/A</v>
      </c>
      <c r="NEP31" t="e">
        <v>#N/A</v>
      </c>
      <c r="NEQ31" t="e">
        <v>#N/A</v>
      </c>
      <c r="NER31" t="e">
        <v>#N/A</v>
      </c>
      <c r="NES31" t="e">
        <v>#N/A</v>
      </c>
      <c r="NET31" t="e">
        <v>#N/A</v>
      </c>
      <c r="NEU31" t="e">
        <v>#N/A</v>
      </c>
      <c r="NEV31" t="e">
        <v>#N/A</v>
      </c>
      <c r="NEW31" t="e">
        <v>#N/A</v>
      </c>
      <c r="NEX31" t="e">
        <v>#N/A</v>
      </c>
      <c r="NEY31" t="e">
        <v>#N/A</v>
      </c>
      <c r="NEZ31" t="e">
        <v>#N/A</v>
      </c>
      <c r="NFA31" t="e">
        <v>#N/A</v>
      </c>
      <c r="NFB31" t="e">
        <v>#N/A</v>
      </c>
      <c r="NFC31" t="e">
        <v>#N/A</v>
      </c>
      <c r="NFD31" t="e">
        <v>#N/A</v>
      </c>
      <c r="NFE31" t="e">
        <v>#N/A</v>
      </c>
      <c r="NFF31" t="e">
        <v>#N/A</v>
      </c>
      <c r="NFG31" t="e">
        <v>#N/A</v>
      </c>
      <c r="NFH31" t="e">
        <v>#N/A</v>
      </c>
      <c r="NFI31" t="e">
        <v>#N/A</v>
      </c>
      <c r="NFJ31" t="e">
        <v>#N/A</v>
      </c>
      <c r="NFK31" t="e">
        <v>#N/A</v>
      </c>
      <c r="NFL31" t="e">
        <v>#N/A</v>
      </c>
      <c r="NFM31" t="e">
        <v>#N/A</v>
      </c>
      <c r="NFN31" t="e">
        <v>#N/A</v>
      </c>
      <c r="NFO31" t="e">
        <v>#N/A</v>
      </c>
      <c r="NFP31" t="e">
        <v>#N/A</v>
      </c>
      <c r="NFQ31" t="e">
        <v>#N/A</v>
      </c>
      <c r="NFR31" t="e">
        <v>#N/A</v>
      </c>
      <c r="NFS31" t="e">
        <v>#N/A</v>
      </c>
      <c r="NFT31" t="e">
        <v>#N/A</v>
      </c>
      <c r="NFU31" t="e">
        <v>#N/A</v>
      </c>
      <c r="NFV31" t="e">
        <v>#N/A</v>
      </c>
      <c r="NFW31" t="e">
        <v>#N/A</v>
      </c>
      <c r="NFX31" t="e">
        <v>#N/A</v>
      </c>
      <c r="NFY31" t="e">
        <v>#N/A</v>
      </c>
      <c r="NFZ31" t="e">
        <v>#N/A</v>
      </c>
      <c r="NGA31" t="e">
        <v>#N/A</v>
      </c>
      <c r="NGB31" t="e">
        <v>#N/A</v>
      </c>
      <c r="NGC31" t="e">
        <v>#N/A</v>
      </c>
      <c r="NGD31" t="e">
        <v>#N/A</v>
      </c>
      <c r="NGE31" t="e">
        <v>#N/A</v>
      </c>
      <c r="NGF31" t="e">
        <v>#N/A</v>
      </c>
      <c r="NGG31" t="e">
        <v>#N/A</v>
      </c>
      <c r="NGH31" t="e">
        <v>#N/A</v>
      </c>
      <c r="NGI31" t="e">
        <v>#N/A</v>
      </c>
      <c r="NGJ31" t="e">
        <v>#N/A</v>
      </c>
      <c r="NGK31" t="e">
        <v>#N/A</v>
      </c>
      <c r="NGL31" t="e">
        <v>#N/A</v>
      </c>
      <c r="NGM31" t="e">
        <v>#N/A</v>
      </c>
      <c r="NGN31" t="e">
        <v>#N/A</v>
      </c>
      <c r="NGO31" t="e">
        <v>#N/A</v>
      </c>
      <c r="NGP31" t="e">
        <v>#N/A</v>
      </c>
      <c r="NGQ31" t="e">
        <v>#N/A</v>
      </c>
      <c r="NGR31" t="e">
        <v>#N/A</v>
      </c>
      <c r="NGS31" t="e">
        <v>#N/A</v>
      </c>
      <c r="NGT31" t="e">
        <v>#N/A</v>
      </c>
      <c r="NGU31" t="e">
        <v>#N/A</v>
      </c>
      <c r="NGV31" t="e">
        <v>#N/A</v>
      </c>
      <c r="NGW31" t="e">
        <v>#N/A</v>
      </c>
      <c r="NGX31" t="e">
        <v>#N/A</v>
      </c>
      <c r="NGY31" t="e">
        <v>#N/A</v>
      </c>
      <c r="NGZ31" t="e">
        <v>#N/A</v>
      </c>
      <c r="NHA31" t="e">
        <v>#N/A</v>
      </c>
      <c r="NHB31" t="e">
        <v>#N/A</v>
      </c>
      <c r="NHC31" t="e">
        <v>#N/A</v>
      </c>
      <c r="NHD31" t="e">
        <v>#N/A</v>
      </c>
      <c r="NHE31" t="e">
        <v>#N/A</v>
      </c>
      <c r="NHF31" t="e">
        <v>#N/A</v>
      </c>
      <c r="NHG31" t="e">
        <v>#N/A</v>
      </c>
      <c r="NHH31" t="e">
        <v>#N/A</v>
      </c>
      <c r="NHI31" t="e">
        <v>#N/A</v>
      </c>
      <c r="NHJ31" t="e">
        <v>#N/A</v>
      </c>
      <c r="NHK31" t="e">
        <v>#N/A</v>
      </c>
      <c r="NHL31" t="e">
        <v>#N/A</v>
      </c>
      <c r="NHM31" t="e">
        <v>#N/A</v>
      </c>
      <c r="NHN31" t="e">
        <v>#N/A</v>
      </c>
      <c r="NHO31" t="e">
        <v>#N/A</v>
      </c>
      <c r="NHP31" t="e">
        <v>#N/A</v>
      </c>
      <c r="NHQ31" t="e">
        <v>#N/A</v>
      </c>
      <c r="NHR31" t="e">
        <v>#N/A</v>
      </c>
      <c r="NHS31" t="e">
        <v>#N/A</v>
      </c>
      <c r="NHT31" t="e">
        <v>#N/A</v>
      </c>
      <c r="NHU31" t="e">
        <v>#N/A</v>
      </c>
      <c r="NHV31" t="e">
        <v>#N/A</v>
      </c>
      <c r="NHW31" t="e">
        <v>#N/A</v>
      </c>
      <c r="NHX31" t="e">
        <v>#N/A</v>
      </c>
      <c r="NHY31" t="e">
        <v>#N/A</v>
      </c>
      <c r="NHZ31" t="e">
        <v>#N/A</v>
      </c>
      <c r="NIA31" t="e">
        <v>#N/A</v>
      </c>
      <c r="NIB31" t="e">
        <v>#N/A</v>
      </c>
      <c r="NIC31" t="e">
        <v>#N/A</v>
      </c>
      <c r="NID31" t="e">
        <v>#N/A</v>
      </c>
      <c r="NIE31" t="e">
        <v>#N/A</v>
      </c>
      <c r="NIF31" t="e">
        <v>#N/A</v>
      </c>
      <c r="NIG31" t="e">
        <v>#N/A</v>
      </c>
      <c r="NIH31" t="e">
        <v>#N/A</v>
      </c>
      <c r="NII31" t="e">
        <v>#N/A</v>
      </c>
      <c r="NIJ31" t="e">
        <v>#N/A</v>
      </c>
      <c r="NIK31" t="e">
        <v>#N/A</v>
      </c>
      <c r="NIL31" t="e">
        <v>#N/A</v>
      </c>
      <c r="NIM31" t="e">
        <v>#N/A</v>
      </c>
      <c r="NIN31" t="e">
        <v>#N/A</v>
      </c>
      <c r="NIO31" t="e">
        <v>#N/A</v>
      </c>
      <c r="NIP31" t="e">
        <v>#N/A</v>
      </c>
      <c r="NIQ31" t="e">
        <v>#N/A</v>
      </c>
      <c r="NIR31" t="e">
        <v>#N/A</v>
      </c>
      <c r="NIS31" t="e">
        <v>#N/A</v>
      </c>
      <c r="NIT31" t="e">
        <v>#N/A</v>
      </c>
      <c r="NIU31" t="e">
        <v>#N/A</v>
      </c>
      <c r="NIV31" t="e">
        <v>#N/A</v>
      </c>
      <c r="NIW31" t="e">
        <v>#N/A</v>
      </c>
      <c r="NIX31" t="e">
        <v>#N/A</v>
      </c>
      <c r="NIY31" t="e">
        <v>#N/A</v>
      </c>
      <c r="NIZ31" t="e">
        <v>#N/A</v>
      </c>
      <c r="NJA31" t="e">
        <v>#N/A</v>
      </c>
      <c r="NJB31" t="e">
        <v>#N/A</v>
      </c>
      <c r="NJC31" t="e">
        <v>#N/A</v>
      </c>
      <c r="NJD31" t="e">
        <v>#N/A</v>
      </c>
      <c r="NJE31" t="e">
        <v>#N/A</v>
      </c>
      <c r="NJF31" t="e">
        <v>#N/A</v>
      </c>
      <c r="NJG31" t="e">
        <v>#N/A</v>
      </c>
      <c r="NJH31" t="e">
        <v>#N/A</v>
      </c>
      <c r="NJI31" t="e">
        <v>#N/A</v>
      </c>
      <c r="NJJ31" t="e">
        <v>#N/A</v>
      </c>
      <c r="NJK31" t="e">
        <v>#N/A</v>
      </c>
      <c r="NJL31" t="e">
        <v>#N/A</v>
      </c>
      <c r="NJM31" t="e">
        <v>#N/A</v>
      </c>
      <c r="NJN31" t="e">
        <v>#N/A</v>
      </c>
      <c r="NJO31" t="e">
        <v>#N/A</v>
      </c>
      <c r="NJP31" t="e">
        <v>#N/A</v>
      </c>
      <c r="NJQ31" t="e">
        <v>#N/A</v>
      </c>
      <c r="NJR31" t="e">
        <v>#N/A</v>
      </c>
      <c r="NJS31" t="e">
        <v>#N/A</v>
      </c>
      <c r="NJT31" t="e">
        <v>#N/A</v>
      </c>
      <c r="NJU31" t="e">
        <v>#N/A</v>
      </c>
      <c r="NJV31" t="e">
        <v>#N/A</v>
      </c>
      <c r="NJW31" t="e">
        <v>#N/A</v>
      </c>
      <c r="NJX31" t="e">
        <v>#N/A</v>
      </c>
      <c r="NJY31" t="e">
        <v>#N/A</v>
      </c>
      <c r="NJZ31" t="e">
        <v>#N/A</v>
      </c>
      <c r="NKA31" t="e">
        <v>#N/A</v>
      </c>
      <c r="NKB31" t="e">
        <v>#N/A</v>
      </c>
      <c r="NKC31" t="e">
        <v>#N/A</v>
      </c>
      <c r="NKD31" t="e">
        <v>#N/A</v>
      </c>
      <c r="NKE31" t="e">
        <v>#N/A</v>
      </c>
      <c r="NKF31" t="e">
        <v>#N/A</v>
      </c>
      <c r="NKG31" t="e">
        <v>#N/A</v>
      </c>
      <c r="NKH31" t="e">
        <v>#N/A</v>
      </c>
      <c r="NKI31" t="e">
        <v>#N/A</v>
      </c>
      <c r="NKJ31" t="e">
        <v>#N/A</v>
      </c>
      <c r="NKK31" t="e">
        <v>#N/A</v>
      </c>
      <c r="NKL31" t="e">
        <v>#N/A</v>
      </c>
      <c r="NKM31" t="e">
        <v>#N/A</v>
      </c>
      <c r="NKN31" t="e">
        <v>#N/A</v>
      </c>
      <c r="NKO31" t="e">
        <v>#N/A</v>
      </c>
      <c r="NKP31" t="e">
        <v>#N/A</v>
      </c>
      <c r="NKQ31" t="e">
        <v>#N/A</v>
      </c>
      <c r="NKR31" t="e">
        <v>#N/A</v>
      </c>
      <c r="NKS31" t="e">
        <v>#N/A</v>
      </c>
      <c r="NKT31" t="e">
        <v>#N/A</v>
      </c>
      <c r="NKU31" t="e">
        <v>#N/A</v>
      </c>
      <c r="NKV31" t="e">
        <v>#N/A</v>
      </c>
      <c r="NKW31" t="e">
        <v>#N/A</v>
      </c>
      <c r="NKX31" t="e">
        <v>#N/A</v>
      </c>
      <c r="NKY31" t="e">
        <v>#N/A</v>
      </c>
      <c r="NKZ31" t="e">
        <v>#N/A</v>
      </c>
      <c r="NLA31" t="e">
        <v>#N/A</v>
      </c>
      <c r="NLB31" t="e">
        <v>#N/A</v>
      </c>
      <c r="NLC31" t="e">
        <v>#N/A</v>
      </c>
      <c r="NLD31" t="e">
        <v>#N/A</v>
      </c>
      <c r="NLE31" t="e">
        <v>#N/A</v>
      </c>
      <c r="NLF31" t="e">
        <v>#N/A</v>
      </c>
      <c r="NLG31" t="e">
        <v>#N/A</v>
      </c>
      <c r="NLH31" t="e">
        <v>#N/A</v>
      </c>
      <c r="NLI31" t="e">
        <v>#N/A</v>
      </c>
      <c r="NLJ31" t="e">
        <v>#N/A</v>
      </c>
      <c r="NLK31" t="e">
        <v>#N/A</v>
      </c>
      <c r="NLL31" t="e">
        <v>#N/A</v>
      </c>
      <c r="NLM31" t="e">
        <v>#N/A</v>
      </c>
      <c r="NLN31" t="e">
        <v>#N/A</v>
      </c>
      <c r="NLO31" t="e">
        <v>#N/A</v>
      </c>
      <c r="NLP31" t="e">
        <v>#N/A</v>
      </c>
      <c r="NLQ31" t="e">
        <v>#N/A</v>
      </c>
      <c r="NLR31" t="e">
        <v>#N/A</v>
      </c>
      <c r="NLS31" t="e">
        <v>#N/A</v>
      </c>
      <c r="NLT31" t="e">
        <v>#N/A</v>
      </c>
      <c r="NLU31" t="e">
        <v>#N/A</v>
      </c>
      <c r="NLV31" t="e">
        <v>#N/A</v>
      </c>
      <c r="NLW31" t="e">
        <v>#N/A</v>
      </c>
      <c r="NLX31" t="e">
        <v>#N/A</v>
      </c>
      <c r="NLY31" t="e">
        <v>#N/A</v>
      </c>
      <c r="NLZ31" t="e">
        <v>#N/A</v>
      </c>
      <c r="NMA31" t="e">
        <v>#N/A</v>
      </c>
      <c r="NMB31" t="e">
        <v>#N/A</v>
      </c>
      <c r="NMC31" t="e">
        <v>#N/A</v>
      </c>
      <c r="NMD31" t="e">
        <v>#N/A</v>
      </c>
      <c r="NME31" t="e">
        <v>#N/A</v>
      </c>
      <c r="NMF31" t="e">
        <v>#N/A</v>
      </c>
      <c r="NMG31" t="e">
        <v>#N/A</v>
      </c>
      <c r="NMH31" t="e">
        <v>#N/A</v>
      </c>
      <c r="NMI31" t="e">
        <v>#N/A</v>
      </c>
      <c r="NMJ31" t="e">
        <v>#N/A</v>
      </c>
      <c r="NMK31" t="e">
        <v>#N/A</v>
      </c>
      <c r="NML31" t="e">
        <v>#N/A</v>
      </c>
      <c r="NMM31" t="e">
        <v>#N/A</v>
      </c>
      <c r="NMN31" t="e">
        <v>#N/A</v>
      </c>
      <c r="NMO31" t="e">
        <v>#N/A</v>
      </c>
      <c r="NMP31" t="e">
        <v>#N/A</v>
      </c>
      <c r="NMQ31" t="e">
        <v>#N/A</v>
      </c>
      <c r="NMR31" t="e">
        <v>#N/A</v>
      </c>
      <c r="NMS31" t="e">
        <v>#N/A</v>
      </c>
      <c r="NMT31" t="e">
        <v>#N/A</v>
      </c>
      <c r="NMU31" t="e">
        <v>#N/A</v>
      </c>
      <c r="NMV31" t="e">
        <v>#N/A</v>
      </c>
      <c r="NMW31" t="e">
        <v>#N/A</v>
      </c>
      <c r="NMX31" t="e">
        <v>#N/A</v>
      </c>
      <c r="NMY31" t="e">
        <v>#N/A</v>
      </c>
      <c r="NMZ31" t="e">
        <v>#N/A</v>
      </c>
      <c r="NNA31" t="e">
        <v>#N/A</v>
      </c>
      <c r="NNB31" t="e">
        <v>#N/A</v>
      </c>
      <c r="NNC31" t="e">
        <v>#N/A</v>
      </c>
      <c r="NND31" t="e">
        <v>#N/A</v>
      </c>
      <c r="NNE31" t="e">
        <v>#N/A</v>
      </c>
      <c r="NNF31" t="e">
        <v>#N/A</v>
      </c>
      <c r="NNG31" t="e">
        <v>#N/A</v>
      </c>
      <c r="NNH31" t="e">
        <v>#N/A</v>
      </c>
      <c r="NNI31" t="e">
        <v>#N/A</v>
      </c>
      <c r="NNJ31" t="e">
        <v>#N/A</v>
      </c>
      <c r="NNK31" t="e">
        <v>#N/A</v>
      </c>
      <c r="NNL31" t="e">
        <v>#N/A</v>
      </c>
      <c r="NNM31" t="e">
        <v>#N/A</v>
      </c>
      <c r="NNN31" t="e">
        <v>#N/A</v>
      </c>
      <c r="NNO31" t="e">
        <v>#N/A</v>
      </c>
      <c r="NNP31" t="e">
        <v>#N/A</v>
      </c>
      <c r="NNQ31" t="e">
        <v>#N/A</v>
      </c>
      <c r="NNR31" t="e">
        <v>#N/A</v>
      </c>
      <c r="NNS31" t="e">
        <v>#N/A</v>
      </c>
      <c r="NNT31" t="e">
        <v>#N/A</v>
      </c>
      <c r="NNU31" t="e">
        <v>#N/A</v>
      </c>
      <c r="NNV31" t="e">
        <v>#N/A</v>
      </c>
      <c r="NNW31" t="e">
        <v>#N/A</v>
      </c>
      <c r="NNX31" t="e">
        <v>#N/A</v>
      </c>
      <c r="NNY31" t="e">
        <v>#N/A</v>
      </c>
      <c r="NNZ31" t="e">
        <v>#N/A</v>
      </c>
      <c r="NOA31" t="e">
        <v>#N/A</v>
      </c>
      <c r="NOB31" t="e">
        <v>#N/A</v>
      </c>
      <c r="NOC31" t="e">
        <v>#N/A</v>
      </c>
      <c r="NOD31" t="e">
        <v>#N/A</v>
      </c>
      <c r="NOE31" t="e">
        <v>#N/A</v>
      </c>
      <c r="NOF31" t="e">
        <v>#N/A</v>
      </c>
      <c r="NOG31" t="e">
        <v>#N/A</v>
      </c>
      <c r="NOH31" t="e">
        <v>#N/A</v>
      </c>
      <c r="NOI31" t="e">
        <v>#N/A</v>
      </c>
      <c r="NOJ31" t="e">
        <v>#N/A</v>
      </c>
      <c r="NOK31" t="e">
        <v>#N/A</v>
      </c>
      <c r="NOL31" t="e">
        <v>#N/A</v>
      </c>
      <c r="NOM31" t="e">
        <v>#N/A</v>
      </c>
      <c r="NON31" t="e">
        <v>#N/A</v>
      </c>
      <c r="NOO31" t="e">
        <v>#N/A</v>
      </c>
      <c r="NOP31" t="e">
        <v>#N/A</v>
      </c>
      <c r="NOQ31" t="e">
        <v>#N/A</v>
      </c>
      <c r="NOR31" t="e">
        <v>#N/A</v>
      </c>
      <c r="NOS31" t="e">
        <v>#N/A</v>
      </c>
      <c r="NOT31" t="e">
        <v>#N/A</v>
      </c>
      <c r="NOU31" t="e">
        <v>#N/A</v>
      </c>
      <c r="NOV31" t="e">
        <v>#N/A</v>
      </c>
      <c r="NOW31" t="e">
        <v>#N/A</v>
      </c>
      <c r="NOX31" t="e">
        <v>#N/A</v>
      </c>
      <c r="NOY31" t="e">
        <v>#N/A</v>
      </c>
      <c r="NOZ31" t="e">
        <v>#N/A</v>
      </c>
      <c r="NPA31" t="e">
        <v>#N/A</v>
      </c>
      <c r="NPB31" t="e">
        <v>#N/A</v>
      </c>
      <c r="NPC31" t="e">
        <v>#N/A</v>
      </c>
      <c r="NPD31" t="e">
        <v>#N/A</v>
      </c>
      <c r="NPE31" t="e">
        <v>#N/A</v>
      </c>
      <c r="NPF31" t="e">
        <v>#N/A</v>
      </c>
      <c r="NPG31" t="e">
        <v>#N/A</v>
      </c>
      <c r="NPH31" t="e">
        <v>#N/A</v>
      </c>
      <c r="NPI31" t="e">
        <v>#N/A</v>
      </c>
      <c r="NPJ31" t="e">
        <v>#N/A</v>
      </c>
      <c r="NPK31" t="e">
        <v>#N/A</v>
      </c>
      <c r="NPL31" t="e">
        <v>#N/A</v>
      </c>
      <c r="NPM31" t="e">
        <v>#N/A</v>
      </c>
      <c r="NPN31" t="e">
        <v>#N/A</v>
      </c>
      <c r="NPO31" t="e">
        <v>#N/A</v>
      </c>
      <c r="NPP31" t="e">
        <v>#N/A</v>
      </c>
      <c r="NPQ31" t="e">
        <v>#N/A</v>
      </c>
      <c r="NPR31" t="e">
        <v>#N/A</v>
      </c>
      <c r="NPS31" t="e">
        <v>#N/A</v>
      </c>
      <c r="NPT31" t="e">
        <v>#N/A</v>
      </c>
      <c r="NPU31" t="e">
        <v>#N/A</v>
      </c>
      <c r="NPV31" t="e">
        <v>#N/A</v>
      </c>
      <c r="NPW31" t="e">
        <v>#N/A</v>
      </c>
      <c r="NPX31" t="e">
        <v>#N/A</v>
      </c>
      <c r="NPY31" t="e">
        <v>#N/A</v>
      </c>
      <c r="NPZ31" t="e">
        <v>#N/A</v>
      </c>
      <c r="NQA31" t="e">
        <v>#N/A</v>
      </c>
      <c r="NQB31" t="e">
        <v>#N/A</v>
      </c>
      <c r="NQC31" t="e">
        <v>#N/A</v>
      </c>
      <c r="NQD31" t="e">
        <v>#N/A</v>
      </c>
      <c r="NQE31" t="e">
        <v>#N/A</v>
      </c>
      <c r="NQF31" t="e">
        <v>#N/A</v>
      </c>
      <c r="NQG31" t="e">
        <v>#N/A</v>
      </c>
      <c r="NQH31" t="e">
        <v>#N/A</v>
      </c>
      <c r="NQI31" t="e">
        <v>#N/A</v>
      </c>
      <c r="NQJ31" t="e">
        <v>#N/A</v>
      </c>
      <c r="NQK31" t="e">
        <v>#N/A</v>
      </c>
      <c r="NQL31" t="e">
        <v>#N/A</v>
      </c>
      <c r="NQM31" t="e">
        <v>#N/A</v>
      </c>
      <c r="NQN31" t="e">
        <v>#N/A</v>
      </c>
      <c r="NQO31" t="e">
        <v>#N/A</v>
      </c>
      <c r="NQP31" t="e">
        <v>#N/A</v>
      </c>
      <c r="NQQ31" t="e">
        <v>#N/A</v>
      </c>
      <c r="NQR31" t="e">
        <v>#N/A</v>
      </c>
      <c r="NQS31" t="e">
        <v>#N/A</v>
      </c>
      <c r="NQT31" t="e">
        <v>#N/A</v>
      </c>
      <c r="NQU31" t="e">
        <v>#N/A</v>
      </c>
      <c r="NQV31" t="e">
        <v>#N/A</v>
      </c>
      <c r="NQW31" t="e">
        <v>#N/A</v>
      </c>
      <c r="NQX31" t="e">
        <v>#N/A</v>
      </c>
      <c r="NQY31" t="e">
        <v>#N/A</v>
      </c>
      <c r="NQZ31" t="e">
        <v>#N/A</v>
      </c>
      <c r="NRA31" t="e">
        <v>#N/A</v>
      </c>
      <c r="NRB31" t="e">
        <v>#N/A</v>
      </c>
      <c r="NRC31" t="e">
        <v>#N/A</v>
      </c>
      <c r="NRD31" t="e">
        <v>#N/A</v>
      </c>
      <c r="NRE31" t="e">
        <v>#N/A</v>
      </c>
      <c r="NRF31" t="e">
        <v>#N/A</v>
      </c>
      <c r="NRG31" t="e">
        <v>#N/A</v>
      </c>
      <c r="NRH31" t="e">
        <v>#N/A</v>
      </c>
      <c r="NRI31" t="e">
        <v>#N/A</v>
      </c>
      <c r="NRJ31" t="e">
        <v>#N/A</v>
      </c>
      <c r="NRK31" t="e">
        <v>#N/A</v>
      </c>
      <c r="NRL31" t="e">
        <v>#N/A</v>
      </c>
      <c r="NRM31" t="e">
        <v>#N/A</v>
      </c>
      <c r="NRN31" t="e">
        <v>#N/A</v>
      </c>
      <c r="NRO31" t="e">
        <v>#N/A</v>
      </c>
      <c r="NRP31" t="e">
        <v>#N/A</v>
      </c>
      <c r="NRQ31" t="e">
        <v>#N/A</v>
      </c>
      <c r="NRR31" t="e">
        <v>#N/A</v>
      </c>
      <c r="NRS31" t="e">
        <v>#N/A</v>
      </c>
      <c r="NRT31" t="e">
        <v>#N/A</v>
      </c>
      <c r="NRU31" t="e">
        <v>#N/A</v>
      </c>
      <c r="NRV31" t="e">
        <v>#N/A</v>
      </c>
      <c r="NRW31" t="e">
        <v>#N/A</v>
      </c>
      <c r="NRX31" t="e">
        <v>#N/A</v>
      </c>
      <c r="NRY31" t="e">
        <v>#N/A</v>
      </c>
      <c r="NRZ31" t="e">
        <v>#N/A</v>
      </c>
      <c r="NSA31" t="e">
        <v>#N/A</v>
      </c>
      <c r="NSB31" t="e">
        <v>#N/A</v>
      </c>
      <c r="NSC31" t="e">
        <v>#N/A</v>
      </c>
      <c r="NSD31" t="e">
        <v>#N/A</v>
      </c>
      <c r="NSE31" t="e">
        <v>#N/A</v>
      </c>
      <c r="NSF31" t="e">
        <v>#N/A</v>
      </c>
      <c r="NSG31" t="e">
        <v>#N/A</v>
      </c>
      <c r="NSH31" t="e">
        <v>#N/A</v>
      </c>
      <c r="NSI31" t="e">
        <v>#N/A</v>
      </c>
      <c r="NSJ31" t="e">
        <v>#N/A</v>
      </c>
      <c r="NSK31" t="e">
        <v>#N/A</v>
      </c>
      <c r="NSL31" t="e">
        <v>#N/A</v>
      </c>
      <c r="NSM31" t="e">
        <v>#N/A</v>
      </c>
      <c r="NSN31" t="e">
        <v>#N/A</v>
      </c>
      <c r="NSO31" t="e">
        <v>#N/A</v>
      </c>
      <c r="NSP31" t="e">
        <v>#N/A</v>
      </c>
      <c r="NSQ31" t="e">
        <v>#N/A</v>
      </c>
      <c r="NSR31" t="e">
        <v>#N/A</v>
      </c>
      <c r="NSS31" t="e">
        <v>#N/A</v>
      </c>
      <c r="NST31" t="e">
        <v>#N/A</v>
      </c>
      <c r="NSU31" t="e">
        <v>#N/A</v>
      </c>
      <c r="NSV31" t="e">
        <v>#N/A</v>
      </c>
      <c r="NSW31" t="e">
        <v>#N/A</v>
      </c>
      <c r="NSX31" t="e">
        <v>#N/A</v>
      </c>
      <c r="NSY31" t="e">
        <v>#N/A</v>
      </c>
      <c r="NSZ31" t="e">
        <v>#N/A</v>
      </c>
      <c r="NTA31" t="e">
        <v>#N/A</v>
      </c>
      <c r="NTB31" t="e">
        <v>#N/A</v>
      </c>
      <c r="NTC31" t="e">
        <v>#N/A</v>
      </c>
      <c r="NTD31" t="e">
        <v>#N/A</v>
      </c>
      <c r="NTE31" t="e">
        <v>#N/A</v>
      </c>
      <c r="NTF31" t="e">
        <v>#N/A</v>
      </c>
      <c r="NTG31" t="e">
        <v>#N/A</v>
      </c>
      <c r="NTH31" t="e">
        <v>#N/A</v>
      </c>
      <c r="NTI31" t="e">
        <v>#N/A</v>
      </c>
      <c r="NTJ31" t="e">
        <v>#N/A</v>
      </c>
      <c r="NTK31" t="e">
        <v>#N/A</v>
      </c>
      <c r="NTL31" t="e">
        <v>#N/A</v>
      </c>
      <c r="NTM31" t="e">
        <v>#N/A</v>
      </c>
      <c r="NTN31" t="e">
        <v>#N/A</v>
      </c>
      <c r="NTO31" t="e">
        <v>#N/A</v>
      </c>
      <c r="NTP31" t="e">
        <v>#N/A</v>
      </c>
      <c r="NTQ31" t="e">
        <v>#N/A</v>
      </c>
      <c r="NTR31" t="e">
        <v>#N/A</v>
      </c>
      <c r="NTS31" t="e">
        <v>#N/A</v>
      </c>
      <c r="NTT31" t="e">
        <v>#N/A</v>
      </c>
      <c r="NTU31" t="e">
        <v>#N/A</v>
      </c>
      <c r="NTV31" t="e">
        <v>#N/A</v>
      </c>
      <c r="NTW31" t="e">
        <v>#N/A</v>
      </c>
      <c r="NTX31" t="e">
        <v>#N/A</v>
      </c>
      <c r="NTY31" t="e">
        <v>#N/A</v>
      </c>
      <c r="NTZ31" t="e">
        <v>#N/A</v>
      </c>
      <c r="NUA31" t="e">
        <v>#N/A</v>
      </c>
      <c r="NUB31" t="e">
        <v>#N/A</v>
      </c>
      <c r="NUC31" t="e">
        <v>#N/A</v>
      </c>
      <c r="NUD31" t="e">
        <v>#N/A</v>
      </c>
      <c r="NUE31" t="e">
        <v>#N/A</v>
      </c>
      <c r="NUF31" t="e">
        <v>#N/A</v>
      </c>
      <c r="NUG31" t="e">
        <v>#N/A</v>
      </c>
      <c r="NUH31" t="e">
        <v>#N/A</v>
      </c>
      <c r="NUI31" t="e">
        <v>#N/A</v>
      </c>
      <c r="NUJ31" t="e">
        <v>#N/A</v>
      </c>
      <c r="NUK31" t="e">
        <v>#N/A</v>
      </c>
      <c r="NUL31" t="e">
        <v>#N/A</v>
      </c>
      <c r="NUM31" t="e">
        <v>#N/A</v>
      </c>
      <c r="NUN31" t="e">
        <v>#N/A</v>
      </c>
      <c r="NUO31" t="e">
        <v>#N/A</v>
      </c>
      <c r="NUP31" t="e">
        <v>#N/A</v>
      </c>
      <c r="NUQ31" t="e">
        <v>#N/A</v>
      </c>
      <c r="NUR31" t="e">
        <v>#N/A</v>
      </c>
      <c r="NUS31" t="e">
        <v>#N/A</v>
      </c>
      <c r="NUT31" t="e">
        <v>#N/A</v>
      </c>
      <c r="NUU31" t="e">
        <v>#N/A</v>
      </c>
      <c r="NUV31" t="e">
        <v>#N/A</v>
      </c>
      <c r="NUW31" t="e">
        <v>#N/A</v>
      </c>
      <c r="NUX31" t="e">
        <v>#N/A</v>
      </c>
      <c r="NUY31" t="e">
        <v>#N/A</v>
      </c>
      <c r="NUZ31" t="e">
        <v>#N/A</v>
      </c>
      <c r="NVA31" t="e">
        <v>#N/A</v>
      </c>
      <c r="NVB31" t="e">
        <v>#N/A</v>
      </c>
      <c r="NVC31" t="e">
        <v>#N/A</v>
      </c>
      <c r="NVD31" t="e">
        <v>#N/A</v>
      </c>
      <c r="NVE31" t="e">
        <v>#N/A</v>
      </c>
      <c r="NVF31" t="e">
        <v>#N/A</v>
      </c>
      <c r="NVG31" t="e">
        <v>#N/A</v>
      </c>
      <c r="NVH31" t="e">
        <v>#N/A</v>
      </c>
      <c r="NVI31" t="e">
        <v>#N/A</v>
      </c>
      <c r="NVJ31" t="e">
        <v>#N/A</v>
      </c>
      <c r="NVK31" t="e">
        <v>#N/A</v>
      </c>
      <c r="NVL31" t="e">
        <v>#N/A</v>
      </c>
      <c r="NVM31" t="e">
        <v>#N/A</v>
      </c>
      <c r="NVN31" t="e">
        <v>#N/A</v>
      </c>
      <c r="NVO31" t="e">
        <v>#N/A</v>
      </c>
      <c r="NVP31" t="e">
        <v>#N/A</v>
      </c>
      <c r="NVQ31" t="e">
        <v>#N/A</v>
      </c>
      <c r="NVR31" t="e">
        <v>#N/A</v>
      </c>
      <c r="NVS31" t="e">
        <v>#N/A</v>
      </c>
      <c r="NVT31" t="e">
        <v>#N/A</v>
      </c>
      <c r="NVU31" t="e">
        <v>#N/A</v>
      </c>
      <c r="NVV31" t="e">
        <v>#N/A</v>
      </c>
      <c r="NVW31" t="e">
        <v>#N/A</v>
      </c>
      <c r="NVX31" t="e">
        <v>#N/A</v>
      </c>
      <c r="NVY31" t="e">
        <v>#N/A</v>
      </c>
      <c r="NVZ31" t="e">
        <v>#N/A</v>
      </c>
      <c r="NWA31" t="e">
        <v>#N/A</v>
      </c>
      <c r="NWB31" t="e">
        <v>#N/A</v>
      </c>
      <c r="NWC31" t="e">
        <v>#N/A</v>
      </c>
      <c r="NWD31" t="e">
        <v>#N/A</v>
      </c>
      <c r="NWE31" t="e">
        <v>#N/A</v>
      </c>
      <c r="NWF31" t="e">
        <v>#N/A</v>
      </c>
      <c r="NWG31" t="e">
        <v>#N/A</v>
      </c>
      <c r="NWH31" t="e">
        <v>#N/A</v>
      </c>
      <c r="NWI31" t="e">
        <v>#N/A</v>
      </c>
      <c r="NWJ31" t="e">
        <v>#N/A</v>
      </c>
      <c r="NWK31" t="e">
        <v>#N/A</v>
      </c>
      <c r="NWL31" t="e">
        <v>#N/A</v>
      </c>
      <c r="NWM31" t="e">
        <v>#N/A</v>
      </c>
      <c r="NWN31" t="e">
        <v>#N/A</v>
      </c>
      <c r="NWO31" t="e">
        <v>#N/A</v>
      </c>
      <c r="NWP31" t="e">
        <v>#N/A</v>
      </c>
      <c r="NWQ31" t="e">
        <v>#N/A</v>
      </c>
      <c r="NWR31" t="e">
        <v>#N/A</v>
      </c>
      <c r="NWS31" t="e">
        <v>#N/A</v>
      </c>
      <c r="NWT31" t="e">
        <v>#N/A</v>
      </c>
      <c r="NWU31" t="e">
        <v>#N/A</v>
      </c>
      <c r="NWV31" t="e">
        <v>#N/A</v>
      </c>
      <c r="NWW31" t="e">
        <v>#N/A</v>
      </c>
      <c r="NWX31" t="e">
        <v>#N/A</v>
      </c>
      <c r="NWY31" t="e">
        <v>#N/A</v>
      </c>
      <c r="NWZ31" t="e">
        <v>#N/A</v>
      </c>
      <c r="NXA31" t="e">
        <v>#N/A</v>
      </c>
      <c r="NXB31" t="e">
        <v>#N/A</v>
      </c>
      <c r="NXC31" t="e">
        <v>#N/A</v>
      </c>
      <c r="NXD31" t="e">
        <v>#N/A</v>
      </c>
      <c r="NXE31" t="e">
        <v>#N/A</v>
      </c>
      <c r="NXF31" t="e">
        <v>#N/A</v>
      </c>
      <c r="NXG31" t="e">
        <v>#N/A</v>
      </c>
      <c r="NXH31" t="e">
        <v>#N/A</v>
      </c>
      <c r="NXI31" t="e">
        <v>#N/A</v>
      </c>
      <c r="NXJ31" t="e">
        <v>#N/A</v>
      </c>
      <c r="NXK31" t="e">
        <v>#N/A</v>
      </c>
      <c r="NXL31" t="e">
        <v>#N/A</v>
      </c>
      <c r="NXM31" t="e">
        <v>#N/A</v>
      </c>
      <c r="NXN31" t="e">
        <v>#N/A</v>
      </c>
      <c r="NXO31" t="e">
        <v>#N/A</v>
      </c>
      <c r="NXP31" t="e">
        <v>#N/A</v>
      </c>
      <c r="NXQ31" t="e">
        <v>#N/A</v>
      </c>
      <c r="NXR31" t="e">
        <v>#N/A</v>
      </c>
      <c r="NXS31" t="e">
        <v>#N/A</v>
      </c>
      <c r="NXT31" t="e">
        <v>#N/A</v>
      </c>
      <c r="NXU31" t="e">
        <v>#N/A</v>
      </c>
      <c r="NXV31" t="e">
        <v>#N/A</v>
      </c>
      <c r="NXW31" t="e">
        <v>#N/A</v>
      </c>
      <c r="NXX31" t="e">
        <v>#N/A</v>
      </c>
      <c r="NXY31" t="e">
        <v>#N/A</v>
      </c>
      <c r="NXZ31" t="e">
        <v>#N/A</v>
      </c>
      <c r="NYA31" t="e">
        <v>#N/A</v>
      </c>
      <c r="NYB31" t="e">
        <v>#N/A</v>
      </c>
      <c r="NYC31" t="e">
        <v>#N/A</v>
      </c>
      <c r="NYD31" t="e">
        <v>#N/A</v>
      </c>
      <c r="NYE31" t="e">
        <v>#N/A</v>
      </c>
      <c r="NYF31" t="e">
        <v>#N/A</v>
      </c>
      <c r="NYG31" t="e">
        <v>#N/A</v>
      </c>
      <c r="NYH31" t="e">
        <v>#N/A</v>
      </c>
      <c r="NYI31" t="e">
        <v>#N/A</v>
      </c>
      <c r="NYJ31" t="e">
        <v>#N/A</v>
      </c>
      <c r="NYK31" t="e">
        <v>#N/A</v>
      </c>
      <c r="NYL31" t="e">
        <v>#N/A</v>
      </c>
      <c r="NYM31" t="e">
        <v>#N/A</v>
      </c>
      <c r="NYN31" t="e">
        <v>#N/A</v>
      </c>
      <c r="NYO31" t="e">
        <v>#N/A</v>
      </c>
      <c r="NYP31" t="e">
        <v>#N/A</v>
      </c>
      <c r="NYQ31" t="e">
        <v>#N/A</v>
      </c>
      <c r="NYR31" t="e">
        <v>#N/A</v>
      </c>
      <c r="NYS31" t="e">
        <v>#N/A</v>
      </c>
      <c r="NYT31" t="e">
        <v>#N/A</v>
      </c>
      <c r="NYU31" t="e">
        <v>#N/A</v>
      </c>
      <c r="NYV31" t="e">
        <v>#N/A</v>
      </c>
      <c r="NYW31" t="e">
        <v>#N/A</v>
      </c>
      <c r="NYX31" t="e">
        <v>#N/A</v>
      </c>
      <c r="NYY31" t="e">
        <v>#N/A</v>
      </c>
      <c r="NYZ31" t="e">
        <v>#N/A</v>
      </c>
      <c r="NZA31" t="e">
        <v>#N/A</v>
      </c>
      <c r="NZB31" t="e">
        <v>#N/A</v>
      </c>
      <c r="NZC31" t="e">
        <v>#N/A</v>
      </c>
      <c r="NZD31" t="e">
        <v>#N/A</v>
      </c>
      <c r="NZE31" t="e">
        <v>#N/A</v>
      </c>
      <c r="NZF31" t="e">
        <v>#N/A</v>
      </c>
      <c r="NZG31" t="e">
        <v>#N/A</v>
      </c>
      <c r="NZH31" t="e">
        <v>#N/A</v>
      </c>
      <c r="NZI31" t="e">
        <v>#N/A</v>
      </c>
      <c r="NZJ31" t="e">
        <v>#N/A</v>
      </c>
      <c r="NZK31" t="e">
        <v>#N/A</v>
      </c>
      <c r="NZL31" t="e">
        <v>#N/A</v>
      </c>
      <c r="NZM31" t="e">
        <v>#N/A</v>
      </c>
      <c r="NZN31" t="e">
        <v>#N/A</v>
      </c>
      <c r="NZO31" t="e">
        <v>#N/A</v>
      </c>
      <c r="NZP31" t="e">
        <v>#N/A</v>
      </c>
      <c r="NZQ31" t="e">
        <v>#N/A</v>
      </c>
      <c r="NZR31" t="e">
        <v>#N/A</v>
      </c>
      <c r="NZS31" t="e">
        <v>#N/A</v>
      </c>
      <c r="NZT31" t="e">
        <v>#N/A</v>
      </c>
      <c r="NZU31" t="e">
        <v>#N/A</v>
      </c>
      <c r="NZV31" t="e">
        <v>#N/A</v>
      </c>
      <c r="NZW31" t="e">
        <v>#N/A</v>
      </c>
      <c r="NZX31" t="e">
        <v>#N/A</v>
      </c>
      <c r="NZY31" t="e">
        <v>#N/A</v>
      </c>
      <c r="NZZ31" t="e">
        <v>#N/A</v>
      </c>
      <c r="OAA31" t="e">
        <v>#N/A</v>
      </c>
      <c r="OAB31" t="e">
        <v>#N/A</v>
      </c>
      <c r="OAC31" t="e">
        <v>#N/A</v>
      </c>
      <c r="OAD31" t="e">
        <v>#N/A</v>
      </c>
      <c r="OAE31" t="e">
        <v>#N/A</v>
      </c>
      <c r="OAF31" t="e">
        <v>#N/A</v>
      </c>
      <c r="OAG31" t="e">
        <v>#N/A</v>
      </c>
      <c r="OAH31" t="e">
        <v>#N/A</v>
      </c>
      <c r="OAI31" t="e">
        <v>#N/A</v>
      </c>
      <c r="OAJ31" t="e">
        <v>#N/A</v>
      </c>
      <c r="OAK31" t="e">
        <v>#N/A</v>
      </c>
      <c r="OAL31" t="e">
        <v>#N/A</v>
      </c>
      <c r="OAM31" t="e">
        <v>#N/A</v>
      </c>
      <c r="OAN31" t="e">
        <v>#N/A</v>
      </c>
      <c r="OAO31" t="e">
        <v>#N/A</v>
      </c>
      <c r="OAP31" t="e">
        <v>#N/A</v>
      </c>
      <c r="OAQ31" t="e">
        <v>#N/A</v>
      </c>
      <c r="OAR31" t="e">
        <v>#N/A</v>
      </c>
      <c r="OAS31" t="e">
        <v>#N/A</v>
      </c>
      <c r="OAT31" t="e">
        <v>#N/A</v>
      </c>
      <c r="OAU31" t="e">
        <v>#N/A</v>
      </c>
      <c r="OAV31" t="e">
        <v>#N/A</v>
      </c>
      <c r="OAW31" t="e">
        <v>#N/A</v>
      </c>
      <c r="OAX31" t="e">
        <v>#N/A</v>
      </c>
      <c r="OAY31" t="e">
        <v>#N/A</v>
      </c>
      <c r="OAZ31" t="e">
        <v>#N/A</v>
      </c>
      <c r="OBA31" t="e">
        <v>#N/A</v>
      </c>
      <c r="OBB31" t="e">
        <v>#N/A</v>
      </c>
      <c r="OBC31" t="e">
        <v>#N/A</v>
      </c>
      <c r="OBD31" t="e">
        <v>#N/A</v>
      </c>
      <c r="OBE31" t="e">
        <v>#N/A</v>
      </c>
      <c r="OBF31" t="e">
        <v>#N/A</v>
      </c>
      <c r="OBG31" t="e">
        <v>#N/A</v>
      </c>
      <c r="OBH31" t="e">
        <v>#N/A</v>
      </c>
      <c r="OBI31" t="e">
        <v>#N/A</v>
      </c>
      <c r="OBJ31" t="e">
        <v>#N/A</v>
      </c>
      <c r="OBK31" t="e">
        <v>#N/A</v>
      </c>
      <c r="OBL31" t="e">
        <v>#N/A</v>
      </c>
      <c r="OBM31" t="e">
        <v>#N/A</v>
      </c>
      <c r="OBN31" t="e">
        <v>#N/A</v>
      </c>
      <c r="OBO31" t="e">
        <v>#N/A</v>
      </c>
      <c r="OBP31" t="e">
        <v>#N/A</v>
      </c>
      <c r="OBQ31" t="e">
        <v>#N/A</v>
      </c>
      <c r="OBR31" t="e">
        <v>#N/A</v>
      </c>
      <c r="OBS31" t="e">
        <v>#N/A</v>
      </c>
      <c r="OBT31" t="e">
        <v>#N/A</v>
      </c>
      <c r="OBU31" t="e">
        <v>#N/A</v>
      </c>
      <c r="OBV31" t="e">
        <v>#N/A</v>
      </c>
      <c r="OBW31" t="e">
        <v>#N/A</v>
      </c>
      <c r="OBX31" t="e">
        <v>#N/A</v>
      </c>
      <c r="OBY31" t="e">
        <v>#N/A</v>
      </c>
      <c r="OBZ31" t="e">
        <v>#N/A</v>
      </c>
      <c r="OCA31" t="e">
        <v>#N/A</v>
      </c>
      <c r="OCB31" t="e">
        <v>#N/A</v>
      </c>
      <c r="OCC31" t="e">
        <v>#N/A</v>
      </c>
      <c r="OCD31" t="e">
        <v>#N/A</v>
      </c>
      <c r="OCE31" t="e">
        <v>#N/A</v>
      </c>
      <c r="OCF31" t="e">
        <v>#N/A</v>
      </c>
      <c r="OCG31" t="e">
        <v>#N/A</v>
      </c>
      <c r="OCH31" t="e">
        <v>#N/A</v>
      </c>
      <c r="OCI31" t="e">
        <v>#N/A</v>
      </c>
      <c r="OCJ31" t="e">
        <v>#N/A</v>
      </c>
      <c r="OCK31" t="e">
        <v>#N/A</v>
      </c>
      <c r="OCL31" t="e">
        <v>#N/A</v>
      </c>
      <c r="OCM31" t="e">
        <v>#N/A</v>
      </c>
      <c r="OCN31" t="e">
        <v>#N/A</v>
      </c>
      <c r="OCO31" t="e">
        <v>#N/A</v>
      </c>
      <c r="OCP31" t="e">
        <v>#N/A</v>
      </c>
      <c r="OCQ31" t="e">
        <v>#N/A</v>
      </c>
      <c r="OCR31" t="e">
        <v>#N/A</v>
      </c>
      <c r="OCS31" t="e">
        <v>#N/A</v>
      </c>
      <c r="OCT31" t="e">
        <v>#N/A</v>
      </c>
      <c r="OCU31" t="e">
        <v>#N/A</v>
      </c>
      <c r="OCV31" t="e">
        <v>#N/A</v>
      </c>
      <c r="OCW31" t="e">
        <v>#N/A</v>
      </c>
      <c r="OCX31" t="e">
        <v>#N/A</v>
      </c>
      <c r="OCY31" t="e">
        <v>#N/A</v>
      </c>
      <c r="OCZ31" t="e">
        <v>#N/A</v>
      </c>
      <c r="ODA31" t="e">
        <v>#N/A</v>
      </c>
      <c r="ODB31" t="e">
        <v>#N/A</v>
      </c>
      <c r="ODC31" t="e">
        <v>#N/A</v>
      </c>
      <c r="ODD31" t="e">
        <v>#N/A</v>
      </c>
      <c r="ODE31" t="e">
        <v>#N/A</v>
      </c>
      <c r="ODF31" t="e">
        <v>#N/A</v>
      </c>
      <c r="ODG31" t="e">
        <v>#N/A</v>
      </c>
      <c r="ODH31" t="e">
        <v>#N/A</v>
      </c>
      <c r="ODI31" t="e">
        <v>#N/A</v>
      </c>
      <c r="ODJ31" t="e">
        <v>#N/A</v>
      </c>
      <c r="ODK31" t="e">
        <v>#N/A</v>
      </c>
      <c r="ODL31" t="e">
        <v>#N/A</v>
      </c>
      <c r="ODM31" t="e">
        <v>#N/A</v>
      </c>
      <c r="ODN31" t="e">
        <v>#N/A</v>
      </c>
      <c r="ODO31" t="e">
        <v>#N/A</v>
      </c>
      <c r="ODP31" t="e">
        <v>#N/A</v>
      </c>
      <c r="ODQ31" t="e">
        <v>#N/A</v>
      </c>
      <c r="ODR31" t="e">
        <v>#N/A</v>
      </c>
      <c r="ODS31" t="e">
        <v>#N/A</v>
      </c>
      <c r="ODT31" t="e">
        <v>#N/A</v>
      </c>
      <c r="ODU31" t="e">
        <v>#N/A</v>
      </c>
      <c r="ODV31" t="e">
        <v>#N/A</v>
      </c>
      <c r="ODW31" t="e">
        <v>#N/A</v>
      </c>
      <c r="ODX31" t="e">
        <v>#N/A</v>
      </c>
      <c r="ODY31" t="e">
        <v>#N/A</v>
      </c>
      <c r="ODZ31" t="e">
        <v>#N/A</v>
      </c>
      <c r="OEA31" t="e">
        <v>#N/A</v>
      </c>
      <c r="OEB31" t="e">
        <v>#N/A</v>
      </c>
      <c r="OEC31" t="e">
        <v>#N/A</v>
      </c>
      <c r="OED31" t="e">
        <v>#N/A</v>
      </c>
      <c r="OEE31" t="e">
        <v>#N/A</v>
      </c>
      <c r="OEF31" t="e">
        <v>#N/A</v>
      </c>
      <c r="OEG31" t="e">
        <v>#N/A</v>
      </c>
      <c r="OEH31" t="e">
        <v>#N/A</v>
      </c>
      <c r="OEI31" t="e">
        <v>#N/A</v>
      </c>
      <c r="OEJ31" t="e">
        <v>#N/A</v>
      </c>
      <c r="OEK31" t="e">
        <v>#N/A</v>
      </c>
      <c r="OEL31" t="e">
        <v>#N/A</v>
      </c>
      <c r="OEM31" t="e">
        <v>#N/A</v>
      </c>
      <c r="OEN31" t="e">
        <v>#N/A</v>
      </c>
      <c r="OEO31" t="e">
        <v>#N/A</v>
      </c>
      <c r="OEP31" t="e">
        <v>#N/A</v>
      </c>
      <c r="OEQ31" t="e">
        <v>#N/A</v>
      </c>
      <c r="OER31" t="e">
        <v>#N/A</v>
      </c>
      <c r="OES31" t="e">
        <v>#N/A</v>
      </c>
      <c r="OET31" t="e">
        <v>#N/A</v>
      </c>
      <c r="OEU31" t="e">
        <v>#N/A</v>
      </c>
      <c r="OEV31" t="e">
        <v>#N/A</v>
      </c>
      <c r="OEW31" t="e">
        <v>#N/A</v>
      </c>
      <c r="OEX31" t="e">
        <v>#N/A</v>
      </c>
      <c r="OEY31" t="e">
        <v>#N/A</v>
      </c>
      <c r="OEZ31" t="e">
        <v>#N/A</v>
      </c>
      <c r="OFA31" t="e">
        <v>#N/A</v>
      </c>
      <c r="OFB31" t="e">
        <v>#N/A</v>
      </c>
      <c r="OFC31" t="e">
        <v>#N/A</v>
      </c>
      <c r="OFD31" t="e">
        <v>#N/A</v>
      </c>
      <c r="OFE31" t="e">
        <v>#N/A</v>
      </c>
      <c r="OFF31" t="e">
        <v>#N/A</v>
      </c>
      <c r="OFG31" t="e">
        <v>#N/A</v>
      </c>
      <c r="OFH31" t="e">
        <v>#N/A</v>
      </c>
      <c r="OFI31" t="e">
        <v>#N/A</v>
      </c>
      <c r="OFJ31" t="e">
        <v>#N/A</v>
      </c>
      <c r="OFK31" t="e">
        <v>#N/A</v>
      </c>
      <c r="OFL31" t="e">
        <v>#N/A</v>
      </c>
      <c r="OFM31" t="e">
        <v>#N/A</v>
      </c>
      <c r="OFN31" t="e">
        <v>#N/A</v>
      </c>
      <c r="OFO31" t="e">
        <v>#N/A</v>
      </c>
      <c r="OFP31" t="e">
        <v>#N/A</v>
      </c>
      <c r="OFQ31" t="e">
        <v>#N/A</v>
      </c>
      <c r="OFR31" t="e">
        <v>#N/A</v>
      </c>
      <c r="OFS31" t="e">
        <v>#N/A</v>
      </c>
      <c r="OFT31" t="e">
        <v>#N/A</v>
      </c>
      <c r="OFU31" t="e">
        <v>#N/A</v>
      </c>
      <c r="OFV31" t="e">
        <v>#N/A</v>
      </c>
      <c r="OFW31" t="e">
        <v>#N/A</v>
      </c>
      <c r="OFX31" t="e">
        <v>#N/A</v>
      </c>
      <c r="OFY31" t="e">
        <v>#N/A</v>
      </c>
      <c r="OFZ31" t="e">
        <v>#N/A</v>
      </c>
      <c r="OGA31" t="e">
        <v>#N/A</v>
      </c>
      <c r="OGB31" t="e">
        <v>#N/A</v>
      </c>
      <c r="OGC31" t="e">
        <v>#N/A</v>
      </c>
      <c r="OGD31" t="e">
        <v>#N/A</v>
      </c>
      <c r="OGE31" t="e">
        <v>#N/A</v>
      </c>
      <c r="OGF31" t="e">
        <v>#N/A</v>
      </c>
      <c r="OGG31" t="e">
        <v>#N/A</v>
      </c>
      <c r="OGH31" t="e">
        <v>#N/A</v>
      </c>
      <c r="OGI31" t="e">
        <v>#N/A</v>
      </c>
      <c r="OGJ31" t="e">
        <v>#N/A</v>
      </c>
      <c r="OGK31" t="e">
        <v>#N/A</v>
      </c>
      <c r="OGL31" t="e">
        <v>#N/A</v>
      </c>
      <c r="OGM31" t="e">
        <v>#N/A</v>
      </c>
      <c r="OGN31" t="e">
        <v>#N/A</v>
      </c>
      <c r="OGO31" t="e">
        <v>#N/A</v>
      </c>
      <c r="OGP31" t="e">
        <v>#N/A</v>
      </c>
      <c r="OGQ31" t="e">
        <v>#N/A</v>
      </c>
      <c r="OGR31" t="e">
        <v>#N/A</v>
      </c>
      <c r="OGS31" t="e">
        <v>#N/A</v>
      </c>
      <c r="OGT31" t="e">
        <v>#N/A</v>
      </c>
      <c r="OGU31" t="e">
        <v>#N/A</v>
      </c>
      <c r="OGV31" t="e">
        <v>#N/A</v>
      </c>
      <c r="OGW31" t="e">
        <v>#N/A</v>
      </c>
      <c r="OGX31" t="e">
        <v>#N/A</v>
      </c>
      <c r="OGY31" t="e">
        <v>#N/A</v>
      </c>
      <c r="OGZ31" t="e">
        <v>#N/A</v>
      </c>
      <c r="OHA31" t="e">
        <v>#N/A</v>
      </c>
      <c r="OHB31" t="e">
        <v>#N/A</v>
      </c>
      <c r="OHC31" t="e">
        <v>#N/A</v>
      </c>
      <c r="OHD31" t="e">
        <v>#N/A</v>
      </c>
      <c r="OHE31" t="e">
        <v>#N/A</v>
      </c>
      <c r="OHF31" t="e">
        <v>#N/A</v>
      </c>
      <c r="OHG31" t="e">
        <v>#N/A</v>
      </c>
      <c r="OHH31" t="e">
        <v>#N/A</v>
      </c>
      <c r="OHI31" t="e">
        <v>#N/A</v>
      </c>
      <c r="OHJ31" t="e">
        <v>#N/A</v>
      </c>
      <c r="OHK31" t="e">
        <v>#N/A</v>
      </c>
      <c r="OHL31" t="e">
        <v>#N/A</v>
      </c>
      <c r="OHM31" t="e">
        <v>#N/A</v>
      </c>
      <c r="OHN31" t="e">
        <v>#N/A</v>
      </c>
      <c r="OHO31" t="e">
        <v>#N/A</v>
      </c>
      <c r="OHP31" t="e">
        <v>#N/A</v>
      </c>
      <c r="OHQ31" t="e">
        <v>#N/A</v>
      </c>
      <c r="OHR31" t="e">
        <v>#N/A</v>
      </c>
      <c r="OHS31" t="e">
        <v>#N/A</v>
      </c>
      <c r="OHT31" t="e">
        <v>#N/A</v>
      </c>
      <c r="OHU31" t="e">
        <v>#N/A</v>
      </c>
      <c r="OHV31" t="e">
        <v>#N/A</v>
      </c>
      <c r="OHW31" t="e">
        <v>#N/A</v>
      </c>
      <c r="OHX31" t="e">
        <v>#N/A</v>
      </c>
      <c r="OHY31" t="e">
        <v>#N/A</v>
      </c>
      <c r="OHZ31" t="e">
        <v>#N/A</v>
      </c>
      <c r="OIA31" t="e">
        <v>#N/A</v>
      </c>
      <c r="OIB31" t="e">
        <v>#N/A</v>
      </c>
      <c r="OIC31" t="e">
        <v>#N/A</v>
      </c>
      <c r="OID31" t="e">
        <v>#N/A</v>
      </c>
      <c r="OIE31" t="e">
        <v>#N/A</v>
      </c>
      <c r="OIF31" t="e">
        <v>#N/A</v>
      </c>
      <c r="OIG31" t="e">
        <v>#N/A</v>
      </c>
      <c r="OIH31" t="e">
        <v>#N/A</v>
      </c>
      <c r="OII31" t="e">
        <v>#N/A</v>
      </c>
      <c r="OIJ31" t="e">
        <v>#N/A</v>
      </c>
      <c r="OIK31" t="e">
        <v>#N/A</v>
      </c>
      <c r="OIL31" t="e">
        <v>#N/A</v>
      </c>
      <c r="OIM31" t="e">
        <v>#N/A</v>
      </c>
      <c r="OIN31" t="e">
        <v>#N/A</v>
      </c>
      <c r="OIO31" t="e">
        <v>#N/A</v>
      </c>
      <c r="OIP31" t="e">
        <v>#N/A</v>
      </c>
      <c r="OIQ31" t="e">
        <v>#N/A</v>
      </c>
      <c r="OIR31" t="e">
        <v>#N/A</v>
      </c>
      <c r="OIS31" t="e">
        <v>#N/A</v>
      </c>
      <c r="OIT31" t="e">
        <v>#N/A</v>
      </c>
      <c r="OIU31" t="e">
        <v>#N/A</v>
      </c>
      <c r="OIV31" t="e">
        <v>#N/A</v>
      </c>
      <c r="OIW31" t="e">
        <v>#N/A</v>
      </c>
      <c r="OIX31" t="e">
        <v>#N/A</v>
      </c>
      <c r="OIY31" t="e">
        <v>#N/A</v>
      </c>
      <c r="OIZ31" t="e">
        <v>#N/A</v>
      </c>
      <c r="OJA31" t="e">
        <v>#N/A</v>
      </c>
      <c r="OJB31" t="e">
        <v>#N/A</v>
      </c>
      <c r="OJC31" t="e">
        <v>#N/A</v>
      </c>
      <c r="OJD31" t="e">
        <v>#N/A</v>
      </c>
      <c r="OJE31" t="e">
        <v>#N/A</v>
      </c>
      <c r="OJF31" t="e">
        <v>#N/A</v>
      </c>
      <c r="OJG31" t="e">
        <v>#N/A</v>
      </c>
      <c r="OJH31" t="e">
        <v>#N/A</v>
      </c>
      <c r="OJI31" t="e">
        <v>#N/A</v>
      </c>
      <c r="OJJ31" t="e">
        <v>#N/A</v>
      </c>
      <c r="OJK31" t="e">
        <v>#N/A</v>
      </c>
      <c r="OJL31" t="e">
        <v>#N/A</v>
      </c>
      <c r="OJM31" t="e">
        <v>#N/A</v>
      </c>
      <c r="OJN31" t="e">
        <v>#N/A</v>
      </c>
      <c r="OJO31" t="e">
        <v>#N/A</v>
      </c>
      <c r="OJP31" t="e">
        <v>#N/A</v>
      </c>
      <c r="OJQ31" t="e">
        <v>#N/A</v>
      </c>
      <c r="OJR31" t="e">
        <v>#N/A</v>
      </c>
      <c r="OJS31" t="e">
        <v>#N/A</v>
      </c>
      <c r="OJT31" t="e">
        <v>#N/A</v>
      </c>
      <c r="OJU31" t="e">
        <v>#N/A</v>
      </c>
      <c r="OJV31" t="e">
        <v>#N/A</v>
      </c>
      <c r="OJW31" t="e">
        <v>#N/A</v>
      </c>
      <c r="OJX31" t="e">
        <v>#N/A</v>
      </c>
      <c r="OJY31" t="e">
        <v>#N/A</v>
      </c>
      <c r="OJZ31" t="e">
        <v>#N/A</v>
      </c>
      <c r="OKA31" t="e">
        <v>#N/A</v>
      </c>
      <c r="OKB31" t="e">
        <v>#N/A</v>
      </c>
      <c r="OKC31" t="e">
        <v>#N/A</v>
      </c>
      <c r="OKD31" t="e">
        <v>#N/A</v>
      </c>
      <c r="OKE31" t="e">
        <v>#N/A</v>
      </c>
      <c r="OKF31" t="e">
        <v>#N/A</v>
      </c>
      <c r="OKG31" t="e">
        <v>#N/A</v>
      </c>
      <c r="OKH31" t="e">
        <v>#N/A</v>
      </c>
      <c r="OKI31" t="e">
        <v>#N/A</v>
      </c>
      <c r="OKJ31" t="e">
        <v>#N/A</v>
      </c>
      <c r="OKK31" t="e">
        <v>#N/A</v>
      </c>
      <c r="OKL31" t="e">
        <v>#N/A</v>
      </c>
      <c r="OKM31" t="e">
        <v>#N/A</v>
      </c>
      <c r="OKN31" t="e">
        <v>#N/A</v>
      </c>
      <c r="OKO31" t="e">
        <v>#N/A</v>
      </c>
      <c r="OKP31" t="e">
        <v>#N/A</v>
      </c>
      <c r="OKQ31" t="e">
        <v>#N/A</v>
      </c>
      <c r="OKR31" t="e">
        <v>#N/A</v>
      </c>
      <c r="OKS31" t="e">
        <v>#N/A</v>
      </c>
      <c r="OKT31" t="e">
        <v>#N/A</v>
      </c>
      <c r="OKU31" t="e">
        <v>#N/A</v>
      </c>
      <c r="OKV31" t="e">
        <v>#N/A</v>
      </c>
      <c r="OKW31" t="e">
        <v>#N/A</v>
      </c>
      <c r="OKX31" t="e">
        <v>#N/A</v>
      </c>
      <c r="OKY31" t="e">
        <v>#N/A</v>
      </c>
      <c r="OKZ31" t="e">
        <v>#N/A</v>
      </c>
      <c r="OLA31" t="e">
        <v>#N/A</v>
      </c>
      <c r="OLB31" t="e">
        <v>#N/A</v>
      </c>
      <c r="OLC31" t="e">
        <v>#N/A</v>
      </c>
      <c r="OLD31" t="e">
        <v>#N/A</v>
      </c>
      <c r="OLE31" t="e">
        <v>#N/A</v>
      </c>
      <c r="OLF31" t="e">
        <v>#N/A</v>
      </c>
      <c r="OLG31" t="e">
        <v>#N/A</v>
      </c>
      <c r="OLH31" t="e">
        <v>#N/A</v>
      </c>
      <c r="OLI31" t="e">
        <v>#N/A</v>
      </c>
      <c r="OLJ31" t="e">
        <v>#N/A</v>
      </c>
      <c r="OLK31" t="e">
        <v>#N/A</v>
      </c>
      <c r="OLL31" t="e">
        <v>#N/A</v>
      </c>
      <c r="OLM31" t="e">
        <v>#N/A</v>
      </c>
      <c r="OLN31" t="e">
        <v>#N/A</v>
      </c>
      <c r="OLO31" t="e">
        <v>#N/A</v>
      </c>
      <c r="OLP31" t="e">
        <v>#N/A</v>
      </c>
      <c r="OLQ31" t="e">
        <v>#N/A</v>
      </c>
      <c r="OLR31" t="e">
        <v>#N/A</v>
      </c>
      <c r="OLS31" t="e">
        <v>#N/A</v>
      </c>
      <c r="OLT31" t="e">
        <v>#N/A</v>
      </c>
      <c r="OLU31" t="e">
        <v>#N/A</v>
      </c>
      <c r="OLV31" t="e">
        <v>#N/A</v>
      </c>
      <c r="OLW31" t="e">
        <v>#N/A</v>
      </c>
      <c r="OLX31" t="e">
        <v>#N/A</v>
      </c>
      <c r="OLY31" t="e">
        <v>#N/A</v>
      </c>
      <c r="OLZ31" t="e">
        <v>#N/A</v>
      </c>
      <c r="OMA31" t="e">
        <v>#N/A</v>
      </c>
      <c r="OMB31" t="e">
        <v>#N/A</v>
      </c>
      <c r="OMC31" t="e">
        <v>#N/A</v>
      </c>
      <c r="OMD31" t="e">
        <v>#N/A</v>
      </c>
      <c r="OME31" t="e">
        <v>#N/A</v>
      </c>
      <c r="OMF31" t="e">
        <v>#N/A</v>
      </c>
      <c r="OMG31" t="e">
        <v>#N/A</v>
      </c>
      <c r="OMH31" t="e">
        <v>#N/A</v>
      </c>
      <c r="OMI31" t="e">
        <v>#N/A</v>
      </c>
      <c r="OMJ31" t="e">
        <v>#N/A</v>
      </c>
      <c r="OMK31" t="e">
        <v>#N/A</v>
      </c>
      <c r="OML31" t="e">
        <v>#N/A</v>
      </c>
      <c r="OMM31" t="e">
        <v>#N/A</v>
      </c>
      <c r="OMN31" t="e">
        <v>#N/A</v>
      </c>
      <c r="OMO31" t="e">
        <v>#N/A</v>
      </c>
      <c r="OMP31" t="e">
        <v>#N/A</v>
      </c>
      <c r="OMQ31" t="e">
        <v>#N/A</v>
      </c>
      <c r="OMR31" t="e">
        <v>#N/A</v>
      </c>
      <c r="OMS31" t="e">
        <v>#N/A</v>
      </c>
      <c r="OMT31" t="e">
        <v>#N/A</v>
      </c>
      <c r="OMU31" t="e">
        <v>#N/A</v>
      </c>
      <c r="OMV31" t="e">
        <v>#N/A</v>
      </c>
      <c r="OMW31" t="e">
        <v>#N/A</v>
      </c>
      <c r="OMX31" t="e">
        <v>#N/A</v>
      </c>
      <c r="OMY31" t="e">
        <v>#N/A</v>
      </c>
      <c r="OMZ31" t="e">
        <v>#N/A</v>
      </c>
      <c r="ONA31" t="e">
        <v>#N/A</v>
      </c>
      <c r="ONB31" t="e">
        <v>#N/A</v>
      </c>
      <c r="ONC31" t="e">
        <v>#N/A</v>
      </c>
      <c r="OND31" t="e">
        <v>#N/A</v>
      </c>
      <c r="ONE31" t="e">
        <v>#N/A</v>
      </c>
      <c r="ONF31" t="e">
        <v>#N/A</v>
      </c>
      <c r="ONG31" t="e">
        <v>#N/A</v>
      </c>
      <c r="ONH31" t="e">
        <v>#N/A</v>
      </c>
      <c r="ONI31" t="e">
        <v>#N/A</v>
      </c>
      <c r="ONJ31" t="e">
        <v>#N/A</v>
      </c>
      <c r="ONK31" t="e">
        <v>#N/A</v>
      </c>
      <c r="ONL31" t="e">
        <v>#N/A</v>
      </c>
      <c r="ONM31" t="e">
        <v>#N/A</v>
      </c>
      <c r="ONN31" t="e">
        <v>#N/A</v>
      </c>
      <c r="ONO31" t="e">
        <v>#N/A</v>
      </c>
      <c r="ONP31" t="e">
        <v>#N/A</v>
      </c>
      <c r="ONQ31" t="e">
        <v>#N/A</v>
      </c>
      <c r="ONR31" t="e">
        <v>#N/A</v>
      </c>
      <c r="ONS31" t="e">
        <v>#N/A</v>
      </c>
      <c r="ONT31" t="e">
        <v>#N/A</v>
      </c>
      <c r="ONU31" t="e">
        <v>#N/A</v>
      </c>
      <c r="ONV31" t="e">
        <v>#N/A</v>
      </c>
      <c r="ONW31" t="e">
        <v>#N/A</v>
      </c>
      <c r="ONX31" t="e">
        <v>#N/A</v>
      </c>
      <c r="ONY31" t="e">
        <v>#N/A</v>
      </c>
      <c r="ONZ31" t="e">
        <v>#N/A</v>
      </c>
      <c r="OOA31" t="e">
        <v>#N/A</v>
      </c>
      <c r="OOB31" t="e">
        <v>#N/A</v>
      </c>
      <c r="OOC31" t="e">
        <v>#N/A</v>
      </c>
      <c r="OOD31" t="e">
        <v>#N/A</v>
      </c>
      <c r="OOE31" t="e">
        <v>#N/A</v>
      </c>
      <c r="OOF31" t="e">
        <v>#N/A</v>
      </c>
      <c r="OOG31" t="e">
        <v>#N/A</v>
      </c>
      <c r="OOH31" t="e">
        <v>#N/A</v>
      </c>
      <c r="OOI31" t="e">
        <v>#N/A</v>
      </c>
      <c r="OOJ31" t="e">
        <v>#N/A</v>
      </c>
      <c r="OOK31" t="e">
        <v>#N/A</v>
      </c>
      <c r="OOL31" t="e">
        <v>#N/A</v>
      </c>
      <c r="OOM31" t="e">
        <v>#N/A</v>
      </c>
      <c r="OON31" t="e">
        <v>#N/A</v>
      </c>
      <c r="OOO31" t="e">
        <v>#N/A</v>
      </c>
      <c r="OOP31" t="e">
        <v>#N/A</v>
      </c>
      <c r="OOQ31" t="e">
        <v>#N/A</v>
      </c>
      <c r="OOR31" t="e">
        <v>#N/A</v>
      </c>
      <c r="OOS31" t="e">
        <v>#N/A</v>
      </c>
      <c r="OOT31" t="e">
        <v>#N/A</v>
      </c>
      <c r="OOU31" t="e">
        <v>#N/A</v>
      </c>
      <c r="OOV31" t="e">
        <v>#N/A</v>
      </c>
      <c r="OOW31" t="e">
        <v>#N/A</v>
      </c>
      <c r="OOX31" t="e">
        <v>#N/A</v>
      </c>
      <c r="OOY31" t="e">
        <v>#N/A</v>
      </c>
      <c r="OOZ31" t="e">
        <v>#N/A</v>
      </c>
      <c r="OPA31" t="e">
        <v>#N/A</v>
      </c>
      <c r="OPB31" t="e">
        <v>#N/A</v>
      </c>
      <c r="OPC31" t="e">
        <v>#N/A</v>
      </c>
      <c r="OPD31" t="e">
        <v>#N/A</v>
      </c>
      <c r="OPE31" t="e">
        <v>#N/A</v>
      </c>
      <c r="OPF31" t="e">
        <v>#N/A</v>
      </c>
      <c r="OPG31" t="e">
        <v>#N/A</v>
      </c>
      <c r="OPH31" t="e">
        <v>#N/A</v>
      </c>
      <c r="OPI31" t="e">
        <v>#N/A</v>
      </c>
      <c r="OPJ31" t="e">
        <v>#N/A</v>
      </c>
      <c r="OPK31" t="e">
        <v>#N/A</v>
      </c>
      <c r="OPL31" t="e">
        <v>#N/A</v>
      </c>
      <c r="OPM31" t="e">
        <v>#N/A</v>
      </c>
      <c r="OPN31" t="e">
        <v>#N/A</v>
      </c>
      <c r="OPO31" t="e">
        <v>#N/A</v>
      </c>
      <c r="OPP31" t="e">
        <v>#N/A</v>
      </c>
      <c r="OPQ31" t="e">
        <v>#N/A</v>
      </c>
      <c r="OPR31" t="e">
        <v>#N/A</v>
      </c>
      <c r="OPS31" t="e">
        <v>#N/A</v>
      </c>
      <c r="OPT31" t="e">
        <v>#N/A</v>
      </c>
      <c r="OPU31" t="e">
        <v>#N/A</v>
      </c>
      <c r="OPV31" t="e">
        <v>#N/A</v>
      </c>
      <c r="OPW31" t="e">
        <v>#N/A</v>
      </c>
      <c r="OPX31" t="e">
        <v>#N/A</v>
      </c>
      <c r="OPY31" t="e">
        <v>#N/A</v>
      </c>
      <c r="OPZ31" t="e">
        <v>#N/A</v>
      </c>
      <c r="OQA31" t="e">
        <v>#N/A</v>
      </c>
      <c r="OQB31" t="e">
        <v>#N/A</v>
      </c>
      <c r="OQC31" t="e">
        <v>#N/A</v>
      </c>
      <c r="OQD31" t="e">
        <v>#N/A</v>
      </c>
      <c r="OQE31" t="e">
        <v>#N/A</v>
      </c>
      <c r="OQF31" t="e">
        <v>#N/A</v>
      </c>
      <c r="OQG31" t="e">
        <v>#N/A</v>
      </c>
      <c r="OQH31" t="e">
        <v>#N/A</v>
      </c>
      <c r="OQI31" t="e">
        <v>#N/A</v>
      </c>
      <c r="OQJ31" t="e">
        <v>#N/A</v>
      </c>
      <c r="OQK31" t="e">
        <v>#N/A</v>
      </c>
      <c r="OQL31" t="e">
        <v>#N/A</v>
      </c>
      <c r="OQM31" t="e">
        <v>#N/A</v>
      </c>
      <c r="OQN31" t="e">
        <v>#N/A</v>
      </c>
      <c r="OQO31" t="e">
        <v>#N/A</v>
      </c>
      <c r="OQP31" t="e">
        <v>#N/A</v>
      </c>
      <c r="OQQ31" t="e">
        <v>#N/A</v>
      </c>
      <c r="OQR31" t="e">
        <v>#N/A</v>
      </c>
      <c r="OQS31" t="e">
        <v>#N/A</v>
      </c>
      <c r="OQT31" t="e">
        <v>#N/A</v>
      </c>
      <c r="OQU31" t="e">
        <v>#N/A</v>
      </c>
      <c r="OQV31" t="e">
        <v>#N/A</v>
      </c>
      <c r="OQW31" t="e">
        <v>#N/A</v>
      </c>
      <c r="OQX31" t="e">
        <v>#N/A</v>
      </c>
      <c r="OQY31" t="e">
        <v>#N/A</v>
      </c>
      <c r="OQZ31" t="e">
        <v>#N/A</v>
      </c>
      <c r="ORA31" t="e">
        <v>#N/A</v>
      </c>
      <c r="ORB31" t="e">
        <v>#N/A</v>
      </c>
      <c r="ORC31" t="e">
        <v>#N/A</v>
      </c>
      <c r="ORD31" t="e">
        <v>#N/A</v>
      </c>
      <c r="ORE31" t="e">
        <v>#N/A</v>
      </c>
      <c r="ORF31" t="e">
        <v>#N/A</v>
      </c>
      <c r="ORG31" t="e">
        <v>#N/A</v>
      </c>
      <c r="ORH31" t="e">
        <v>#N/A</v>
      </c>
      <c r="ORI31" t="e">
        <v>#N/A</v>
      </c>
      <c r="ORJ31" t="e">
        <v>#N/A</v>
      </c>
      <c r="ORK31" t="e">
        <v>#N/A</v>
      </c>
      <c r="ORL31" t="e">
        <v>#N/A</v>
      </c>
      <c r="ORM31" t="e">
        <v>#N/A</v>
      </c>
      <c r="ORN31" t="e">
        <v>#N/A</v>
      </c>
      <c r="ORO31" t="e">
        <v>#N/A</v>
      </c>
      <c r="ORP31" t="e">
        <v>#N/A</v>
      </c>
      <c r="ORQ31" t="e">
        <v>#N/A</v>
      </c>
      <c r="ORR31" t="e">
        <v>#N/A</v>
      </c>
      <c r="ORS31" t="e">
        <v>#N/A</v>
      </c>
      <c r="ORT31" t="e">
        <v>#N/A</v>
      </c>
      <c r="ORU31" t="e">
        <v>#N/A</v>
      </c>
      <c r="ORV31" t="e">
        <v>#N/A</v>
      </c>
      <c r="ORW31" t="e">
        <v>#N/A</v>
      </c>
      <c r="ORX31" t="e">
        <v>#N/A</v>
      </c>
      <c r="ORY31" t="e">
        <v>#N/A</v>
      </c>
      <c r="ORZ31" t="e">
        <v>#N/A</v>
      </c>
      <c r="OSA31" t="e">
        <v>#N/A</v>
      </c>
      <c r="OSB31" t="e">
        <v>#N/A</v>
      </c>
      <c r="OSC31" t="e">
        <v>#N/A</v>
      </c>
      <c r="OSD31" t="e">
        <v>#N/A</v>
      </c>
      <c r="OSE31" t="e">
        <v>#N/A</v>
      </c>
      <c r="OSF31" t="e">
        <v>#N/A</v>
      </c>
      <c r="OSG31" t="e">
        <v>#N/A</v>
      </c>
      <c r="OSH31" t="e">
        <v>#N/A</v>
      </c>
      <c r="OSI31" t="e">
        <v>#N/A</v>
      </c>
      <c r="OSJ31" t="e">
        <v>#N/A</v>
      </c>
      <c r="OSK31" t="e">
        <v>#N/A</v>
      </c>
      <c r="OSL31" t="e">
        <v>#N/A</v>
      </c>
      <c r="OSM31" t="e">
        <v>#N/A</v>
      </c>
      <c r="OSN31" t="e">
        <v>#N/A</v>
      </c>
      <c r="OSO31" t="e">
        <v>#N/A</v>
      </c>
      <c r="OSP31" t="e">
        <v>#N/A</v>
      </c>
      <c r="OSQ31" t="e">
        <v>#N/A</v>
      </c>
      <c r="OSR31" t="e">
        <v>#N/A</v>
      </c>
      <c r="OSS31" t="e">
        <v>#N/A</v>
      </c>
      <c r="OST31" t="e">
        <v>#N/A</v>
      </c>
      <c r="OSU31" t="e">
        <v>#N/A</v>
      </c>
      <c r="OSV31" t="e">
        <v>#N/A</v>
      </c>
      <c r="OSW31" t="e">
        <v>#N/A</v>
      </c>
      <c r="OSX31" t="e">
        <v>#N/A</v>
      </c>
      <c r="OSY31" t="e">
        <v>#N/A</v>
      </c>
      <c r="OSZ31" t="e">
        <v>#N/A</v>
      </c>
      <c r="OTA31" t="e">
        <v>#N/A</v>
      </c>
      <c r="OTB31" t="e">
        <v>#N/A</v>
      </c>
      <c r="OTC31" t="e">
        <v>#N/A</v>
      </c>
      <c r="OTD31" t="e">
        <v>#N/A</v>
      </c>
      <c r="OTE31" t="e">
        <v>#N/A</v>
      </c>
      <c r="OTF31" t="e">
        <v>#N/A</v>
      </c>
      <c r="OTG31" t="e">
        <v>#N/A</v>
      </c>
      <c r="OTH31" t="e">
        <v>#N/A</v>
      </c>
      <c r="OTI31" t="e">
        <v>#N/A</v>
      </c>
      <c r="OTJ31" t="e">
        <v>#N/A</v>
      </c>
      <c r="OTK31" t="e">
        <v>#N/A</v>
      </c>
      <c r="OTL31" t="e">
        <v>#N/A</v>
      </c>
      <c r="OTM31" t="e">
        <v>#N/A</v>
      </c>
      <c r="OTN31" t="e">
        <v>#N/A</v>
      </c>
      <c r="OTO31" t="e">
        <v>#N/A</v>
      </c>
      <c r="OTP31" t="e">
        <v>#N/A</v>
      </c>
      <c r="OTQ31" t="e">
        <v>#N/A</v>
      </c>
      <c r="OTR31" t="e">
        <v>#N/A</v>
      </c>
      <c r="OTS31" t="e">
        <v>#N/A</v>
      </c>
      <c r="OTT31" t="e">
        <v>#N/A</v>
      </c>
      <c r="OTU31" t="e">
        <v>#N/A</v>
      </c>
      <c r="OTV31" t="e">
        <v>#N/A</v>
      </c>
      <c r="OTW31" t="e">
        <v>#N/A</v>
      </c>
      <c r="OTX31" t="e">
        <v>#N/A</v>
      </c>
      <c r="OTY31" t="e">
        <v>#N/A</v>
      </c>
      <c r="OTZ31" t="e">
        <v>#N/A</v>
      </c>
      <c r="OUA31" t="e">
        <v>#N/A</v>
      </c>
      <c r="OUB31" t="e">
        <v>#N/A</v>
      </c>
      <c r="OUC31" t="e">
        <v>#N/A</v>
      </c>
      <c r="OUD31" t="e">
        <v>#N/A</v>
      </c>
      <c r="OUE31" t="e">
        <v>#N/A</v>
      </c>
      <c r="OUF31" t="e">
        <v>#N/A</v>
      </c>
      <c r="OUG31" t="e">
        <v>#N/A</v>
      </c>
      <c r="OUH31" t="e">
        <v>#N/A</v>
      </c>
      <c r="OUI31" t="e">
        <v>#N/A</v>
      </c>
      <c r="OUJ31" t="e">
        <v>#N/A</v>
      </c>
      <c r="OUK31" t="e">
        <v>#N/A</v>
      </c>
      <c r="OUL31" t="e">
        <v>#N/A</v>
      </c>
      <c r="OUM31" t="e">
        <v>#N/A</v>
      </c>
      <c r="OUN31" t="e">
        <v>#N/A</v>
      </c>
      <c r="OUO31" t="e">
        <v>#N/A</v>
      </c>
      <c r="OUP31" t="e">
        <v>#N/A</v>
      </c>
      <c r="OUQ31" t="e">
        <v>#N/A</v>
      </c>
      <c r="OUR31" t="e">
        <v>#N/A</v>
      </c>
      <c r="OUS31" t="e">
        <v>#N/A</v>
      </c>
      <c r="OUT31" t="e">
        <v>#N/A</v>
      </c>
      <c r="OUU31" t="e">
        <v>#N/A</v>
      </c>
      <c r="OUV31" t="e">
        <v>#N/A</v>
      </c>
      <c r="OUW31" t="e">
        <v>#N/A</v>
      </c>
      <c r="OUX31" t="e">
        <v>#N/A</v>
      </c>
      <c r="OUY31" t="e">
        <v>#N/A</v>
      </c>
      <c r="OUZ31" t="e">
        <v>#N/A</v>
      </c>
      <c r="OVA31" t="e">
        <v>#N/A</v>
      </c>
      <c r="OVB31" t="e">
        <v>#N/A</v>
      </c>
      <c r="OVC31" t="e">
        <v>#N/A</v>
      </c>
      <c r="OVD31" t="e">
        <v>#N/A</v>
      </c>
      <c r="OVE31" t="e">
        <v>#N/A</v>
      </c>
      <c r="OVF31" t="e">
        <v>#N/A</v>
      </c>
      <c r="OVG31" t="e">
        <v>#N/A</v>
      </c>
      <c r="OVH31" t="e">
        <v>#N/A</v>
      </c>
      <c r="OVI31" t="e">
        <v>#N/A</v>
      </c>
      <c r="OVJ31" t="e">
        <v>#N/A</v>
      </c>
      <c r="OVK31" t="e">
        <v>#N/A</v>
      </c>
      <c r="OVL31" t="e">
        <v>#N/A</v>
      </c>
      <c r="OVM31" t="e">
        <v>#N/A</v>
      </c>
      <c r="OVN31" t="e">
        <v>#N/A</v>
      </c>
      <c r="OVO31" t="e">
        <v>#N/A</v>
      </c>
      <c r="OVP31" t="e">
        <v>#N/A</v>
      </c>
      <c r="OVQ31" t="e">
        <v>#N/A</v>
      </c>
      <c r="OVR31" t="e">
        <v>#N/A</v>
      </c>
      <c r="OVS31" t="e">
        <v>#N/A</v>
      </c>
      <c r="OVT31" t="e">
        <v>#N/A</v>
      </c>
      <c r="OVU31" t="e">
        <v>#N/A</v>
      </c>
      <c r="OVV31" t="e">
        <v>#N/A</v>
      </c>
      <c r="OVW31" t="e">
        <v>#N/A</v>
      </c>
      <c r="OVX31" t="e">
        <v>#N/A</v>
      </c>
      <c r="OVY31" t="e">
        <v>#N/A</v>
      </c>
      <c r="OVZ31" t="e">
        <v>#N/A</v>
      </c>
      <c r="OWA31" t="e">
        <v>#N/A</v>
      </c>
      <c r="OWB31" t="e">
        <v>#N/A</v>
      </c>
      <c r="OWC31" t="e">
        <v>#N/A</v>
      </c>
      <c r="OWD31" t="e">
        <v>#N/A</v>
      </c>
      <c r="OWE31" t="e">
        <v>#N/A</v>
      </c>
      <c r="OWF31" t="e">
        <v>#N/A</v>
      </c>
      <c r="OWG31" t="e">
        <v>#N/A</v>
      </c>
      <c r="OWH31" t="e">
        <v>#N/A</v>
      </c>
      <c r="OWI31" t="e">
        <v>#N/A</v>
      </c>
      <c r="OWJ31" t="e">
        <v>#N/A</v>
      </c>
      <c r="OWK31" t="e">
        <v>#N/A</v>
      </c>
      <c r="OWL31" t="e">
        <v>#N/A</v>
      </c>
      <c r="OWM31" t="e">
        <v>#N/A</v>
      </c>
      <c r="OWN31" t="e">
        <v>#N/A</v>
      </c>
      <c r="OWO31" t="e">
        <v>#N/A</v>
      </c>
      <c r="OWP31" t="e">
        <v>#N/A</v>
      </c>
      <c r="OWQ31" t="e">
        <v>#N/A</v>
      </c>
      <c r="OWR31" t="e">
        <v>#N/A</v>
      </c>
      <c r="OWS31" t="e">
        <v>#N/A</v>
      </c>
      <c r="OWT31" t="e">
        <v>#N/A</v>
      </c>
      <c r="OWU31" t="e">
        <v>#N/A</v>
      </c>
      <c r="OWV31" t="e">
        <v>#N/A</v>
      </c>
      <c r="OWW31" t="e">
        <v>#N/A</v>
      </c>
      <c r="OWX31" t="e">
        <v>#N/A</v>
      </c>
      <c r="OWY31" t="e">
        <v>#N/A</v>
      </c>
      <c r="OWZ31" t="e">
        <v>#N/A</v>
      </c>
      <c r="OXA31" t="e">
        <v>#N/A</v>
      </c>
      <c r="OXB31" t="e">
        <v>#N/A</v>
      </c>
      <c r="OXC31" t="e">
        <v>#N/A</v>
      </c>
      <c r="OXD31" t="e">
        <v>#N/A</v>
      </c>
      <c r="OXE31" t="e">
        <v>#N/A</v>
      </c>
      <c r="OXF31" t="e">
        <v>#N/A</v>
      </c>
      <c r="OXG31" t="e">
        <v>#N/A</v>
      </c>
      <c r="OXH31" t="e">
        <v>#N/A</v>
      </c>
      <c r="OXI31" t="e">
        <v>#N/A</v>
      </c>
      <c r="OXJ31" t="e">
        <v>#N/A</v>
      </c>
      <c r="OXK31" t="e">
        <v>#N/A</v>
      </c>
      <c r="OXL31" t="e">
        <v>#N/A</v>
      </c>
      <c r="OXM31" t="e">
        <v>#N/A</v>
      </c>
      <c r="OXN31" t="e">
        <v>#N/A</v>
      </c>
      <c r="OXO31" t="e">
        <v>#N/A</v>
      </c>
      <c r="OXP31" t="e">
        <v>#N/A</v>
      </c>
      <c r="OXQ31" t="e">
        <v>#N/A</v>
      </c>
      <c r="OXR31" t="e">
        <v>#N/A</v>
      </c>
      <c r="OXS31" t="e">
        <v>#N/A</v>
      </c>
      <c r="OXT31" t="e">
        <v>#N/A</v>
      </c>
      <c r="OXU31" t="e">
        <v>#N/A</v>
      </c>
      <c r="OXV31" t="e">
        <v>#N/A</v>
      </c>
      <c r="OXW31" t="e">
        <v>#N/A</v>
      </c>
      <c r="OXX31" t="e">
        <v>#N/A</v>
      </c>
      <c r="OXY31" t="e">
        <v>#N/A</v>
      </c>
      <c r="OXZ31" t="e">
        <v>#N/A</v>
      </c>
      <c r="OYA31" t="e">
        <v>#N/A</v>
      </c>
      <c r="OYB31" t="e">
        <v>#N/A</v>
      </c>
      <c r="OYC31" t="e">
        <v>#N/A</v>
      </c>
      <c r="OYD31" t="e">
        <v>#N/A</v>
      </c>
      <c r="OYE31" t="e">
        <v>#N/A</v>
      </c>
      <c r="OYF31" t="e">
        <v>#N/A</v>
      </c>
      <c r="OYG31" t="e">
        <v>#N/A</v>
      </c>
      <c r="OYH31" t="e">
        <v>#N/A</v>
      </c>
      <c r="OYI31" t="e">
        <v>#N/A</v>
      </c>
      <c r="OYJ31" t="e">
        <v>#N/A</v>
      </c>
      <c r="OYK31" t="e">
        <v>#N/A</v>
      </c>
      <c r="OYL31" t="e">
        <v>#N/A</v>
      </c>
      <c r="OYM31" t="e">
        <v>#N/A</v>
      </c>
      <c r="OYN31" t="e">
        <v>#N/A</v>
      </c>
      <c r="OYO31" t="e">
        <v>#N/A</v>
      </c>
      <c r="OYP31" t="e">
        <v>#N/A</v>
      </c>
      <c r="OYQ31" t="e">
        <v>#N/A</v>
      </c>
      <c r="OYR31" t="e">
        <v>#N/A</v>
      </c>
      <c r="OYS31" t="e">
        <v>#N/A</v>
      </c>
      <c r="OYT31" t="e">
        <v>#N/A</v>
      </c>
      <c r="OYU31" t="e">
        <v>#N/A</v>
      </c>
      <c r="OYV31" t="e">
        <v>#N/A</v>
      </c>
      <c r="OYW31" t="e">
        <v>#N/A</v>
      </c>
      <c r="OYX31" t="e">
        <v>#N/A</v>
      </c>
      <c r="OYY31" t="e">
        <v>#N/A</v>
      </c>
      <c r="OYZ31" t="e">
        <v>#N/A</v>
      </c>
      <c r="OZA31" t="e">
        <v>#N/A</v>
      </c>
      <c r="OZB31" t="e">
        <v>#N/A</v>
      </c>
      <c r="OZC31" t="e">
        <v>#N/A</v>
      </c>
      <c r="OZD31" t="e">
        <v>#N/A</v>
      </c>
      <c r="OZE31" t="e">
        <v>#N/A</v>
      </c>
      <c r="OZF31" t="e">
        <v>#N/A</v>
      </c>
      <c r="OZG31" t="e">
        <v>#N/A</v>
      </c>
      <c r="OZH31" t="e">
        <v>#N/A</v>
      </c>
      <c r="OZI31" t="e">
        <v>#N/A</v>
      </c>
      <c r="OZJ31" t="e">
        <v>#N/A</v>
      </c>
      <c r="OZK31" t="e">
        <v>#N/A</v>
      </c>
      <c r="OZL31" t="e">
        <v>#N/A</v>
      </c>
      <c r="OZM31" t="e">
        <v>#N/A</v>
      </c>
      <c r="OZN31" t="e">
        <v>#N/A</v>
      </c>
      <c r="OZO31" t="e">
        <v>#N/A</v>
      </c>
      <c r="OZP31" t="e">
        <v>#N/A</v>
      </c>
      <c r="OZQ31" t="e">
        <v>#N/A</v>
      </c>
      <c r="OZR31" t="e">
        <v>#N/A</v>
      </c>
      <c r="OZS31" t="e">
        <v>#N/A</v>
      </c>
      <c r="OZT31" t="e">
        <v>#N/A</v>
      </c>
      <c r="OZU31" t="e">
        <v>#N/A</v>
      </c>
      <c r="OZV31" t="e">
        <v>#N/A</v>
      </c>
      <c r="OZW31" t="e">
        <v>#N/A</v>
      </c>
      <c r="OZX31" t="e">
        <v>#N/A</v>
      </c>
      <c r="OZY31" t="e">
        <v>#N/A</v>
      </c>
      <c r="OZZ31" t="e">
        <v>#N/A</v>
      </c>
      <c r="PAA31" t="e">
        <v>#N/A</v>
      </c>
      <c r="PAB31" t="e">
        <v>#N/A</v>
      </c>
      <c r="PAC31" t="e">
        <v>#N/A</v>
      </c>
      <c r="PAD31" t="e">
        <v>#N/A</v>
      </c>
      <c r="PAE31" t="e">
        <v>#N/A</v>
      </c>
      <c r="PAF31" t="e">
        <v>#N/A</v>
      </c>
      <c r="PAG31" t="e">
        <v>#N/A</v>
      </c>
      <c r="PAH31" t="e">
        <v>#N/A</v>
      </c>
      <c r="PAI31" t="e">
        <v>#N/A</v>
      </c>
      <c r="PAJ31" t="e">
        <v>#N/A</v>
      </c>
      <c r="PAK31" t="e">
        <v>#N/A</v>
      </c>
      <c r="PAL31" t="e">
        <v>#N/A</v>
      </c>
      <c r="PAM31" t="e">
        <v>#N/A</v>
      </c>
      <c r="PAN31" t="e">
        <v>#N/A</v>
      </c>
      <c r="PAO31" t="e">
        <v>#N/A</v>
      </c>
      <c r="PAP31" t="e">
        <v>#N/A</v>
      </c>
      <c r="PAQ31" t="e">
        <v>#N/A</v>
      </c>
      <c r="PAR31" t="e">
        <v>#N/A</v>
      </c>
      <c r="PAS31" t="e">
        <v>#N/A</v>
      </c>
      <c r="PAT31" t="e">
        <v>#N/A</v>
      </c>
      <c r="PAU31" t="e">
        <v>#N/A</v>
      </c>
      <c r="PAV31" t="e">
        <v>#N/A</v>
      </c>
      <c r="PAW31" t="e">
        <v>#N/A</v>
      </c>
      <c r="PAX31" t="e">
        <v>#N/A</v>
      </c>
      <c r="PAY31" t="e">
        <v>#N/A</v>
      </c>
      <c r="PAZ31" t="e">
        <v>#N/A</v>
      </c>
      <c r="PBA31" t="e">
        <v>#N/A</v>
      </c>
      <c r="PBB31" t="e">
        <v>#N/A</v>
      </c>
      <c r="PBC31" t="e">
        <v>#N/A</v>
      </c>
      <c r="PBD31" t="e">
        <v>#N/A</v>
      </c>
      <c r="PBE31" t="e">
        <v>#N/A</v>
      </c>
      <c r="PBF31" t="e">
        <v>#N/A</v>
      </c>
      <c r="PBG31" t="e">
        <v>#N/A</v>
      </c>
      <c r="PBH31" t="e">
        <v>#N/A</v>
      </c>
      <c r="PBI31" t="e">
        <v>#N/A</v>
      </c>
      <c r="PBJ31" t="e">
        <v>#N/A</v>
      </c>
      <c r="PBK31" t="e">
        <v>#N/A</v>
      </c>
      <c r="PBL31" t="e">
        <v>#N/A</v>
      </c>
      <c r="PBM31" t="e">
        <v>#N/A</v>
      </c>
      <c r="PBN31" t="e">
        <v>#N/A</v>
      </c>
      <c r="PBO31" t="e">
        <v>#N/A</v>
      </c>
      <c r="PBP31" t="e">
        <v>#N/A</v>
      </c>
      <c r="PBQ31" t="e">
        <v>#N/A</v>
      </c>
      <c r="PBR31" t="e">
        <v>#N/A</v>
      </c>
      <c r="PBS31" t="e">
        <v>#N/A</v>
      </c>
      <c r="PBT31" t="e">
        <v>#N/A</v>
      </c>
      <c r="PBU31" t="e">
        <v>#N/A</v>
      </c>
      <c r="PBV31" t="e">
        <v>#N/A</v>
      </c>
      <c r="PBW31" t="e">
        <v>#N/A</v>
      </c>
      <c r="PBX31" t="e">
        <v>#N/A</v>
      </c>
      <c r="PBY31" t="e">
        <v>#N/A</v>
      </c>
      <c r="PBZ31" t="e">
        <v>#N/A</v>
      </c>
      <c r="PCA31" t="e">
        <v>#N/A</v>
      </c>
      <c r="PCB31" t="e">
        <v>#N/A</v>
      </c>
      <c r="PCC31" t="e">
        <v>#N/A</v>
      </c>
      <c r="PCD31" t="e">
        <v>#N/A</v>
      </c>
      <c r="PCE31" t="e">
        <v>#N/A</v>
      </c>
      <c r="PCF31" t="e">
        <v>#N/A</v>
      </c>
      <c r="PCG31" t="e">
        <v>#N/A</v>
      </c>
      <c r="PCH31" t="e">
        <v>#N/A</v>
      </c>
      <c r="PCI31" t="e">
        <v>#N/A</v>
      </c>
      <c r="PCJ31" t="e">
        <v>#N/A</v>
      </c>
      <c r="PCK31" t="e">
        <v>#N/A</v>
      </c>
      <c r="PCL31" t="e">
        <v>#N/A</v>
      </c>
      <c r="PCM31" t="e">
        <v>#N/A</v>
      </c>
      <c r="PCN31" t="e">
        <v>#N/A</v>
      </c>
      <c r="PCO31" t="e">
        <v>#N/A</v>
      </c>
      <c r="PCP31" t="e">
        <v>#N/A</v>
      </c>
      <c r="PCQ31" t="e">
        <v>#N/A</v>
      </c>
      <c r="PCR31" t="e">
        <v>#N/A</v>
      </c>
      <c r="PCS31" t="e">
        <v>#N/A</v>
      </c>
      <c r="PCT31" t="e">
        <v>#N/A</v>
      </c>
      <c r="PCU31" t="e">
        <v>#N/A</v>
      </c>
      <c r="PCV31" t="e">
        <v>#N/A</v>
      </c>
      <c r="PCW31" t="e">
        <v>#N/A</v>
      </c>
      <c r="PCX31" t="e">
        <v>#N/A</v>
      </c>
      <c r="PCY31" t="e">
        <v>#N/A</v>
      </c>
      <c r="PCZ31" t="e">
        <v>#N/A</v>
      </c>
      <c r="PDA31" t="e">
        <v>#N/A</v>
      </c>
      <c r="PDB31" t="e">
        <v>#N/A</v>
      </c>
      <c r="PDC31" t="e">
        <v>#N/A</v>
      </c>
      <c r="PDD31" t="e">
        <v>#N/A</v>
      </c>
      <c r="PDE31" t="e">
        <v>#N/A</v>
      </c>
      <c r="PDF31" t="e">
        <v>#N/A</v>
      </c>
      <c r="PDG31" t="e">
        <v>#N/A</v>
      </c>
      <c r="PDH31" t="e">
        <v>#N/A</v>
      </c>
      <c r="PDI31" t="e">
        <v>#N/A</v>
      </c>
      <c r="PDJ31" t="e">
        <v>#N/A</v>
      </c>
      <c r="PDK31" t="e">
        <v>#N/A</v>
      </c>
      <c r="PDL31" t="e">
        <v>#N/A</v>
      </c>
      <c r="PDM31" t="e">
        <v>#N/A</v>
      </c>
      <c r="PDN31" t="e">
        <v>#N/A</v>
      </c>
      <c r="PDO31" t="e">
        <v>#N/A</v>
      </c>
      <c r="PDP31" t="e">
        <v>#N/A</v>
      </c>
      <c r="PDQ31" t="e">
        <v>#N/A</v>
      </c>
      <c r="PDR31" t="e">
        <v>#N/A</v>
      </c>
      <c r="PDS31" t="e">
        <v>#N/A</v>
      </c>
      <c r="PDT31" t="e">
        <v>#N/A</v>
      </c>
      <c r="PDU31" t="e">
        <v>#N/A</v>
      </c>
      <c r="PDV31" t="e">
        <v>#N/A</v>
      </c>
      <c r="PDW31" t="e">
        <v>#N/A</v>
      </c>
      <c r="PDX31" t="e">
        <v>#N/A</v>
      </c>
      <c r="PDY31" t="e">
        <v>#N/A</v>
      </c>
      <c r="PDZ31" t="e">
        <v>#N/A</v>
      </c>
      <c r="PEA31" t="e">
        <v>#N/A</v>
      </c>
      <c r="PEB31" t="e">
        <v>#N/A</v>
      </c>
      <c r="PEC31" t="e">
        <v>#N/A</v>
      </c>
      <c r="PED31" t="e">
        <v>#N/A</v>
      </c>
      <c r="PEE31" t="e">
        <v>#N/A</v>
      </c>
      <c r="PEF31" t="e">
        <v>#N/A</v>
      </c>
      <c r="PEG31" t="e">
        <v>#N/A</v>
      </c>
      <c r="PEH31" t="e">
        <v>#N/A</v>
      </c>
      <c r="PEI31" t="e">
        <v>#N/A</v>
      </c>
      <c r="PEJ31" t="e">
        <v>#N/A</v>
      </c>
      <c r="PEK31" t="e">
        <v>#N/A</v>
      </c>
      <c r="PEL31" t="e">
        <v>#N/A</v>
      </c>
      <c r="PEM31" t="e">
        <v>#N/A</v>
      </c>
      <c r="PEN31" t="e">
        <v>#N/A</v>
      </c>
      <c r="PEO31" t="e">
        <v>#N/A</v>
      </c>
      <c r="PEP31" t="e">
        <v>#N/A</v>
      </c>
      <c r="PEQ31" t="e">
        <v>#N/A</v>
      </c>
      <c r="PER31" t="e">
        <v>#N/A</v>
      </c>
      <c r="PES31" t="e">
        <v>#N/A</v>
      </c>
      <c r="PET31" t="e">
        <v>#N/A</v>
      </c>
      <c r="PEU31" t="e">
        <v>#N/A</v>
      </c>
      <c r="PEV31" t="e">
        <v>#N/A</v>
      </c>
      <c r="PEW31" t="e">
        <v>#N/A</v>
      </c>
      <c r="PEX31" t="e">
        <v>#N/A</v>
      </c>
      <c r="PEY31" t="e">
        <v>#N/A</v>
      </c>
      <c r="PEZ31" t="e">
        <v>#N/A</v>
      </c>
      <c r="PFA31" t="e">
        <v>#N/A</v>
      </c>
      <c r="PFB31" t="e">
        <v>#N/A</v>
      </c>
      <c r="PFC31" t="e">
        <v>#N/A</v>
      </c>
      <c r="PFD31" t="e">
        <v>#N/A</v>
      </c>
      <c r="PFE31" t="e">
        <v>#N/A</v>
      </c>
      <c r="PFF31" t="e">
        <v>#N/A</v>
      </c>
      <c r="PFG31" t="e">
        <v>#N/A</v>
      </c>
      <c r="PFH31" t="e">
        <v>#N/A</v>
      </c>
      <c r="PFI31" t="e">
        <v>#N/A</v>
      </c>
      <c r="PFJ31" t="e">
        <v>#N/A</v>
      </c>
      <c r="PFK31" t="e">
        <v>#N/A</v>
      </c>
      <c r="PFL31" t="e">
        <v>#N/A</v>
      </c>
      <c r="PFM31" t="e">
        <v>#N/A</v>
      </c>
      <c r="PFN31" t="e">
        <v>#N/A</v>
      </c>
      <c r="PFO31" t="e">
        <v>#N/A</v>
      </c>
      <c r="PFP31" t="e">
        <v>#N/A</v>
      </c>
      <c r="PFQ31" t="e">
        <v>#N/A</v>
      </c>
      <c r="PFR31" t="e">
        <v>#N/A</v>
      </c>
      <c r="PFS31" t="e">
        <v>#N/A</v>
      </c>
      <c r="PFT31" t="e">
        <v>#N/A</v>
      </c>
      <c r="PFU31" t="e">
        <v>#N/A</v>
      </c>
      <c r="PFV31" t="e">
        <v>#N/A</v>
      </c>
      <c r="PFW31" t="e">
        <v>#N/A</v>
      </c>
      <c r="PFX31" t="e">
        <v>#N/A</v>
      </c>
      <c r="PFY31" t="e">
        <v>#N/A</v>
      </c>
      <c r="PFZ31" t="e">
        <v>#N/A</v>
      </c>
      <c r="PGA31" t="e">
        <v>#N/A</v>
      </c>
      <c r="PGB31" t="e">
        <v>#N/A</v>
      </c>
      <c r="PGC31" t="e">
        <v>#N/A</v>
      </c>
      <c r="PGD31" t="e">
        <v>#N/A</v>
      </c>
      <c r="PGE31" t="e">
        <v>#N/A</v>
      </c>
      <c r="PGF31" t="e">
        <v>#N/A</v>
      </c>
      <c r="PGG31" t="e">
        <v>#N/A</v>
      </c>
      <c r="PGH31" t="e">
        <v>#N/A</v>
      </c>
      <c r="PGI31" t="e">
        <v>#N/A</v>
      </c>
      <c r="PGJ31" t="e">
        <v>#N/A</v>
      </c>
      <c r="PGK31" t="e">
        <v>#N/A</v>
      </c>
      <c r="PGL31" t="e">
        <v>#N/A</v>
      </c>
      <c r="PGM31" t="e">
        <v>#N/A</v>
      </c>
      <c r="PGN31" t="e">
        <v>#N/A</v>
      </c>
      <c r="PGO31" t="e">
        <v>#N/A</v>
      </c>
      <c r="PGP31" t="e">
        <v>#N/A</v>
      </c>
      <c r="PGQ31" t="e">
        <v>#N/A</v>
      </c>
      <c r="PGR31" t="e">
        <v>#N/A</v>
      </c>
      <c r="PGS31" t="e">
        <v>#N/A</v>
      </c>
      <c r="PGT31" t="e">
        <v>#N/A</v>
      </c>
      <c r="PGU31" t="e">
        <v>#N/A</v>
      </c>
      <c r="PGV31" t="e">
        <v>#N/A</v>
      </c>
      <c r="PGW31" t="e">
        <v>#N/A</v>
      </c>
      <c r="PGX31" t="e">
        <v>#N/A</v>
      </c>
      <c r="PGY31" t="e">
        <v>#N/A</v>
      </c>
      <c r="PGZ31" t="e">
        <v>#N/A</v>
      </c>
      <c r="PHA31" t="e">
        <v>#N/A</v>
      </c>
      <c r="PHB31" t="e">
        <v>#N/A</v>
      </c>
      <c r="PHC31" t="e">
        <v>#N/A</v>
      </c>
      <c r="PHD31" t="e">
        <v>#N/A</v>
      </c>
      <c r="PHE31" t="e">
        <v>#N/A</v>
      </c>
      <c r="PHF31" t="e">
        <v>#N/A</v>
      </c>
      <c r="PHG31" t="e">
        <v>#N/A</v>
      </c>
      <c r="PHH31" t="e">
        <v>#N/A</v>
      </c>
      <c r="PHI31" t="e">
        <v>#N/A</v>
      </c>
      <c r="PHJ31" t="e">
        <v>#N/A</v>
      </c>
      <c r="PHK31" t="e">
        <v>#N/A</v>
      </c>
      <c r="PHL31" t="e">
        <v>#N/A</v>
      </c>
      <c r="PHM31" t="e">
        <v>#N/A</v>
      </c>
      <c r="PHN31" t="e">
        <v>#N/A</v>
      </c>
      <c r="PHO31" t="e">
        <v>#N/A</v>
      </c>
      <c r="PHP31" t="e">
        <v>#N/A</v>
      </c>
      <c r="PHQ31" t="e">
        <v>#N/A</v>
      </c>
      <c r="PHR31" t="e">
        <v>#N/A</v>
      </c>
      <c r="PHS31" t="e">
        <v>#N/A</v>
      </c>
      <c r="PHT31" t="e">
        <v>#N/A</v>
      </c>
      <c r="PHU31" t="e">
        <v>#N/A</v>
      </c>
      <c r="PHV31" t="e">
        <v>#N/A</v>
      </c>
      <c r="PHW31" t="e">
        <v>#N/A</v>
      </c>
      <c r="PHX31" t="e">
        <v>#N/A</v>
      </c>
      <c r="PHY31" t="e">
        <v>#N/A</v>
      </c>
      <c r="PHZ31" t="e">
        <v>#N/A</v>
      </c>
      <c r="PIA31" t="e">
        <v>#N/A</v>
      </c>
      <c r="PIB31" t="e">
        <v>#N/A</v>
      </c>
      <c r="PIC31" t="e">
        <v>#N/A</v>
      </c>
      <c r="PID31" t="e">
        <v>#N/A</v>
      </c>
      <c r="PIE31" t="e">
        <v>#N/A</v>
      </c>
      <c r="PIF31" t="e">
        <v>#N/A</v>
      </c>
      <c r="PIG31" t="e">
        <v>#N/A</v>
      </c>
      <c r="PIH31" t="e">
        <v>#N/A</v>
      </c>
      <c r="PII31" t="e">
        <v>#N/A</v>
      </c>
      <c r="PIJ31" t="e">
        <v>#N/A</v>
      </c>
      <c r="PIK31" t="e">
        <v>#N/A</v>
      </c>
      <c r="PIL31" t="e">
        <v>#N/A</v>
      </c>
      <c r="PIM31" t="e">
        <v>#N/A</v>
      </c>
      <c r="PIN31" t="e">
        <v>#N/A</v>
      </c>
      <c r="PIO31" t="e">
        <v>#N/A</v>
      </c>
      <c r="PIP31" t="e">
        <v>#N/A</v>
      </c>
      <c r="PIQ31" t="e">
        <v>#N/A</v>
      </c>
      <c r="PIR31" t="e">
        <v>#N/A</v>
      </c>
      <c r="PIS31" t="e">
        <v>#N/A</v>
      </c>
      <c r="PIT31" t="e">
        <v>#N/A</v>
      </c>
      <c r="PIU31" t="e">
        <v>#N/A</v>
      </c>
      <c r="PIV31" t="e">
        <v>#N/A</v>
      </c>
      <c r="PIW31" t="e">
        <v>#N/A</v>
      </c>
      <c r="PIX31" t="e">
        <v>#N/A</v>
      </c>
      <c r="PIY31" t="e">
        <v>#N/A</v>
      </c>
      <c r="PIZ31" t="e">
        <v>#N/A</v>
      </c>
      <c r="PJA31" t="e">
        <v>#N/A</v>
      </c>
      <c r="PJB31" t="e">
        <v>#N/A</v>
      </c>
      <c r="PJC31" t="e">
        <v>#N/A</v>
      </c>
      <c r="PJD31" t="e">
        <v>#N/A</v>
      </c>
      <c r="PJE31" t="e">
        <v>#N/A</v>
      </c>
      <c r="PJF31" t="e">
        <v>#N/A</v>
      </c>
      <c r="PJG31" t="e">
        <v>#N/A</v>
      </c>
      <c r="PJH31" t="e">
        <v>#N/A</v>
      </c>
      <c r="PJI31" t="e">
        <v>#N/A</v>
      </c>
      <c r="PJJ31" t="e">
        <v>#N/A</v>
      </c>
      <c r="PJK31" t="e">
        <v>#N/A</v>
      </c>
      <c r="PJL31" t="e">
        <v>#N/A</v>
      </c>
      <c r="PJM31" t="e">
        <v>#N/A</v>
      </c>
      <c r="PJN31" t="e">
        <v>#N/A</v>
      </c>
      <c r="PJO31" t="e">
        <v>#N/A</v>
      </c>
      <c r="PJP31" t="e">
        <v>#N/A</v>
      </c>
      <c r="PJQ31" t="e">
        <v>#N/A</v>
      </c>
      <c r="PJR31" t="e">
        <v>#N/A</v>
      </c>
      <c r="PJS31" t="e">
        <v>#N/A</v>
      </c>
      <c r="PJT31" t="e">
        <v>#N/A</v>
      </c>
      <c r="PJU31" t="e">
        <v>#N/A</v>
      </c>
      <c r="PJV31" t="e">
        <v>#N/A</v>
      </c>
      <c r="PJW31" t="e">
        <v>#N/A</v>
      </c>
      <c r="PJX31" t="e">
        <v>#N/A</v>
      </c>
      <c r="PJY31" t="e">
        <v>#N/A</v>
      </c>
      <c r="PJZ31" t="e">
        <v>#N/A</v>
      </c>
      <c r="PKA31" t="e">
        <v>#N/A</v>
      </c>
      <c r="PKB31" t="e">
        <v>#N/A</v>
      </c>
      <c r="PKC31" t="e">
        <v>#N/A</v>
      </c>
      <c r="PKD31" t="e">
        <v>#N/A</v>
      </c>
      <c r="PKE31" t="e">
        <v>#N/A</v>
      </c>
      <c r="PKF31" t="e">
        <v>#N/A</v>
      </c>
      <c r="PKG31" t="e">
        <v>#N/A</v>
      </c>
      <c r="PKH31" t="e">
        <v>#N/A</v>
      </c>
      <c r="PKI31" t="e">
        <v>#N/A</v>
      </c>
      <c r="PKJ31" t="e">
        <v>#N/A</v>
      </c>
      <c r="PKK31" t="e">
        <v>#N/A</v>
      </c>
      <c r="PKL31" t="e">
        <v>#N/A</v>
      </c>
      <c r="PKM31" t="e">
        <v>#N/A</v>
      </c>
      <c r="PKN31" t="e">
        <v>#N/A</v>
      </c>
      <c r="PKO31" t="e">
        <v>#N/A</v>
      </c>
      <c r="PKP31" t="e">
        <v>#N/A</v>
      </c>
      <c r="PKQ31" t="e">
        <v>#N/A</v>
      </c>
      <c r="PKR31" t="e">
        <v>#N/A</v>
      </c>
      <c r="PKS31" t="e">
        <v>#N/A</v>
      </c>
      <c r="PKT31" t="e">
        <v>#N/A</v>
      </c>
      <c r="PKU31" t="e">
        <v>#N/A</v>
      </c>
      <c r="PKV31" t="e">
        <v>#N/A</v>
      </c>
      <c r="PKW31" t="e">
        <v>#N/A</v>
      </c>
      <c r="PKX31" t="e">
        <v>#N/A</v>
      </c>
      <c r="PKY31" t="e">
        <v>#N/A</v>
      </c>
      <c r="PKZ31" t="e">
        <v>#N/A</v>
      </c>
      <c r="PLA31" t="e">
        <v>#N/A</v>
      </c>
      <c r="PLB31" t="e">
        <v>#N/A</v>
      </c>
      <c r="PLC31" t="e">
        <v>#N/A</v>
      </c>
      <c r="PLD31" t="e">
        <v>#N/A</v>
      </c>
      <c r="PLE31" t="e">
        <v>#N/A</v>
      </c>
      <c r="PLF31" t="e">
        <v>#N/A</v>
      </c>
      <c r="PLG31" t="e">
        <v>#N/A</v>
      </c>
      <c r="PLH31" t="e">
        <v>#N/A</v>
      </c>
      <c r="PLI31" t="e">
        <v>#N/A</v>
      </c>
      <c r="PLJ31" t="e">
        <v>#N/A</v>
      </c>
      <c r="PLK31" t="e">
        <v>#N/A</v>
      </c>
      <c r="PLL31" t="e">
        <v>#N/A</v>
      </c>
      <c r="PLM31" t="e">
        <v>#N/A</v>
      </c>
      <c r="PLN31" t="e">
        <v>#N/A</v>
      </c>
      <c r="PLO31" t="e">
        <v>#N/A</v>
      </c>
      <c r="PLP31" t="e">
        <v>#N/A</v>
      </c>
      <c r="PLQ31" t="e">
        <v>#N/A</v>
      </c>
      <c r="PLR31" t="e">
        <v>#N/A</v>
      </c>
      <c r="PLS31" t="e">
        <v>#N/A</v>
      </c>
      <c r="PLT31" t="e">
        <v>#N/A</v>
      </c>
      <c r="PLU31" t="e">
        <v>#N/A</v>
      </c>
      <c r="PLV31" t="e">
        <v>#N/A</v>
      </c>
      <c r="PLW31" t="e">
        <v>#N/A</v>
      </c>
      <c r="PLX31" t="e">
        <v>#N/A</v>
      </c>
      <c r="PLY31" t="e">
        <v>#N/A</v>
      </c>
      <c r="PLZ31" t="e">
        <v>#N/A</v>
      </c>
      <c r="PMA31" t="e">
        <v>#N/A</v>
      </c>
      <c r="PMB31" t="e">
        <v>#N/A</v>
      </c>
      <c r="PMC31" t="e">
        <v>#N/A</v>
      </c>
      <c r="PMD31" t="e">
        <v>#N/A</v>
      </c>
      <c r="PME31" t="e">
        <v>#N/A</v>
      </c>
      <c r="PMF31" t="e">
        <v>#N/A</v>
      </c>
      <c r="PMG31" t="e">
        <v>#N/A</v>
      </c>
      <c r="PMH31" t="e">
        <v>#N/A</v>
      </c>
      <c r="PMI31" t="e">
        <v>#N/A</v>
      </c>
      <c r="PMJ31" t="e">
        <v>#N/A</v>
      </c>
      <c r="PMK31" t="e">
        <v>#N/A</v>
      </c>
      <c r="PML31" t="e">
        <v>#N/A</v>
      </c>
      <c r="PMM31" t="e">
        <v>#N/A</v>
      </c>
      <c r="PMN31" t="e">
        <v>#N/A</v>
      </c>
      <c r="PMO31" t="e">
        <v>#N/A</v>
      </c>
      <c r="PMP31" t="e">
        <v>#N/A</v>
      </c>
      <c r="PMQ31" t="e">
        <v>#N/A</v>
      </c>
      <c r="PMR31" t="e">
        <v>#N/A</v>
      </c>
      <c r="PMS31" t="e">
        <v>#N/A</v>
      </c>
      <c r="PMT31" t="e">
        <v>#N/A</v>
      </c>
      <c r="PMU31" t="e">
        <v>#N/A</v>
      </c>
      <c r="PMV31" t="e">
        <v>#N/A</v>
      </c>
      <c r="PMW31" t="e">
        <v>#N/A</v>
      </c>
      <c r="PMX31" t="e">
        <v>#N/A</v>
      </c>
      <c r="PMY31" t="e">
        <v>#N/A</v>
      </c>
      <c r="PMZ31" t="e">
        <v>#N/A</v>
      </c>
      <c r="PNA31" t="e">
        <v>#N/A</v>
      </c>
      <c r="PNB31" t="e">
        <v>#N/A</v>
      </c>
      <c r="PNC31" t="e">
        <v>#N/A</v>
      </c>
      <c r="PND31" t="e">
        <v>#N/A</v>
      </c>
      <c r="PNE31" t="e">
        <v>#N/A</v>
      </c>
      <c r="PNF31" t="e">
        <v>#N/A</v>
      </c>
      <c r="PNG31" t="e">
        <v>#N/A</v>
      </c>
      <c r="PNH31" t="e">
        <v>#N/A</v>
      </c>
      <c r="PNI31" t="e">
        <v>#N/A</v>
      </c>
      <c r="PNJ31" t="e">
        <v>#N/A</v>
      </c>
      <c r="PNK31" t="e">
        <v>#N/A</v>
      </c>
      <c r="PNL31" t="e">
        <v>#N/A</v>
      </c>
      <c r="PNM31" t="e">
        <v>#N/A</v>
      </c>
      <c r="PNN31" t="e">
        <v>#N/A</v>
      </c>
      <c r="PNO31" t="e">
        <v>#N/A</v>
      </c>
      <c r="PNP31" t="e">
        <v>#N/A</v>
      </c>
      <c r="PNQ31" t="e">
        <v>#N/A</v>
      </c>
      <c r="PNR31" t="e">
        <v>#N/A</v>
      </c>
      <c r="PNS31" t="e">
        <v>#N/A</v>
      </c>
      <c r="PNT31" t="e">
        <v>#N/A</v>
      </c>
      <c r="PNU31" t="e">
        <v>#N/A</v>
      </c>
      <c r="PNV31" t="e">
        <v>#N/A</v>
      </c>
      <c r="PNW31" t="e">
        <v>#N/A</v>
      </c>
      <c r="PNX31" t="e">
        <v>#N/A</v>
      </c>
      <c r="PNY31" t="e">
        <v>#N/A</v>
      </c>
      <c r="PNZ31" t="e">
        <v>#N/A</v>
      </c>
      <c r="POA31" t="e">
        <v>#N/A</v>
      </c>
      <c r="POB31" t="e">
        <v>#N/A</v>
      </c>
      <c r="POC31" t="e">
        <v>#N/A</v>
      </c>
      <c r="POD31" t="e">
        <v>#N/A</v>
      </c>
      <c r="POE31" t="e">
        <v>#N/A</v>
      </c>
      <c r="POF31" t="e">
        <v>#N/A</v>
      </c>
      <c r="POG31" t="e">
        <v>#N/A</v>
      </c>
      <c r="POH31" t="e">
        <v>#N/A</v>
      </c>
      <c r="POI31" t="e">
        <v>#N/A</v>
      </c>
      <c r="POJ31" t="e">
        <v>#N/A</v>
      </c>
      <c r="POK31" t="e">
        <v>#N/A</v>
      </c>
      <c r="POL31" t="e">
        <v>#N/A</v>
      </c>
      <c r="POM31" t="e">
        <v>#N/A</v>
      </c>
      <c r="PON31" t="e">
        <v>#N/A</v>
      </c>
      <c r="POO31" t="e">
        <v>#N/A</v>
      </c>
      <c r="POP31" t="e">
        <v>#N/A</v>
      </c>
      <c r="POQ31" t="e">
        <v>#N/A</v>
      </c>
      <c r="POR31" t="e">
        <v>#N/A</v>
      </c>
      <c r="POS31" t="e">
        <v>#N/A</v>
      </c>
      <c r="POT31" t="e">
        <v>#N/A</v>
      </c>
      <c r="POU31" t="e">
        <v>#N/A</v>
      </c>
      <c r="POV31" t="e">
        <v>#N/A</v>
      </c>
      <c r="POW31" t="e">
        <v>#N/A</v>
      </c>
      <c r="POX31" t="e">
        <v>#N/A</v>
      </c>
      <c r="POY31" t="e">
        <v>#N/A</v>
      </c>
      <c r="POZ31" t="e">
        <v>#N/A</v>
      </c>
      <c r="PPA31" t="e">
        <v>#N/A</v>
      </c>
      <c r="PPB31" t="e">
        <v>#N/A</v>
      </c>
      <c r="PPC31" t="e">
        <v>#N/A</v>
      </c>
      <c r="PPD31" t="e">
        <v>#N/A</v>
      </c>
      <c r="PPE31" t="e">
        <v>#N/A</v>
      </c>
      <c r="PPF31" t="e">
        <v>#N/A</v>
      </c>
      <c r="PPG31" t="e">
        <v>#N/A</v>
      </c>
      <c r="PPH31" t="e">
        <v>#N/A</v>
      </c>
      <c r="PPI31" t="e">
        <v>#N/A</v>
      </c>
      <c r="PPJ31" t="e">
        <v>#N/A</v>
      </c>
      <c r="PPK31" t="e">
        <v>#N/A</v>
      </c>
      <c r="PPL31" t="e">
        <v>#N/A</v>
      </c>
      <c r="PPM31" t="e">
        <v>#N/A</v>
      </c>
      <c r="PPN31" t="e">
        <v>#N/A</v>
      </c>
      <c r="PPO31" t="e">
        <v>#N/A</v>
      </c>
      <c r="PPP31" t="e">
        <v>#N/A</v>
      </c>
      <c r="PPQ31" t="e">
        <v>#N/A</v>
      </c>
      <c r="PPR31" t="e">
        <v>#N/A</v>
      </c>
      <c r="PPS31" t="e">
        <v>#N/A</v>
      </c>
      <c r="PPT31" t="e">
        <v>#N/A</v>
      </c>
      <c r="PPU31" t="e">
        <v>#N/A</v>
      </c>
      <c r="PPV31" t="e">
        <v>#N/A</v>
      </c>
      <c r="PPW31" t="e">
        <v>#N/A</v>
      </c>
      <c r="PPX31" t="e">
        <v>#N/A</v>
      </c>
      <c r="PPY31" t="e">
        <v>#N/A</v>
      </c>
      <c r="PPZ31" t="e">
        <v>#N/A</v>
      </c>
      <c r="PQA31" t="e">
        <v>#N/A</v>
      </c>
      <c r="PQB31" t="e">
        <v>#N/A</v>
      </c>
      <c r="PQC31" t="e">
        <v>#N/A</v>
      </c>
      <c r="PQD31" t="e">
        <v>#N/A</v>
      </c>
      <c r="PQE31" t="e">
        <v>#N/A</v>
      </c>
      <c r="PQF31" t="e">
        <v>#N/A</v>
      </c>
      <c r="PQG31" t="e">
        <v>#N/A</v>
      </c>
      <c r="PQH31" t="e">
        <v>#N/A</v>
      </c>
      <c r="PQI31" t="e">
        <v>#N/A</v>
      </c>
      <c r="PQJ31" t="e">
        <v>#N/A</v>
      </c>
      <c r="PQK31" t="e">
        <v>#N/A</v>
      </c>
      <c r="PQL31" t="e">
        <v>#N/A</v>
      </c>
      <c r="PQM31" t="e">
        <v>#N/A</v>
      </c>
      <c r="PQN31" t="e">
        <v>#N/A</v>
      </c>
      <c r="PQO31" t="e">
        <v>#N/A</v>
      </c>
      <c r="PQP31" t="e">
        <v>#N/A</v>
      </c>
      <c r="PQQ31" t="e">
        <v>#N/A</v>
      </c>
      <c r="PQR31" t="e">
        <v>#N/A</v>
      </c>
      <c r="PQS31" t="e">
        <v>#N/A</v>
      </c>
      <c r="PQT31" t="e">
        <v>#N/A</v>
      </c>
      <c r="PQU31" t="e">
        <v>#N/A</v>
      </c>
      <c r="PQV31" t="e">
        <v>#N/A</v>
      </c>
      <c r="PQW31" t="e">
        <v>#N/A</v>
      </c>
      <c r="PQX31" t="e">
        <v>#N/A</v>
      </c>
      <c r="PQY31" t="e">
        <v>#N/A</v>
      </c>
      <c r="PQZ31" t="e">
        <v>#N/A</v>
      </c>
      <c r="PRA31" t="e">
        <v>#N/A</v>
      </c>
      <c r="PRB31" t="e">
        <v>#N/A</v>
      </c>
      <c r="PRC31" t="e">
        <v>#N/A</v>
      </c>
      <c r="PRD31" t="e">
        <v>#N/A</v>
      </c>
      <c r="PRE31" t="e">
        <v>#N/A</v>
      </c>
      <c r="PRF31" t="e">
        <v>#N/A</v>
      </c>
      <c r="PRG31" t="e">
        <v>#N/A</v>
      </c>
      <c r="PRH31" t="e">
        <v>#N/A</v>
      </c>
      <c r="PRI31" t="e">
        <v>#N/A</v>
      </c>
      <c r="PRJ31" t="e">
        <v>#N/A</v>
      </c>
      <c r="PRK31" t="e">
        <v>#N/A</v>
      </c>
      <c r="PRL31" t="e">
        <v>#N/A</v>
      </c>
      <c r="PRM31" t="e">
        <v>#N/A</v>
      </c>
      <c r="PRN31" t="e">
        <v>#N/A</v>
      </c>
      <c r="PRO31" t="e">
        <v>#N/A</v>
      </c>
      <c r="PRP31" t="e">
        <v>#N/A</v>
      </c>
      <c r="PRQ31" t="e">
        <v>#N/A</v>
      </c>
      <c r="PRR31" t="e">
        <v>#N/A</v>
      </c>
      <c r="PRS31" t="e">
        <v>#N/A</v>
      </c>
      <c r="PRT31" t="e">
        <v>#N/A</v>
      </c>
      <c r="PRU31" t="e">
        <v>#N/A</v>
      </c>
      <c r="PRV31" t="e">
        <v>#N/A</v>
      </c>
      <c r="PRW31" t="e">
        <v>#N/A</v>
      </c>
      <c r="PRX31" t="e">
        <v>#N/A</v>
      </c>
      <c r="PRY31" t="e">
        <v>#N/A</v>
      </c>
      <c r="PRZ31" t="e">
        <v>#N/A</v>
      </c>
      <c r="PSA31" t="e">
        <v>#N/A</v>
      </c>
      <c r="PSB31" t="e">
        <v>#N/A</v>
      </c>
      <c r="PSC31" t="e">
        <v>#N/A</v>
      </c>
      <c r="PSD31" t="e">
        <v>#N/A</v>
      </c>
      <c r="PSE31" t="e">
        <v>#N/A</v>
      </c>
      <c r="PSF31" t="e">
        <v>#N/A</v>
      </c>
      <c r="PSG31" t="e">
        <v>#N/A</v>
      </c>
      <c r="PSH31" t="e">
        <v>#N/A</v>
      </c>
      <c r="PSI31" t="e">
        <v>#N/A</v>
      </c>
      <c r="PSJ31" t="e">
        <v>#N/A</v>
      </c>
      <c r="PSK31" t="e">
        <v>#N/A</v>
      </c>
      <c r="PSL31" t="e">
        <v>#N/A</v>
      </c>
      <c r="PSM31" t="e">
        <v>#N/A</v>
      </c>
      <c r="PSN31" t="e">
        <v>#N/A</v>
      </c>
      <c r="PSO31" t="e">
        <v>#N/A</v>
      </c>
      <c r="PSP31" t="e">
        <v>#N/A</v>
      </c>
      <c r="PSQ31" t="e">
        <v>#N/A</v>
      </c>
      <c r="PSR31" t="e">
        <v>#N/A</v>
      </c>
      <c r="PSS31" t="e">
        <v>#N/A</v>
      </c>
      <c r="PST31" t="e">
        <v>#N/A</v>
      </c>
      <c r="PSU31" t="e">
        <v>#N/A</v>
      </c>
      <c r="PSV31" t="e">
        <v>#N/A</v>
      </c>
      <c r="PSW31" t="e">
        <v>#N/A</v>
      </c>
      <c r="PSX31" t="e">
        <v>#N/A</v>
      </c>
      <c r="PSY31" t="e">
        <v>#N/A</v>
      </c>
      <c r="PSZ31" t="e">
        <v>#N/A</v>
      </c>
      <c r="PTA31" t="e">
        <v>#N/A</v>
      </c>
      <c r="PTB31" t="e">
        <v>#N/A</v>
      </c>
      <c r="PTC31" t="e">
        <v>#N/A</v>
      </c>
      <c r="PTD31" t="e">
        <v>#N/A</v>
      </c>
      <c r="PTE31" t="e">
        <v>#N/A</v>
      </c>
      <c r="PTF31" t="e">
        <v>#N/A</v>
      </c>
      <c r="PTG31" t="e">
        <v>#N/A</v>
      </c>
      <c r="PTH31" t="e">
        <v>#N/A</v>
      </c>
      <c r="PTI31" t="e">
        <v>#N/A</v>
      </c>
      <c r="PTJ31" t="e">
        <v>#N/A</v>
      </c>
      <c r="PTK31" t="e">
        <v>#N/A</v>
      </c>
      <c r="PTL31" t="e">
        <v>#N/A</v>
      </c>
      <c r="PTM31" t="e">
        <v>#N/A</v>
      </c>
      <c r="PTN31" t="e">
        <v>#N/A</v>
      </c>
      <c r="PTO31" t="e">
        <v>#N/A</v>
      </c>
      <c r="PTP31" t="e">
        <v>#N/A</v>
      </c>
      <c r="PTQ31" t="e">
        <v>#N/A</v>
      </c>
      <c r="PTR31" t="e">
        <v>#N/A</v>
      </c>
      <c r="PTS31" t="e">
        <v>#N/A</v>
      </c>
      <c r="PTT31" t="e">
        <v>#N/A</v>
      </c>
      <c r="PTU31" t="e">
        <v>#N/A</v>
      </c>
      <c r="PTV31" t="e">
        <v>#N/A</v>
      </c>
      <c r="PTW31" t="e">
        <v>#N/A</v>
      </c>
      <c r="PTX31" t="e">
        <v>#N/A</v>
      </c>
      <c r="PTY31" t="e">
        <v>#N/A</v>
      </c>
      <c r="PTZ31" t="e">
        <v>#N/A</v>
      </c>
      <c r="PUA31" t="e">
        <v>#N/A</v>
      </c>
      <c r="PUB31" t="e">
        <v>#N/A</v>
      </c>
      <c r="PUC31" t="e">
        <v>#N/A</v>
      </c>
      <c r="PUD31" t="e">
        <v>#N/A</v>
      </c>
      <c r="PUE31" t="e">
        <v>#N/A</v>
      </c>
      <c r="PUF31" t="e">
        <v>#N/A</v>
      </c>
      <c r="PUG31" t="e">
        <v>#N/A</v>
      </c>
      <c r="PUH31" t="e">
        <v>#N/A</v>
      </c>
      <c r="PUI31" t="e">
        <v>#N/A</v>
      </c>
      <c r="PUJ31" t="e">
        <v>#N/A</v>
      </c>
      <c r="PUK31" t="e">
        <v>#N/A</v>
      </c>
      <c r="PUL31" t="e">
        <v>#N/A</v>
      </c>
      <c r="PUM31" t="e">
        <v>#N/A</v>
      </c>
      <c r="PUN31" t="e">
        <v>#N/A</v>
      </c>
      <c r="PUO31" t="e">
        <v>#N/A</v>
      </c>
      <c r="PUP31" t="e">
        <v>#N/A</v>
      </c>
      <c r="PUQ31" t="e">
        <v>#N/A</v>
      </c>
      <c r="PUR31" t="e">
        <v>#N/A</v>
      </c>
      <c r="PUS31" t="e">
        <v>#N/A</v>
      </c>
      <c r="PUT31" t="e">
        <v>#N/A</v>
      </c>
      <c r="PUU31" t="e">
        <v>#N/A</v>
      </c>
      <c r="PUV31" t="e">
        <v>#N/A</v>
      </c>
      <c r="PUW31" t="e">
        <v>#N/A</v>
      </c>
      <c r="PUX31" t="e">
        <v>#N/A</v>
      </c>
      <c r="PUY31" t="e">
        <v>#N/A</v>
      </c>
      <c r="PUZ31" t="e">
        <v>#N/A</v>
      </c>
      <c r="PVA31" t="e">
        <v>#N/A</v>
      </c>
      <c r="PVB31" t="e">
        <v>#N/A</v>
      </c>
      <c r="PVC31" t="e">
        <v>#N/A</v>
      </c>
      <c r="PVD31" t="e">
        <v>#N/A</v>
      </c>
      <c r="PVE31" t="e">
        <v>#N/A</v>
      </c>
      <c r="PVF31" t="e">
        <v>#N/A</v>
      </c>
      <c r="PVG31" t="e">
        <v>#N/A</v>
      </c>
      <c r="PVH31" t="e">
        <v>#N/A</v>
      </c>
      <c r="PVI31" t="e">
        <v>#N/A</v>
      </c>
      <c r="PVJ31" t="e">
        <v>#N/A</v>
      </c>
      <c r="PVK31" t="e">
        <v>#N/A</v>
      </c>
      <c r="PVL31" t="e">
        <v>#N/A</v>
      </c>
      <c r="PVM31" t="e">
        <v>#N/A</v>
      </c>
      <c r="PVN31" t="e">
        <v>#N/A</v>
      </c>
      <c r="PVO31" t="e">
        <v>#N/A</v>
      </c>
      <c r="PVP31" t="e">
        <v>#N/A</v>
      </c>
      <c r="PVQ31" t="e">
        <v>#N/A</v>
      </c>
      <c r="PVR31" t="e">
        <v>#N/A</v>
      </c>
      <c r="PVS31" t="e">
        <v>#N/A</v>
      </c>
      <c r="PVT31" t="e">
        <v>#N/A</v>
      </c>
      <c r="PVU31" t="e">
        <v>#N/A</v>
      </c>
      <c r="PVV31" t="e">
        <v>#N/A</v>
      </c>
      <c r="PVW31" t="e">
        <v>#N/A</v>
      </c>
      <c r="PVX31" t="e">
        <v>#N/A</v>
      </c>
      <c r="PVY31" t="e">
        <v>#N/A</v>
      </c>
      <c r="PVZ31" t="e">
        <v>#N/A</v>
      </c>
      <c r="PWA31" t="e">
        <v>#N/A</v>
      </c>
      <c r="PWB31" t="e">
        <v>#N/A</v>
      </c>
      <c r="PWC31" t="e">
        <v>#N/A</v>
      </c>
      <c r="PWD31" t="e">
        <v>#N/A</v>
      </c>
      <c r="PWE31" t="e">
        <v>#N/A</v>
      </c>
      <c r="PWF31" t="e">
        <v>#N/A</v>
      </c>
      <c r="PWG31" t="e">
        <v>#N/A</v>
      </c>
      <c r="PWH31" t="e">
        <v>#N/A</v>
      </c>
      <c r="PWI31" t="e">
        <v>#N/A</v>
      </c>
      <c r="PWJ31" t="e">
        <v>#N/A</v>
      </c>
      <c r="PWK31" t="e">
        <v>#N/A</v>
      </c>
      <c r="PWL31" t="e">
        <v>#N/A</v>
      </c>
      <c r="PWM31" t="e">
        <v>#N/A</v>
      </c>
      <c r="PWN31" t="e">
        <v>#N/A</v>
      </c>
      <c r="PWO31" t="e">
        <v>#N/A</v>
      </c>
      <c r="PWP31" t="e">
        <v>#N/A</v>
      </c>
      <c r="PWQ31" t="e">
        <v>#N/A</v>
      </c>
      <c r="PWR31" t="e">
        <v>#N/A</v>
      </c>
      <c r="PWS31" t="e">
        <v>#N/A</v>
      </c>
      <c r="PWT31" t="e">
        <v>#N/A</v>
      </c>
      <c r="PWU31" t="e">
        <v>#N/A</v>
      </c>
      <c r="PWV31" t="e">
        <v>#N/A</v>
      </c>
      <c r="PWW31" t="e">
        <v>#N/A</v>
      </c>
      <c r="PWX31" t="e">
        <v>#N/A</v>
      </c>
      <c r="PWY31" t="e">
        <v>#N/A</v>
      </c>
      <c r="PWZ31" t="e">
        <v>#N/A</v>
      </c>
      <c r="PXA31" t="e">
        <v>#N/A</v>
      </c>
      <c r="PXB31" t="e">
        <v>#N/A</v>
      </c>
      <c r="PXC31" t="e">
        <v>#N/A</v>
      </c>
      <c r="PXD31" t="e">
        <v>#N/A</v>
      </c>
      <c r="PXE31" t="e">
        <v>#N/A</v>
      </c>
      <c r="PXF31" t="e">
        <v>#N/A</v>
      </c>
      <c r="PXG31" t="e">
        <v>#N/A</v>
      </c>
      <c r="PXH31" t="e">
        <v>#N/A</v>
      </c>
      <c r="PXI31" t="e">
        <v>#N/A</v>
      </c>
      <c r="PXJ31" t="e">
        <v>#N/A</v>
      </c>
      <c r="PXK31" t="e">
        <v>#N/A</v>
      </c>
      <c r="PXL31" t="e">
        <v>#N/A</v>
      </c>
      <c r="PXM31" t="e">
        <v>#N/A</v>
      </c>
      <c r="PXN31" t="e">
        <v>#N/A</v>
      </c>
      <c r="PXO31" t="e">
        <v>#N/A</v>
      </c>
      <c r="PXP31" t="e">
        <v>#N/A</v>
      </c>
      <c r="PXQ31" t="e">
        <v>#N/A</v>
      </c>
      <c r="PXR31" t="e">
        <v>#N/A</v>
      </c>
      <c r="PXS31" t="e">
        <v>#N/A</v>
      </c>
      <c r="PXT31" t="e">
        <v>#N/A</v>
      </c>
      <c r="PXU31" t="e">
        <v>#N/A</v>
      </c>
      <c r="PXV31" t="e">
        <v>#N/A</v>
      </c>
      <c r="PXW31" t="e">
        <v>#N/A</v>
      </c>
      <c r="PXX31" t="e">
        <v>#N/A</v>
      </c>
      <c r="PXY31" t="e">
        <v>#N/A</v>
      </c>
      <c r="PXZ31" t="e">
        <v>#N/A</v>
      </c>
      <c r="PYA31" t="e">
        <v>#N/A</v>
      </c>
      <c r="PYB31" t="e">
        <v>#N/A</v>
      </c>
      <c r="PYC31" t="e">
        <v>#N/A</v>
      </c>
      <c r="PYD31" t="e">
        <v>#N/A</v>
      </c>
      <c r="PYE31" t="e">
        <v>#N/A</v>
      </c>
      <c r="PYF31" t="e">
        <v>#N/A</v>
      </c>
      <c r="PYG31" t="e">
        <v>#N/A</v>
      </c>
      <c r="PYH31" t="e">
        <v>#N/A</v>
      </c>
      <c r="PYI31" t="e">
        <v>#N/A</v>
      </c>
      <c r="PYJ31" t="e">
        <v>#N/A</v>
      </c>
      <c r="PYK31" t="e">
        <v>#N/A</v>
      </c>
      <c r="PYL31" t="e">
        <v>#N/A</v>
      </c>
      <c r="PYM31" t="e">
        <v>#N/A</v>
      </c>
      <c r="PYN31" t="e">
        <v>#N/A</v>
      </c>
      <c r="PYO31" t="e">
        <v>#N/A</v>
      </c>
      <c r="PYP31" t="e">
        <v>#N/A</v>
      </c>
      <c r="PYQ31" t="e">
        <v>#N/A</v>
      </c>
      <c r="PYR31" t="e">
        <v>#N/A</v>
      </c>
      <c r="PYS31" t="e">
        <v>#N/A</v>
      </c>
      <c r="PYT31" t="e">
        <v>#N/A</v>
      </c>
      <c r="PYU31" t="e">
        <v>#N/A</v>
      </c>
      <c r="PYV31" t="e">
        <v>#N/A</v>
      </c>
      <c r="PYW31" t="e">
        <v>#N/A</v>
      </c>
      <c r="PYX31" t="e">
        <v>#N/A</v>
      </c>
      <c r="PYY31" t="e">
        <v>#N/A</v>
      </c>
      <c r="PYZ31" t="e">
        <v>#N/A</v>
      </c>
      <c r="PZA31" t="e">
        <v>#N/A</v>
      </c>
      <c r="PZB31" t="e">
        <v>#N/A</v>
      </c>
      <c r="PZC31" t="e">
        <v>#N/A</v>
      </c>
      <c r="PZD31" t="e">
        <v>#N/A</v>
      </c>
      <c r="PZE31" t="e">
        <v>#N/A</v>
      </c>
      <c r="PZF31" t="e">
        <v>#N/A</v>
      </c>
      <c r="PZG31" t="e">
        <v>#N/A</v>
      </c>
      <c r="PZH31" t="e">
        <v>#N/A</v>
      </c>
      <c r="PZI31" t="e">
        <v>#N/A</v>
      </c>
      <c r="PZJ31" t="e">
        <v>#N/A</v>
      </c>
      <c r="PZK31" t="e">
        <v>#N/A</v>
      </c>
      <c r="PZL31" t="e">
        <v>#N/A</v>
      </c>
      <c r="PZM31" t="e">
        <v>#N/A</v>
      </c>
      <c r="PZN31" t="e">
        <v>#N/A</v>
      </c>
      <c r="PZO31" t="e">
        <v>#N/A</v>
      </c>
      <c r="PZP31" t="e">
        <v>#N/A</v>
      </c>
      <c r="PZQ31" t="e">
        <v>#N/A</v>
      </c>
      <c r="PZR31" t="e">
        <v>#N/A</v>
      </c>
      <c r="PZS31" t="e">
        <v>#N/A</v>
      </c>
      <c r="PZT31" t="e">
        <v>#N/A</v>
      </c>
      <c r="PZU31" t="e">
        <v>#N/A</v>
      </c>
      <c r="PZV31" t="e">
        <v>#N/A</v>
      </c>
      <c r="PZW31" t="e">
        <v>#N/A</v>
      </c>
      <c r="PZX31" t="e">
        <v>#N/A</v>
      </c>
      <c r="PZY31" t="e">
        <v>#N/A</v>
      </c>
      <c r="PZZ31" t="e">
        <v>#N/A</v>
      </c>
      <c r="QAA31" t="e">
        <v>#N/A</v>
      </c>
      <c r="QAB31" t="e">
        <v>#N/A</v>
      </c>
      <c r="QAC31" t="e">
        <v>#N/A</v>
      </c>
      <c r="QAD31" t="e">
        <v>#N/A</v>
      </c>
      <c r="QAE31" t="e">
        <v>#N/A</v>
      </c>
      <c r="QAF31" t="e">
        <v>#N/A</v>
      </c>
      <c r="QAG31" t="e">
        <v>#N/A</v>
      </c>
      <c r="QAH31" t="e">
        <v>#N/A</v>
      </c>
      <c r="QAI31" t="e">
        <v>#N/A</v>
      </c>
      <c r="QAJ31" t="e">
        <v>#N/A</v>
      </c>
      <c r="QAK31" t="e">
        <v>#N/A</v>
      </c>
      <c r="QAL31" t="e">
        <v>#N/A</v>
      </c>
      <c r="QAM31" t="e">
        <v>#N/A</v>
      </c>
      <c r="QAN31" t="e">
        <v>#N/A</v>
      </c>
      <c r="QAO31" t="e">
        <v>#N/A</v>
      </c>
      <c r="QAP31" t="e">
        <v>#N/A</v>
      </c>
      <c r="QAQ31" t="e">
        <v>#N/A</v>
      </c>
      <c r="QAR31" t="e">
        <v>#N/A</v>
      </c>
      <c r="QAS31" t="e">
        <v>#N/A</v>
      </c>
      <c r="QAT31" t="e">
        <v>#N/A</v>
      </c>
      <c r="QAU31" t="e">
        <v>#N/A</v>
      </c>
      <c r="QAV31" t="e">
        <v>#N/A</v>
      </c>
      <c r="QAW31" t="e">
        <v>#N/A</v>
      </c>
      <c r="QAX31" t="e">
        <v>#N/A</v>
      </c>
      <c r="QAY31" t="e">
        <v>#N/A</v>
      </c>
      <c r="QAZ31" t="e">
        <v>#N/A</v>
      </c>
      <c r="QBA31" t="e">
        <v>#N/A</v>
      </c>
      <c r="QBB31" t="e">
        <v>#N/A</v>
      </c>
      <c r="QBC31" t="e">
        <v>#N/A</v>
      </c>
      <c r="QBD31" t="e">
        <v>#N/A</v>
      </c>
      <c r="QBE31" t="e">
        <v>#N/A</v>
      </c>
      <c r="QBF31" t="e">
        <v>#N/A</v>
      </c>
      <c r="QBG31" t="e">
        <v>#N/A</v>
      </c>
      <c r="QBH31" t="e">
        <v>#N/A</v>
      </c>
      <c r="QBI31" t="e">
        <v>#N/A</v>
      </c>
      <c r="QBJ31" t="e">
        <v>#N/A</v>
      </c>
      <c r="QBK31" t="e">
        <v>#N/A</v>
      </c>
      <c r="QBL31" t="e">
        <v>#N/A</v>
      </c>
      <c r="QBM31" t="e">
        <v>#N/A</v>
      </c>
      <c r="QBN31" t="e">
        <v>#N/A</v>
      </c>
      <c r="QBO31" t="e">
        <v>#N/A</v>
      </c>
      <c r="QBP31" t="e">
        <v>#N/A</v>
      </c>
      <c r="QBQ31" t="e">
        <v>#N/A</v>
      </c>
      <c r="QBR31" t="e">
        <v>#N/A</v>
      </c>
      <c r="QBS31" t="e">
        <v>#N/A</v>
      </c>
      <c r="QBT31" t="e">
        <v>#N/A</v>
      </c>
      <c r="QBU31" t="e">
        <v>#N/A</v>
      </c>
      <c r="QBV31" t="e">
        <v>#N/A</v>
      </c>
      <c r="QBW31" t="e">
        <v>#N/A</v>
      </c>
      <c r="QBX31" t="e">
        <v>#N/A</v>
      </c>
      <c r="QBY31" t="e">
        <v>#N/A</v>
      </c>
      <c r="QBZ31" t="e">
        <v>#N/A</v>
      </c>
      <c r="QCA31" t="e">
        <v>#N/A</v>
      </c>
      <c r="QCB31" t="e">
        <v>#N/A</v>
      </c>
      <c r="QCC31" t="e">
        <v>#N/A</v>
      </c>
      <c r="QCD31" t="e">
        <v>#N/A</v>
      </c>
      <c r="QCE31" t="e">
        <v>#N/A</v>
      </c>
      <c r="QCF31" t="e">
        <v>#N/A</v>
      </c>
      <c r="QCG31" t="e">
        <v>#N/A</v>
      </c>
      <c r="QCH31" t="e">
        <v>#N/A</v>
      </c>
      <c r="QCI31" t="e">
        <v>#N/A</v>
      </c>
      <c r="QCJ31" t="e">
        <v>#N/A</v>
      </c>
      <c r="QCK31" t="e">
        <v>#N/A</v>
      </c>
      <c r="QCL31" t="e">
        <v>#N/A</v>
      </c>
      <c r="QCM31" t="e">
        <v>#N/A</v>
      </c>
      <c r="QCN31" t="e">
        <v>#N/A</v>
      </c>
      <c r="QCO31" t="e">
        <v>#N/A</v>
      </c>
      <c r="QCP31" t="e">
        <v>#N/A</v>
      </c>
      <c r="QCQ31" t="e">
        <v>#N/A</v>
      </c>
      <c r="QCR31" t="e">
        <v>#N/A</v>
      </c>
      <c r="QCS31" t="e">
        <v>#N/A</v>
      </c>
      <c r="QCT31" t="e">
        <v>#N/A</v>
      </c>
      <c r="QCU31" t="e">
        <v>#N/A</v>
      </c>
      <c r="QCV31" t="e">
        <v>#N/A</v>
      </c>
      <c r="QCW31" t="e">
        <v>#N/A</v>
      </c>
      <c r="QCX31" t="e">
        <v>#N/A</v>
      </c>
      <c r="QCY31" t="e">
        <v>#N/A</v>
      </c>
      <c r="QCZ31" t="e">
        <v>#N/A</v>
      </c>
      <c r="QDA31" t="e">
        <v>#N/A</v>
      </c>
      <c r="QDB31" t="e">
        <v>#N/A</v>
      </c>
      <c r="QDC31" t="e">
        <v>#N/A</v>
      </c>
      <c r="QDD31" t="e">
        <v>#N/A</v>
      </c>
      <c r="QDE31" t="e">
        <v>#N/A</v>
      </c>
      <c r="QDF31" t="e">
        <v>#N/A</v>
      </c>
      <c r="QDG31" t="e">
        <v>#N/A</v>
      </c>
      <c r="QDH31" t="e">
        <v>#N/A</v>
      </c>
      <c r="QDI31" t="e">
        <v>#N/A</v>
      </c>
      <c r="QDJ31" t="e">
        <v>#N/A</v>
      </c>
      <c r="QDK31" t="e">
        <v>#N/A</v>
      </c>
      <c r="QDL31" t="e">
        <v>#N/A</v>
      </c>
      <c r="QDM31" t="e">
        <v>#N/A</v>
      </c>
      <c r="QDN31" t="e">
        <v>#N/A</v>
      </c>
      <c r="QDO31" t="e">
        <v>#N/A</v>
      </c>
      <c r="QDP31" t="e">
        <v>#N/A</v>
      </c>
      <c r="QDQ31" t="e">
        <v>#N/A</v>
      </c>
      <c r="QDR31" t="e">
        <v>#N/A</v>
      </c>
      <c r="QDS31" t="e">
        <v>#N/A</v>
      </c>
      <c r="QDT31" t="e">
        <v>#N/A</v>
      </c>
      <c r="QDU31" t="e">
        <v>#N/A</v>
      </c>
      <c r="QDV31" t="e">
        <v>#N/A</v>
      </c>
      <c r="QDW31" t="e">
        <v>#N/A</v>
      </c>
      <c r="QDX31" t="e">
        <v>#N/A</v>
      </c>
      <c r="QDY31" t="e">
        <v>#N/A</v>
      </c>
      <c r="QDZ31" t="e">
        <v>#N/A</v>
      </c>
      <c r="QEA31" t="e">
        <v>#N/A</v>
      </c>
      <c r="QEB31" t="e">
        <v>#N/A</v>
      </c>
      <c r="QEC31" t="e">
        <v>#N/A</v>
      </c>
      <c r="QED31" t="e">
        <v>#N/A</v>
      </c>
      <c r="QEE31" t="e">
        <v>#N/A</v>
      </c>
      <c r="QEF31" t="e">
        <v>#N/A</v>
      </c>
      <c r="QEG31" t="e">
        <v>#N/A</v>
      </c>
      <c r="QEH31" t="e">
        <v>#N/A</v>
      </c>
      <c r="QEI31" t="e">
        <v>#N/A</v>
      </c>
      <c r="QEJ31" t="e">
        <v>#N/A</v>
      </c>
      <c r="QEK31" t="e">
        <v>#N/A</v>
      </c>
      <c r="QEL31" t="e">
        <v>#N/A</v>
      </c>
      <c r="QEM31" t="e">
        <v>#N/A</v>
      </c>
      <c r="QEN31" t="e">
        <v>#N/A</v>
      </c>
      <c r="QEO31" t="e">
        <v>#N/A</v>
      </c>
      <c r="QEP31" t="e">
        <v>#N/A</v>
      </c>
      <c r="QEQ31" t="e">
        <v>#N/A</v>
      </c>
      <c r="QER31" t="e">
        <v>#N/A</v>
      </c>
      <c r="QES31" t="e">
        <v>#N/A</v>
      </c>
      <c r="QET31" t="e">
        <v>#N/A</v>
      </c>
      <c r="QEU31" t="e">
        <v>#N/A</v>
      </c>
      <c r="QEV31" t="e">
        <v>#N/A</v>
      </c>
      <c r="QEW31" t="e">
        <v>#N/A</v>
      </c>
      <c r="QEX31" t="e">
        <v>#N/A</v>
      </c>
      <c r="QEY31" t="e">
        <v>#N/A</v>
      </c>
      <c r="QEZ31" t="e">
        <v>#N/A</v>
      </c>
      <c r="QFA31" t="e">
        <v>#N/A</v>
      </c>
      <c r="QFB31" t="e">
        <v>#N/A</v>
      </c>
      <c r="QFC31" t="e">
        <v>#N/A</v>
      </c>
      <c r="QFD31" t="e">
        <v>#N/A</v>
      </c>
      <c r="QFE31" t="e">
        <v>#N/A</v>
      </c>
      <c r="QFF31" t="e">
        <v>#N/A</v>
      </c>
      <c r="QFG31" t="e">
        <v>#N/A</v>
      </c>
      <c r="QFH31" t="e">
        <v>#N/A</v>
      </c>
      <c r="QFI31" t="e">
        <v>#N/A</v>
      </c>
      <c r="QFJ31" t="e">
        <v>#N/A</v>
      </c>
      <c r="QFK31" t="e">
        <v>#N/A</v>
      </c>
      <c r="QFL31" t="e">
        <v>#N/A</v>
      </c>
      <c r="QFM31" t="e">
        <v>#N/A</v>
      </c>
      <c r="QFN31" t="e">
        <v>#N/A</v>
      </c>
      <c r="QFO31" t="e">
        <v>#N/A</v>
      </c>
      <c r="QFP31" t="e">
        <v>#N/A</v>
      </c>
      <c r="QFQ31" t="e">
        <v>#N/A</v>
      </c>
      <c r="QFR31" t="e">
        <v>#N/A</v>
      </c>
      <c r="QFS31" t="e">
        <v>#N/A</v>
      </c>
      <c r="QFT31" t="e">
        <v>#N/A</v>
      </c>
      <c r="QFU31" t="e">
        <v>#N/A</v>
      </c>
      <c r="QFV31" t="e">
        <v>#N/A</v>
      </c>
      <c r="QFW31" t="e">
        <v>#N/A</v>
      </c>
      <c r="QFX31" t="e">
        <v>#N/A</v>
      </c>
      <c r="QFY31" t="e">
        <v>#N/A</v>
      </c>
      <c r="QFZ31" t="e">
        <v>#N/A</v>
      </c>
      <c r="QGA31" t="e">
        <v>#N/A</v>
      </c>
      <c r="QGB31" t="e">
        <v>#N/A</v>
      </c>
      <c r="QGC31" t="e">
        <v>#N/A</v>
      </c>
      <c r="QGD31" t="e">
        <v>#N/A</v>
      </c>
      <c r="QGE31" t="e">
        <v>#N/A</v>
      </c>
      <c r="QGF31" t="e">
        <v>#N/A</v>
      </c>
      <c r="QGG31" t="e">
        <v>#N/A</v>
      </c>
      <c r="QGH31" t="e">
        <v>#N/A</v>
      </c>
      <c r="QGI31" t="e">
        <v>#N/A</v>
      </c>
      <c r="QGJ31" t="e">
        <v>#N/A</v>
      </c>
      <c r="QGK31" t="e">
        <v>#N/A</v>
      </c>
      <c r="QGL31" t="e">
        <v>#N/A</v>
      </c>
      <c r="QGM31" t="e">
        <v>#N/A</v>
      </c>
      <c r="QGN31" t="e">
        <v>#N/A</v>
      </c>
      <c r="QGO31" t="e">
        <v>#N/A</v>
      </c>
      <c r="QGP31" t="e">
        <v>#N/A</v>
      </c>
      <c r="QGQ31" t="e">
        <v>#N/A</v>
      </c>
      <c r="QGR31" t="e">
        <v>#N/A</v>
      </c>
      <c r="QGS31" t="e">
        <v>#N/A</v>
      </c>
      <c r="QGT31" t="e">
        <v>#N/A</v>
      </c>
      <c r="QGU31" t="e">
        <v>#N/A</v>
      </c>
      <c r="QGV31" t="e">
        <v>#N/A</v>
      </c>
      <c r="QGW31" t="e">
        <v>#N/A</v>
      </c>
      <c r="QGX31" t="e">
        <v>#N/A</v>
      </c>
      <c r="QGY31" t="e">
        <v>#N/A</v>
      </c>
      <c r="QGZ31" t="e">
        <v>#N/A</v>
      </c>
      <c r="QHA31" t="e">
        <v>#N/A</v>
      </c>
      <c r="QHB31" t="e">
        <v>#N/A</v>
      </c>
      <c r="QHC31" t="e">
        <v>#N/A</v>
      </c>
      <c r="QHD31" t="e">
        <v>#N/A</v>
      </c>
      <c r="QHE31" t="e">
        <v>#N/A</v>
      </c>
      <c r="QHF31" t="e">
        <v>#N/A</v>
      </c>
      <c r="QHG31" t="e">
        <v>#N/A</v>
      </c>
      <c r="QHH31" t="e">
        <v>#N/A</v>
      </c>
      <c r="QHI31" t="e">
        <v>#N/A</v>
      </c>
      <c r="QHJ31" t="e">
        <v>#N/A</v>
      </c>
      <c r="QHK31" t="e">
        <v>#N/A</v>
      </c>
      <c r="QHL31" t="e">
        <v>#N/A</v>
      </c>
      <c r="QHM31" t="e">
        <v>#N/A</v>
      </c>
      <c r="QHN31" t="e">
        <v>#N/A</v>
      </c>
      <c r="QHO31" t="e">
        <v>#N/A</v>
      </c>
      <c r="QHP31" t="e">
        <v>#N/A</v>
      </c>
      <c r="QHQ31" t="e">
        <v>#N/A</v>
      </c>
      <c r="QHR31" t="e">
        <v>#N/A</v>
      </c>
      <c r="QHS31" t="e">
        <v>#N/A</v>
      </c>
      <c r="QHT31" t="e">
        <v>#N/A</v>
      </c>
      <c r="QHU31" t="e">
        <v>#N/A</v>
      </c>
      <c r="QHV31" t="e">
        <v>#N/A</v>
      </c>
      <c r="QHW31" t="e">
        <v>#N/A</v>
      </c>
      <c r="QHX31" t="e">
        <v>#N/A</v>
      </c>
      <c r="QHY31" t="e">
        <v>#N/A</v>
      </c>
      <c r="QHZ31" t="e">
        <v>#N/A</v>
      </c>
      <c r="QIA31" t="e">
        <v>#N/A</v>
      </c>
      <c r="QIB31" t="e">
        <v>#N/A</v>
      </c>
      <c r="QIC31" t="e">
        <v>#N/A</v>
      </c>
      <c r="QID31" t="e">
        <v>#N/A</v>
      </c>
      <c r="QIE31" t="e">
        <v>#N/A</v>
      </c>
      <c r="QIF31" t="e">
        <v>#N/A</v>
      </c>
      <c r="QIG31" t="e">
        <v>#N/A</v>
      </c>
      <c r="QIH31" t="e">
        <v>#N/A</v>
      </c>
      <c r="QII31" t="e">
        <v>#N/A</v>
      </c>
      <c r="QIJ31" t="e">
        <v>#N/A</v>
      </c>
      <c r="QIK31" t="e">
        <v>#N/A</v>
      </c>
      <c r="QIL31" t="e">
        <v>#N/A</v>
      </c>
      <c r="QIM31" t="e">
        <v>#N/A</v>
      </c>
      <c r="QIN31" t="e">
        <v>#N/A</v>
      </c>
      <c r="QIO31" t="e">
        <v>#N/A</v>
      </c>
      <c r="QIP31" t="e">
        <v>#N/A</v>
      </c>
      <c r="QIQ31" t="e">
        <v>#N/A</v>
      </c>
      <c r="QIR31" t="e">
        <v>#N/A</v>
      </c>
      <c r="QIS31" t="e">
        <v>#N/A</v>
      </c>
      <c r="QIT31" t="e">
        <v>#N/A</v>
      </c>
      <c r="QIU31" t="e">
        <v>#N/A</v>
      </c>
      <c r="QIV31" t="e">
        <v>#N/A</v>
      </c>
      <c r="QIW31" t="e">
        <v>#N/A</v>
      </c>
      <c r="QIX31" t="e">
        <v>#N/A</v>
      </c>
      <c r="QIY31" t="e">
        <v>#N/A</v>
      </c>
      <c r="QIZ31" t="e">
        <v>#N/A</v>
      </c>
      <c r="QJA31" t="e">
        <v>#N/A</v>
      </c>
      <c r="QJB31" t="e">
        <v>#N/A</v>
      </c>
      <c r="QJC31" t="e">
        <v>#N/A</v>
      </c>
      <c r="QJD31" t="e">
        <v>#N/A</v>
      </c>
      <c r="QJE31" t="e">
        <v>#N/A</v>
      </c>
      <c r="QJF31" t="e">
        <v>#N/A</v>
      </c>
      <c r="QJG31" t="e">
        <v>#N/A</v>
      </c>
      <c r="QJH31" t="e">
        <v>#N/A</v>
      </c>
      <c r="QJI31" t="e">
        <v>#N/A</v>
      </c>
      <c r="QJJ31" t="e">
        <v>#N/A</v>
      </c>
      <c r="QJK31" t="e">
        <v>#N/A</v>
      </c>
      <c r="QJL31" t="e">
        <v>#N/A</v>
      </c>
      <c r="QJM31" t="e">
        <v>#N/A</v>
      </c>
      <c r="QJN31" t="e">
        <v>#N/A</v>
      </c>
      <c r="QJO31" t="e">
        <v>#N/A</v>
      </c>
      <c r="QJP31" t="e">
        <v>#N/A</v>
      </c>
      <c r="QJQ31" t="e">
        <v>#N/A</v>
      </c>
      <c r="QJR31" t="e">
        <v>#N/A</v>
      </c>
      <c r="QJS31" t="e">
        <v>#N/A</v>
      </c>
      <c r="QJT31" t="e">
        <v>#N/A</v>
      </c>
      <c r="QJU31" t="e">
        <v>#N/A</v>
      </c>
      <c r="QJV31" t="e">
        <v>#N/A</v>
      </c>
      <c r="QJW31" t="e">
        <v>#N/A</v>
      </c>
      <c r="QJX31" t="e">
        <v>#N/A</v>
      </c>
      <c r="QJY31" t="e">
        <v>#N/A</v>
      </c>
      <c r="QJZ31" t="e">
        <v>#N/A</v>
      </c>
      <c r="QKA31" t="e">
        <v>#N/A</v>
      </c>
      <c r="QKB31" t="e">
        <v>#N/A</v>
      </c>
      <c r="QKC31" t="e">
        <v>#N/A</v>
      </c>
      <c r="QKD31" t="e">
        <v>#N/A</v>
      </c>
      <c r="QKE31" t="e">
        <v>#N/A</v>
      </c>
      <c r="QKF31" t="e">
        <v>#N/A</v>
      </c>
      <c r="QKG31" t="e">
        <v>#N/A</v>
      </c>
      <c r="QKH31" t="e">
        <v>#N/A</v>
      </c>
      <c r="QKI31" t="e">
        <v>#N/A</v>
      </c>
      <c r="QKJ31" t="e">
        <v>#N/A</v>
      </c>
      <c r="QKK31" t="e">
        <v>#N/A</v>
      </c>
      <c r="QKL31" t="e">
        <v>#N/A</v>
      </c>
      <c r="QKM31" t="e">
        <v>#N/A</v>
      </c>
      <c r="QKN31" t="e">
        <v>#N/A</v>
      </c>
      <c r="QKO31" t="e">
        <v>#N/A</v>
      </c>
      <c r="QKP31" t="e">
        <v>#N/A</v>
      </c>
      <c r="QKQ31" t="e">
        <v>#N/A</v>
      </c>
      <c r="QKR31" t="e">
        <v>#N/A</v>
      </c>
      <c r="QKS31" t="e">
        <v>#N/A</v>
      </c>
      <c r="QKT31" t="e">
        <v>#N/A</v>
      </c>
      <c r="QKU31" t="e">
        <v>#N/A</v>
      </c>
      <c r="QKV31" t="e">
        <v>#N/A</v>
      </c>
      <c r="QKW31" t="e">
        <v>#N/A</v>
      </c>
      <c r="QKX31" t="e">
        <v>#N/A</v>
      </c>
      <c r="QKY31" t="e">
        <v>#N/A</v>
      </c>
      <c r="QKZ31" t="e">
        <v>#N/A</v>
      </c>
      <c r="QLA31" t="e">
        <v>#N/A</v>
      </c>
      <c r="QLB31" t="e">
        <v>#N/A</v>
      </c>
      <c r="QLC31" t="e">
        <v>#N/A</v>
      </c>
      <c r="QLD31" t="e">
        <v>#N/A</v>
      </c>
      <c r="QLE31" t="e">
        <v>#N/A</v>
      </c>
      <c r="QLF31" t="e">
        <v>#N/A</v>
      </c>
      <c r="QLG31" t="e">
        <v>#N/A</v>
      </c>
      <c r="QLH31" t="e">
        <v>#N/A</v>
      </c>
      <c r="QLI31" t="e">
        <v>#N/A</v>
      </c>
      <c r="QLJ31" t="e">
        <v>#N/A</v>
      </c>
      <c r="QLK31" t="e">
        <v>#N/A</v>
      </c>
      <c r="QLL31" t="e">
        <v>#N/A</v>
      </c>
      <c r="QLM31" t="e">
        <v>#N/A</v>
      </c>
      <c r="QLN31" t="e">
        <v>#N/A</v>
      </c>
      <c r="QLO31" t="e">
        <v>#N/A</v>
      </c>
      <c r="QLP31" t="e">
        <v>#N/A</v>
      </c>
      <c r="QLQ31" t="e">
        <v>#N/A</v>
      </c>
      <c r="QLR31" t="e">
        <v>#N/A</v>
      </c>
      <c r="QLS31" t="e">
        <v>#N/A</v>
      </c>
      <c r="QLT31" t="e">
        <v>#N/A</v>
      </c>
      <c r="QLU31" t="e">
        <v>#N/A</v>
      </c>
      <c r="QLV31" t="e">
        <v>#N/A</v>
      </c>
      <c r="QLW31" t="e">
        <v>#N/A</v>
      </c>
      <c r="QLX31" t="e">
        <v>#N/A</v>
      </c>
      <c r="QLY31" t="e">
        <v>#N/A</v>
      </c>
      <c r="QLZ31" t="e">
        <v>#N/A</v>
      </c>
      <c r="QMA31" t="e">
        <v>#N/A</v>
      </c>
      <c r="QMB31" t="e">
        <v>#N/A</v>
      </c>
      <c r="QMC31" t="e">
        <v>#N/A</v>
      </c>
      <c r="QMD31" t="e">
        <v>#N/A</v>
      </c>
      <c r="QME31" t="e">
        <v>#N/A</v>
      </c>
      <c r="QMF31" t="e">
        <v>#N/A</v>
      </c>
      <c r="QMG31" t="e">
        <v>#N/A</v>
      </c>
      <c r="QMH31" t="e">
        <v>#N/A</v>
      </c>
      <c r="QMI31" t="e">
        <v>#N/A</v>
      </c>
      <c r="QMJ31" t="e">
        <v>#N/A</v>
      </c>
      <c r="QMK31" t="e">
        <v>#N/A</v>
      </c>
      <c r="QML31" t="e">
        <v>#N/A</v>
      </c>
      <c r="QMM31" t="e">
        <v>#N/A</v>
      </c>
      <c r="QMN31" t="e">
        <v>#N/A</v>
      </c>
      <c r="QMO31" t="e">
        <v>#N/A</v>
      </c>
      <c r="QMP31" t="e">
        <v>#N/A</v>
      </c>
      <c r="QMQ31" t="e">
        <v>#N/A</v>
      </c>
      <c r="QMR31" t="e">
        <v>#N/A</v>
      </c>
      <c r="QMS31" t="e">
        <v>#N/A</v>
      </c>
      <c r="QMT31" t="e">
        <v>#N/A</v>
      </c>
      <c r="QMU31" t="e">
        <v>#N/A</v>
      </c>
      <c r="QMV31" t="e">
        <v>#N/A</v>
      </c>
      <c r="QMW31" t="e">
        <v>#N/A</v>
      </c>
      <c r="QMX31" t="e">
        <v>#N/A</v>
      </c>
      <c r="QMY31" t="e">
        <v>#N/A</v>
      </c>
      <c r="QMZ31" t="e">
        <v>#N/A</v>
      </c>
      <c r="QNA31" t="e">
        <v>#N/A</v>
      </c>
      <c r="QNB31" t="e">
        <v>#N/A</v>
      </c>
      <c r="QNC31" t="e">
        <v>#N/A</v>
      </c>
      <c r="QND31" t="e">
        <v>#N/A</v>
      </c>
      <c r="QNE31" t="e">
        <v>#N/A</v>
      </c>
      <c r="QNF31" t="e">
        <v>#N/A</v>
      </c>
      <c r="QNG31" t="e">
        <v>#N/A</v>
      </c>
      <c r="QNH31" t="e">
        <v>#N/A</v>
      </c>
      <c r="QNI31" t="e">
        <v>#N/A</v>
      </c>
      <c r="QNJ31" t="e">
        <v>#N/A</v>
      </c>
      <c r="QNK31" t="e">
        <v>#N/A</v>
      </c>
      <c r="QNL31" t="e">
        <v>#N/A</v>
      </c>
      <c r="QNM31" t="e">
        <v>#N/A</v>
      </c>
      <c r="QNN31" t="e">
        <v>#N/A</v>
      </c>
      <c r="QNO31" t="e">
        <v>#N/A</v>
      </c>
      <c r="QNP31" t="e">
        <v>#N/A</v>
      </c>
      <c r="QNQ31" t="e">
        <v>#N/A</v>
      </c>
      <c r="QNR31" t="e">
        <v>#N/A</v>
      </c>
      <c r="QNS31" t="e">
        <v>#N/A</v>
      </c>
      <c r="QNT31" t="e">
        <v>#N/A</v>
      </c>
      <c r="QNU31" t="e">
        <v>#N/A</v>
      </c>
      <c r="QNV31" t="e">
        <v>#N/A</v>
      </c>
      <c r="QNW31" t="e">
        <v>#N/A</v>
      </c>
      <c r="QNX31" t="e">
        <v>#N/A</v>
      </c>
      <c r="QNY31" t="e">
        <v>#N/A</v>
      </c>
      <c r="QNZ31" t="e">
        <v>#N/A</v>
      </c>
      <c r="QOA31" t="e">
        <v>#N/A</v>
      </c>
      <c r="QOB31" t="e">
        <v>#N/A</v>
      </c>
      <c r="QOC31" t="e">
        <v>#N/A</v>
      </c>
      <c r="QOD31" t="e">
        <v>#N/A</v>
      </c>
      <c r="QOE31" t="e">
        <v>#N/A</v>
      </c>
      <c r="QOF31" t="e">
        <v>#N/A</v>
      </c>
      <c r="QOG31" t="e">
        <v>#N/A</v>
      </c>
      <c r="QOH31" t="e">
        <v>#N/A</v>
      </c>
      <c r="QOI31" t="e">
        <v>#N/A</v>
      </c>
      <c r="QOJ31" t="e">
        <v>#N/A</v>
      </c>
      <c r="QOK31" t="e">
        <v>#N/A</v>
      </c>
      <c r="QOL31" t="e">
        <v>#N/A</v>
      </c>
      <c r="QOM31" t="e">
        <v>#N/A</v>
      </c>
      <c r="QON31" t="e">
        <v>#N/A</v>
      </c>
      <c r="QOO31" t="e">
        <v>#N/A</v>
      </c>
      <c r="QOP31" t="e">
        <v>#N/A</v>
      </c>
      <c r="QOQ31" t="e">
        <v>#N/A</v>
      </c>
      <c r="QOR31" t="e">
        <v>#N/A</v>
      </c>
      <c r="QOS31" t="e">
        <v>#N/A</v>
      </c>
      <c r="QOT31" t="e">
        <v>#N/A</v>
      </c>
      <c r="QOU31" t="e">
        <v>#N/A</v>
      </c>
      <c r="QOV31" t="e">
        <v>#N/A</v>
      </c>
      <c r="QOW31" t="e">
        <v>#N/A</v>
      </c>
      <c r="QOX31" t="e">
        <v>#N/A</v>
      </c>
      <c r="QOY31" t="e">
        <v>#N/A</v>
      </c>
      <c r="QOZ31" t="e">
        <v>#N/A</v>
      </c>
      <c r="QPA31" t="e">
        <v>#N/A</v>
      </c>
      <c r="QPB31" t="e">
        <v>#N/A</v>
      </c>
      <c r="QPC31" t="e">
        <v>#N/A</v>
      </c>
      <c r="QPD31" t="e">
        <v>#N/A</v>
      </c>
      <c r="QPE31" t="e">
        <v>#N/A</v>
      </c>
      <c r="QPF31" t="e">
        <v>#N/A</v>
      </c>
      <c r="QPG31" t="e">
        <v>#N/A</v>
      </c>
      <c r="QPH31" t="e">
        <v>#N/A</v>
      </c>
      <c r="QPI31" t="e">
        <v>#N/A</v>
      </c>
      <c r="QPJ31" t="e">
        <v>#N/A</v>
      </c>
      <c r="QPK31" t="e">
        <v>#N/A</v>
      </c>
      <c r="QPL31" t="e">
        <v>#N/A</v>
      </c>
      <c r="QPM31" t="e">
        <v>#N/A</v>
      </c>
      <c r="QPN31" t="e">
        <v>#N/A</v>
      </c>
      <c r="QPO31" t="e">
        <v>#N/A</v>
      </c>
      <c r="QPP31" t="e">
        <v>#N/A</v>
      </c>
      <c r="QPQ31" t="e">
        <v>#N/A</v>
      </c>
      <c r="QPR31" t="e">
        <v>#N/A</v>
      </c>
      <c r="QPS31" t="e">
        <v>#N/A</v>
      </c>
      <c r="QPT31" t="e">
        <v>#N/A</v>
      </c>
      <c r="QPU31" t="e">
        <v>#N/A</v>
      </c>
      <c r="QPV31" t="e">
        <v>#N/A</v>
      </c>
      <c r="QPW31" t="e">
        <v>#N/A</v>
      </c>
      <c r="QPX31" t="e">
        <v>#N/A</v>
      </c>
      <c r="QPY31" t="e">
        <v>#N/A</v>
      </c>
      <c r="QPZ31" t="e">
        <v>#N/A</v>
      </c>
      <c r="QQA31" t="e">
        <v>#N/A</v>
      </c>
      <c r="QQB31" t="e">
        <v>#N/A</v>
      </c>
      <c r="QQC31" t="e">
        <v>#N/A</v>
      </c>
      <c r="QQD31" t="e">
        <v>#N/A</v>
      </c>
      <c r="QQE31" t="e">
        <v>#N/A</v>
      </c>
      <c r="QQF31" t="e">
        <v>#N/A</v>
      </c>
      <c r="QQG31" t="e">
        <v>#N/A</v>
      </c>
      <c r="QQH31" t="e">
        <v>#N/A</v>
      </c>
      <c r="QQI31" t="e">
        <v>#N/A</v>
      </c>
      <c r="QQJ31" t="e">
        <v>#N/A</v>
      </c>
      <c r="QQK31" t="e">
        <v>#N/A</v>
      </c>
      <c r="QQL31" t="e">
        <v>#N/A</v>
      </c>
      <c r="QQM31" t="e">
        <v>#N/A</v>
      </c>
      <c r="QQN31" t="e">
        <v>#N/A</v>
      </c>
      <c r="QQO31" t="e">
        <v>#N/A</v>
      </c>
      <c r="QQP31" t="e">
        <v>#N/A</v>
      </c>
      <c r="QQQ31" t="e">
        <v>#N/A</v>
      </c>
      <c r="QQR31" t="e">
        <v>#N/A</v>
      </c>
      <c r="QQS31" t="e">
        <v>#N/A</v>
      </c>
      <c r="QQT31" t="e">
        <v>#N/A</v>
      </c>
      <c r="QQU31" t="e">
        <v>#N/A</v>
      </c>
      <c r="QQV31" t="e">
        <v>#N/A</v>
      </c>
      <c r="QQW31" t="e">
        <v>#N/A</v>
      </c>
      <c r="QQX31" t="e">
        <v>#N/A</v>
      </c>
      <c r="QQY31" t="e">
        <v>#N/A</v>
      </c>
      <c r="QQZ31" t="e">
        <v>#N/A</v>
      </c>
      <c r="QRA31" t="e">
        <v>#N/A</v>
      </c>
      <c r="QRB31" t="e">
        <v>#N/A</v>
      </c>
      <c r="QRC31" t="e">
        <v>#N/A</v>
      </c>
      <c r="QRD31" t="e">
        <v>#N/A</v>
      </c>
      <c r="QRE31" t="e">
        <v>#N/A</v>
      </c>
      <c r="QRF31" t="e">
        <v>#N/A</v>
      </c>
      <c r="QRG31" t="e">
        <v>#N/A</v>
      </c>
      <c r="QRH31" t="e">
        <v>#N/A</v>
      </c>
      <c r="QRI31" t="e">
        <v>#N/A</v>
      </c>
      <c r="QRJ31" t="e">
        <v>#N/A</v>
      </c>
      <c r="QRK31" t="e">
        <v>#N/A</v>
      </c>
      <c r="QRL31" t="e">
        <v>#N/A</v>
      </c>
      <c r="QRM31" t="e">
        <v>#N/A</v>
      </c>
      <c r="QRN31" t="e">
        <v>#N/A</v>
      </c>
      <c r="QRO31" t="e">
        <v>#N/A</v>
      </c>
      <c r="QRP31" t="e">
        <v>#N/A</v>
      </c>
      <c r="QRQ31" t="e">
        <v>#N/A</v>
      </c>
      <c r="QRR31" t="e">
        <v>#N/A</v>
      </c>
      <c r="QRS31" t="e">
        <v>#N/A</v>
      </c>
      <c r="QRT31" t="e">
        <v>#N/A</v>
      </c>
      <c r="QRU31" t="e">
        <v>#N/A</v>
      </c>
      <c r="QRV31" t="e">
        <v>#N/A</v>
      </c>
      <c r="QRW31" t="e">
        <v>#N/A</v>
      </c>
      <c r="QRX31" t="e">
        <v>#N/A</v>
      </c>
      <c r="QRY31" t="e">
        <v>#N/A</v>
      </c>
      <c r="QRZ31" t="e">
        <v>#N/A</v>
      </c>
      <c r="QSA31" t="e">
        <v>#N/A</v>
      </c>
      <c r="QSB31" t="e">
        <v>#N/A</v>
      </c>
      <c r="QSC31" t="e">
        <v>#N/A</v>
      </c>
      <c r="QSD31" t="e">
        <v>#N/A</v>
      </c>
      <c r="QSE31" t="e">
        <v>#N/A</v>
      </c>
      <c r="QSF31" t="e">
        <v>#N/A</v>
      </c>
      <c r="QSG31" t="e">
        <v>#N/A</v>
      </c>
      <c r="QSH31" t="e">
        <v>#N/A</v>
      </c>
      <c r="QSI31" t="e">
        <v>#N/A</v>
      </c>
      <c r="QSJ31" t="e">
        <v>#N/A</v>
      </c>
      <c r="QSK31" t="e">
        <v>#N/A</v>
      </c>
      <c r="QSL31" t="e">
        <v>#N/A</v>
      </c>
      <c r="QSM31" t="e">
        <v>#N/A</v>
      </c>
      <c r="QSN31" t="e">
        <v>#N/A</v>
      </c>
      <c r="QSO31" t="e">
        <v>#N/A</v>
      </c>
      <c r="QSP31" t="e">
        <v>#N/A</v>
      </c>
      <c r="QSQ31" t="e">
        <v>#N/A</v>
      </c>
      <c r="QSR31" t="e">
        <v>#N/A</v>
      </c>
      <c r="QSS31" t="e">
        <v>#N/A</v>
      </c>
      <c r="QST31" t="e">
        <v>#N/A</v>
      </c>
      <c r="QSU31" t="e">
        <v>#N/A</v>
      </c>
      <c r="QSV31" t="e">
        <v>#N/A</v>
      </c>
      <c r="QSW31" t="e">
        <v>#N/A</v>
      </c>
      <c r="QSX31" t="e">
        <v>#N/A</v>
      </c>
      <c r="QSY31" t="e">
        <v>#N/A</v>
      </c>
      <c r="QSZ31" t="e">
        <v>#N/A</v>
      </c>
      <c r="QTA31" t="e">
        <v>#N/A</v>
      </c>
      <c r="QTB31" t="e">
        <v>#N/A</v>
      </c>
      <c r="QTC31" t="e">
        <v>#N/A</v>
      </c>
      <c r="QTD31" t="e">
        <v>#N/A</v>
      </c>
      <c r="QTE31" t="e">
        <v>#N/A</v>
      </c>
      <c r="QTF31" t="e">
        <v>#N/A</v>
      </c>
      <c r="QTG31" t="e">
        <v>#N/A</v>
      </c>
      <c r="QTH31" t="e">
        <v>#N/A</v>
      </c>
      <c r="QTI31" t="e">
        <v>#N/A</v>
      </c>
      <c r="QTJ31" t="e">
        <v>#N/A</v>
      </c>
      <c r="QTK31" t="e">
        <v>#N/A</v>
      </c>
      <c r="QTL31" t="e">
        <v>#N/A</v>
      </c>
      <c r="QTM31" t="e">
        <v>#N/A</v>
      </c>
      <c r="QTN31" t="e">
        <v>#N/A</v>
      </c>
      <c r="QTO31" t="e">
        <v>#N/A</v>
      </c>
      <c r="QTP31" t="e">
        <v>#N/A</v>
      </c>
      <c r="QTQ31" t="e">
        <v>#N/A</v>
      </c>
      <c r="QTR31" t="e">
        <v>#N/A</v>
      </c>
      <c r="QTS31" t="e">
        <v>#N/A</v>
      </c>
      <c r="QTT31" t="e">
        <v>#N/A</v>
      </c>
      <c r="QTU31" t="e">
        <v>#N/A</v>
      </c>
      <c r="QTV31" t="e">
        <v>#N/A</v>
      </c>
      <c r="QTW31" t="e">
        <v>#N/A</v>
      </c>
      <c r="QTX31" t="e">
        <v>#N/A</v>
      </c>
      <c r="QTY31" t="e">
        <v>#N/A</v>
      </c>
      <c r="QTZ31" t="e">
        <v>#N/A</v>
      </c>
      <c r="QUA31" t="e">
        <v>#N/A</v>
      </c>
      <c r="QUB31" t="e">
        <v>#N/A</v>
      </c>
      <c r="QUC31" t="e">
        <v>#N/A</v>
      </c>
      <c r="QUD31" t="e">
        <v>#N/A</v>
      </c>
      <c r="QUE31" t="e">
        <v>#N/A</v>
      </c>
      <c r="QUF31" t="e">
        <v>#N/A</v>
      </c>
      <c r="QUG31" t="e">
        <v>#N/A</v>
      </c>
      <c r="QUH31" t="e">
        <v>#N/A</v>
      </c>
      <c r="QUI31" t="e">
        <v>#N/A</v>
      </c>
      <c r="QUJ31" t="e">
        <v>#N/A</v>
      </c>
      <c r="QUK31" t="e">
        <v>#N/A</v>
      </c>
      <c r="QUL31" t="e">
        <v>#N/A</v>
      </c>
      <c r="QUM31" t="e">
        <v>#N/A</v>
      </c>
      <c r="QUN31" t="e">
        <v>#N/A</v>
      </c>
      <c r="QUO31" t="e">
        <v>#N/A</v>
      </c>
      <c r="QUP31" t="e">
        <v>#N/A</v>
      </c>
      <c r="QUQ31" t="e">
        <v>#N/A</v>
      </c>
      <c r="QUR31" t="e">
        <v>#N/A</v>
      </c>
      <c r="QUS31" t="e">
        <v>#N/A</v>
      </c>
      <c r="QUT31" t="e">
        <v>#N/A</v>
      </c>
      <c r="QUU31" t="e">
        <v>#N/A</v>
      </c>
      <c r="QUV31" t="e">
        <v>#N/A</v>
      </c>
      <c r="QUW31" t="e">
        <v>#N/A</v>
      </c>
      <c r="QUX31" t="e">
        <v>#N/A</v>
      </c>
      <c r="QUY31" t="e">
        <v>#N/A</v>
      </c>
      <c r="QUZ31" t="e">
        <v>#N/A</v>
      </c>
      <c r="QVA31" t="e">
        <v>#N/A</v>
      </c>
      <c r="QVB31" t="e">
        <v>#N/A</v>
      </c>
      <c r="QVC31" t="e">
        <v>#N/A</v>
      </c>
      <c r="QVD31" t="e">
        <v>#N/A</v>
      </c>
      <c r="QVE31" t="e">
        <v>#N/A</v>
      </c>
      <c r="QVF31" t="e">
        <v>#N/A</v>
      </c>
      <c r="QVG31" t="e">
        <v>#N/A</v>
      </c>
      <c r="QVH31" t="e">
        <v>#N/A</v>
      </c>
      <c r="QVI31" t="e">
        <v>#N/A</v>
      </c>
      <c r="QVJ31" t="e">
        <v>#N/A</v>
      </c>
      <c r="QVK31" t="e">
        <v>#N/A</v>
      </c>
      <c r="QVL31" t="e">
        <v>#N/A</v>
      </c>
      <c r="QVM31" t="e">
        <v>#N/A</v>
      </c>
      <c r="QVN31" t="e">
        <v>#N/A</v>
      </c>
      <c r="QVO31" t="e">
        <v>#N/A</v>
      </c>
      <c r="QVP31" t="e">
        <v>#N/A</v>
      </c>
      <c r="QVQ31" t="e">
        <v>#N/A</v>
      </c>
      <c r="QVR31" t="e">
        <v>#N/A</v>
      </c>
      <c r="QVS31" t="e">
        <v>#N/A</v>
      </c>
      <c r="QVT31" t="e">
        <v>#N/A</v>
      </c>
      <c r="QVU31" t="e">
        <v>#N/A</v>
      </c>
      <c r="QVV31" t="e">
        <v>#N/A</v>
      </c>
      <c r="QVW31" t="e">
        <v>#N/A</v>
      </c>
      <c r="QVX31" t="e">
        <v>#N/A</v>
      </c>
      <c r="QVY31" t="e">
        <v>#N/A</v>
      </c>
      <c r="QVZ31" t="e">
        <v>#N/A</v>
      </c>
      <c r="QWA31" t="e">
        <v>#N/A</v>
      </c>
      <c r="QWB31" t="e">
        <v>#N/A</v>
      </c>
      <c r="QWC31" t="e">
        <v>#N/A</v>
      </c>
      <c r="QWD31" t="e">
        <v>#N/A</v>
      </c>
      <c r="QWE31" t="e">
        <v>#N/A</v>
      </c>
      <c r="QWF31" t="e">
        <v>#N/A</v>
      </c>
      <c r="QWG31" t="e">
        <v>#N/A</v>
      </c>
      <c r="QWH31" t="e">
        <v>#N/A</v>
      </c>
      <c r="QWI31" t="e">
        <v>#N/A</v>
      </c>
      <c r="QWJ31" t="e">
        <v>#N/A</v>
      </c>
      <c r="QWK31" t="e">
        <v>#N/A</v>
      </c>
      <c r="QWL31" t="e">
        <v>#N/A</v>
      </c>
      <c r="QWM31" t="e">
        <v>#N/A</v>
      </c>
      <c r="QWN31" t="e">
        <v>#N/A</v>
      </c>
      <c r="QWO31" t="e">
        <v>#N/A</v>
      </c>
      <c r="QWP31" t="e">
        <v>#N/A</v>
      </c>
      <c r="QWQ31" t="e">
        <v>#N/A</v>
      </c>
      <c r="QWR31" t="e">
        <v>#N/A</v>
      </c>
      <c r="QWS31" t="e">
        <v>#N/A</v>
      </c>
      <c r="QWT31" t="e">
        <v>#N/A</v>
      </c>
      <c r="QWU31" t="e">
        <v>#N/A</v>
      </c>
      <c r="QWV31" t="e">
        <v>#N/A</v>
      </c>
      <c r="QWW31" t="e">
        <v>#N/A</v>
      </c>
      <c r="QWX31" t="e">
        <v>#N/A</v>
      </c>
      <c r="QWY31" t="e">
        <v>#N/A</v>
      </c>
      <c r="QWZ31" t="e">
        <v>#N/A</v>
      </c>
      <c r="QXA31" t="e">
        <v>#N/A</v>
      </c>
      <c r="QXB31" t="e">
        <v>#N/A</v>
      </c>
      <c r="QXC31" t="e">
        <v>#N/A</v>
      </c>
      <c r="QXD31" t="e">
        <v>#N/A</v>
      </c>
      <c r="QXE31" t="e">
        <v>#N/A</v>
      </c>
      <c r="QXF31" t="e">
        <v>#N/A</v>
      </c>
      <c r="QXG31" t="e">
        <v>#N/A</v>
      </c>
      <c r="QXH31" t="e">
        <v>#N/A</v>
      </c>
      <c r="QXI31" t="e">
        <v>#N/A</v>
      </c>
      <c r="QXJ31" t="e">
        <v>#N/A</v>
      </c>
      <c r="QXK31" t="e">
        <v>#N/A</v>
      </c>
      <c r="QXL31" t="e">
        <v>#N/A</v>
      </c>
      <c r="QXM31" t="e">
        <v>#N/A</v>
      </c>
      <c r="QXN31" t="e">
        <v>#N/A</v>
      </c>
      <c r="QXO31" t="e">
        <v>#N/A</v>
      </c>
      <c r="QXP31" t="e">
        <v>#N/A</v>
      </c>
      <c r="QXQ31" t="e">
        <v>#N/A</v>
      </c>
      <c r="QXR31" t="e">
        <v>#N/A</v>
      </c>
      <c r="QXS31" t="e">
        <v>#N/A</v>
      </c>
      <c r="QXT31" t="e">
        <v>#N/A</v>
      </c>
      <c r="QXU31" t="e">
        <v>#N/A</v>
      </c>
      <c r="QXV31" t="e">
        <v>#N/A</v>
      </c>
      <c r="QXW31" t="e">
        <v>#N/A</v>
      </c>
      <c r="QXX31" t="e">
        <v>#N/A</v>
      </c>
      <c r="QXY31" t="e">
        <v>#N/A</v>
      </c>
      <c r="QXZ31" t="e">
        <v>#N/A</v>
      </c>
      <c r="QYA31" t="e">
        <v>#N/A</v>
      </c>
      <c r="QYB31" t="e">
        <v>#N/A</v>
      </c>
      <c r="QYC31" t="e">
        <v>#N/A</v>
      </c>
      <c r="QYD31" t="e">
        <v>#N/A</v>
      </c>
      <c r="QYE31" t="e">
        <v>#N/A</v>
      </c>
      <c r="QYF31" t="e">
        <v>#N/A</v>
      </c>
      <c r="QYG31" t="e">
        <v>#N/A</v>
      </c>
      <c r="QYH31" t="e">
        <v>#N/A</v>
      </c>
      <c r="QYI31" t="e">
        <v>#N/A</v>
      </c>
      <c r="QYJ31" t="e">
        <v>#N/A</v>
      </c>
      <c r="QYK31" t="e">
        <v>#N/A</v>
      </c>
      <c r="QYL31" t="e">
        <v>#N/A</v>
      </c>
      <c r="QYM31" t="e">
        <v>#N/A</v>
      </c>
      <c r="QYN31" t="e">
        <v>#N/A</v>
      </c>
      <c r="QYO31" t="e">
        <v>#N/A</v>
      </c>
      <c r="QYP31" t="e">
        <v>#N/A</v>
      </c>
      <c r="QYQ31" t="e">
        <v>#N/A</v>
      </c>
      <c r="QYR31" t="e">
        <v>#N/A</v>
      </c>
      <c r="QYS31" t="e">
        <v>#N/A</v>
      </c>
      <c r="QYT31" t="e">
        <v>#N/A</v>
      </c>
      <c r="QYU31" t="e">
        <v>#N/A</v>
      </c>
      <c r="QYV31" t="e">
        <v>#N/A</v>
      </c>
      <c r="QYW31" t="e">
        <v>#N/A</v>
      </c>
      <c r="QYX31" t="e">
        <v>#N/A</v>
      </c>
      <c r="QYY31" t="e">
        <v>#N/A</v>
      </c>
      <c r="QYZ31" t="e">
        <v>#N/A</v>
      </c>
      <c r="QZA31" t="e">
        <v>#N/A</v>
      </c>
      <c r="QZB31" t="e">
        <v>#N/A</v>
      </c>
      <c r="QZC31" t="e">
        <v>#N/A</v>
      </c>
      <c r="QZD31" t="e">
        <v>#N/A</v>
      </c>
      <c r="QZE31" t="e">
        <v>#N/A</v>
      </c>
      <c r="QZF31" t="e">
        <v>#N/A</v>
      </c>
      <c r="QZG31" t="e">
        <v>#N/A</v>
      </c>
      <c r="QZH31" t="e">
        <v>#N/A</v>
      </c>
      <c r="QZI31" t="e">
        <v>#N/A</v>
      </c>
      <c r="QZJ31" t="e">
        <v>#N/A</v>
      </c>
      <c r="QZK31" t="e">
        <v>#N/A</v>
      </c>
      <c r="QZL31" t="e">
        <v>#N/A</v>
      </c>
      <c r="QZM31" t="e">
        <v>#N/A</v>
      </c>
      <c r="QZN31" t="e">
        <v>#N/A</v>
      </c>
      <c r="QZO31" t="e">
        <v>#N/A</v>
      </c>
      <c r="QZP31" t="e">
        <v>#N/A</v>
      </c>
      <c r="QZQ31" t="e">
        <v>#N/A</v>
      </c>
      <c r="QZR31" t="e">
        <v>#N/A</v>
      </c>
      <c r="QZS31" t="e">
        <v>#N/A</v>
      </c>
      <c r="QZT31" t="e">
        <v>#N/A</v>
      </c>
      <c r="QZU31" t="e">
        <v>#N/A</v>
      </c>
      <c r="QZV31" t="e">
        <v>#N/A</v>
      </c>
      <c r="QZW31" t="e">
        <v>#N/A</v>
      </c>
      <c r="QZX31" t="e">
        <v>#N/A</v>
      </c>
      <c r="QZY31" t="e">
        <v>#N/A</v>
      </c>
      <c r="QZZ31" t="e">
        <v>#N/A</v>
      </c>
      <c r="RAA31" t="e">
        <v>#N/A</v>
      </c>
      <c r="RAB31" t="e">
        <v>#N/A</v>
      </c>
      <c r="RAC31" t="e">
        <v>#N/A</v>
      </c>
      <c r="RAD31" t="e">
        <v>#N/A</v>
      </c>
      <c r="RAE31" t="e">
        <v>#N/A</v>
      </c>
      <c r="RAF31" t="e">
        <v>#N/A</v>
      </c>
      <c r="RAG31" t="e">
        <v>#N/A</v>
      </c>
      <c r="RAH31" t="e">
        <v>#N/A</v>
      </c>
      <c r="RAI31" t="e">
        <v>#N/A</v>
      </c>
      <c r="RAJ31" t="e">
        <v>#N/A</v>
      </c>
      <c r="RAK31" t="e">
        <v>#N/A</v>
      </c>
      <c r="RAL31" t="e">
        <v>#N/A</v>
      </c>
      <c r="RAM31" t="e">
        <v>#N/A</v>
      </c>
      <c r="RAN31" t="e">
        <v>#N/A</v>
      </c>
      <c r="RAO31" t="e">
        <v>#N/A</v>
      </c>
      <c r="RAP31" t="e">
        <v>#N/A</v>
      </c>
      <c r="RAQ31" t="e">
        <v>#N/A</v>
      </c>
      <c r="RAR31" t="e">
        <v>#N/A</v>
      </c>
      <c r="RAS31" t="e">
        <v>#N/A</v>
      </c>
      <c r="RAT31" t="e">
        <v>#N/A</v>
      </c>
      <c r="RAU31" t="e">
        <v>#N/A</v>
      </c>
      <c r="RAV31" t="e">
        <v>#N/A</v>
      </c>
      <c r="RAW31" t="e">
        <v>#N/A</v>
      </c>
      <c r="RAX31" t="e">
        <v>#N/A</v>
      </c>
      <c r="RAY31" t="e">
        <v>#N/A</v>
      </c>
      <c r="RAZ31" t="e">
        <v>#N/A</v>
      </c>
      <c r="RBA31" t="e">
        <v>#N/A</v>
      </c>
      <c r="RBB31" t="e">
        <v>#N/A</v>
      </c>
      <c r="RBC31" t="e">
        <v>#N/A</v>
      </c>
      <c r="RBD31" t="e">
        <v>#N/A</v>
      </c>
      <c r="RBE31" t="e">
        <v>#N/A</v>
      </c>
      <c r="RBF31" t="e">
        <v>#N/A</v>
      </c>
      <c r="RBG31" t="e">
        <v>#N/A</v>
      </c>
      <c r="RBH31" t="e">
        <v>#N/A</v>
      </c>
      <c r="RBI31" t="e">
        <v>#N/A</v>
      </c>
      <c r="RBJ31" t="e">
        <v>#N/A</v>
      </c>
      <c r="RBK31" t="e">
        <v>#N/A</v>
      </c>
      <c r="RBL31" t="e">
        <v>#N/A</v>
      </c>
      <c r="RBM31" t="e">
        <v>#N/A</v>
      </c>
      <c r="RBN31" t="e">
        <v>#N/A</v>
      </c>
      <c r="RBO31" t="e">
        <v>#N/A</v>
      </c>
      <c r="RBP31" t="e">
        <v>#N/A</v>
      </c>
      <c r="RBQ31" t="e">
        <v>#N/A</v>
      </c>
      <c r="RBR31" t="e">
        <v>#N/A</v>
      </c>
      <c r="RBS31" t="e">
        <v>#N/A</v>
      </c>
      <c r="RBT31" t="e">
        <v>#N/A</v>
      </c>
      <c r="RBU31" t="e">
        <v>#N/A</v>
      </c>
      <c r="RBV31" t="e">
        <v>#N/A</v>
      </c>
      <c r="RBW31" t="e">
        <v>#N/A</v>
      </c>
      <c r="RBX31" t="e">
        <v>#N/A</v>
      </c>
      <c r="RBY31" t="e">
        <v>#N/A</v>
      </c>
      <c r="RBZ31" t="e">
        <v>#N/A</v>
      </c>
      <c r="RCA31" t="e">
        <v>#N/A</v>
      </c>
      <c r="RCB31" t="e">
        <v>#N/A</v>
      </c>
      <c r="RCC31" t="e">
        <v>#N/A</v>
      </c>
      <c r="RCD31" t="e">
        <v>#N/A</v>
      </c>
      <c r="RCE31" t="e">
        <v>#N/A</v>
      </c>
      <c r="RCF31" t="e">
        <v>#N/A</v>
      </c>
      <c r="RCG31" t="e">
        <v>#N/A</v>
      </c>
      <c r="RCH31" t="e">
        <v>#N/A</v>
      </c>
      <c r="RCI31" t="e">
        <v>#N/A</v>
      </c>
      <c r="RCJ31" t="e">
        <v>#N/A</v>
      </c>
      <c r="RCK31" t="e">
        <v>#N/A</v>
      </c>
      <c r="RCL31" t="e">
        <v>#N/A</v>
      </c>
      <c r="RCM31" t="e">
        <v>#N/A</v>
      </c>
      <c r="RCN31" t="e">
        <v>#N/A</v>
      </c>
      <c r="RCO31" t="e">
        <v>#N/A</v>
      </c>
      <c r="RCP31" t="e">
        <v>#N/A</v>
      </c>
      <c r="RCQ31" t="e">
        <v>#N/A</v>
      </c>
      <c r="RCR31" t="e">
        <v>#N/A</v>
      </c>
      <c r="RCS31" t="e">
        <v>#N/A</v>
      </c>
      <c r="RCT31" t="e">
        <v>#N/A</v>
      </c>
      <c r="RCU31" t="e">
        <v>#N/A</v>
      </c>
      <c r="RCV31" t="e">
        <v>#N/A</v>
      </c>
      <c r="RCW31" t="e">
        <v>#N/A</v>
      </c>
      <c r="RCX31" t="e">
        <v>#N/A</v>
      </c>
      <c r="RCY31" t="e">
        <v>#N/A</v>
      </c>
      <c r="RCZ31" t="e">
        <v>#N/A</v>
      </c>
      <c r="RDA31" t="e">
        <v>#N/A</v>
      </c>
      <c r="RDB31" t="e">
        <v>#N/A</v>
      </c>
      <c r="RDC31" t="e">
        <v>#N/A</v>
      </c>
      <c r="RDD31" t="e">
        <v>#N/A</v>
      </c>
      <c r="RDE31" t="e">
        <v>#N/A</v>
      </c>
      <c r="RDF31" t="e">
        <v>#N/A</v>
      </c>
      <c r="RDG31" t="e">
        <v>#N/A</v>
      </c>
      <c r="RDH31" t="e">
        <v>#N/A</v>
      </c>
      <c r="RDI31" t="e">
        <v>#N/A</v>
      </c>
      <c r="RDJ31" t="e">
        <v>#N/A</v>
      </c>
      <c r="RDK31" t="e">
        <v>#N/A</v>
      </c>
      <c r="RDL31" t="e">
        <v>#N/A</v>
      </c>
      <c r="RDM31" t="e">
        <v>#N/A</v>
      </c>
      <c r="RDN31" t="e">
        <v>#N/A</v>
      </c>
      <c r="RDO31" t="e">
        <v>#N/A</v>
      </c>
      <c r="RDP31" t="e">
        <v>#N/A</v>
      </c>
      <c r="RDQ31" t="e">
        <v>#N/A</v>
      </c>
      <c r="RDR31" t="e">
        <v>#N/A</v>
      </c>
      <c r="RDS31" t="e">
        <v>#N/A</v>
      </c>
      <c r="RDT31" t="e">
        <v>#N/A</v>
      </c>
      <c r="RDU31" t="e">
        <v>#N/A</v>
      </c>
      <c r="RDV31" t="e">
        <v>#N/A</v>
      </c>
      <c r="RDW31" t="e">
        <v>#N/A</v>
      </c>
      <c r="RDX31" t="e">
        <v>#N/A</v>
      </c>
      <c r="RDY31" t="e">
        <v>#N/A</v>
      </c>
      <c r="RDZ31" t="e">
        <v>#N/A</v>
      </c>
      <c r="REA31" t="e">
        <v>#N/A</v>
      </c>
      <c r="REB31" t="e">
        <v>#N/A</v>
      </c>
      <c r="REC31" t="e">
        <v>#N/A</v>
      </c>
      <c r="RED31" t="e">
        <v>#N/A</v>
      </c>
      <c r="REE31" t="e">
        <v>#N/A</v>
      </c>
      <c r="REF31" t="e">
        <v>#N/A</v>
      </c>
      <c r="REG31" t="e">
        <v>#N/A</v>
      </c>
      <c r="REH31" t="e">
        <v>#N/A</v>
      </c>
      <c r="REI31" t="e">
        <v>#N/A</v>
      </c>
      <c r="REJ31" t="e">
        <v>#N/A</v>
      </c>
      <c r="REK31" t="e">
        <v>#N/A</v>
      </c>
      <c r="REL31" t="e">
        <v>#N/A</v>
      </c>
      <c r="REM31" t="e">
        <v>#N/A</v>
      </c>
      <c r="REN31" t="e">
        <v>#N/A</v>
      </c>
      <c r="REO31" t="e">
        <v>#N/A</v>
      </c>
      <c r="REP31" t="e">
        <v>#N/A</v>
      </c>
      <c r="REQ31" t="e">
        <v>#N/A</v>
      </c>
      <c r="RER31" t="e">
        <v>#N/A</v>
      </c>
      <c r="RES31" t="e">
        <v>#N/A</v>
      </c>
      <c r="RET31" t="e">
        <v>#N/A</v>
      </c>
      <c r="REU31" t="e">
        <v>#N/A</v>
      </c>
      <c r="REV31" t="e">
        <v>#N/A</v>
      </c>
      <c r="REW31" t="e">
        <v>#N/A</v>
      </c>
      <c r="REX31" t="e">
        <v>#N/A</v>
      </c>
      <c r="REY31" t="e">
        <v>#N/A</v>
      </c>
      <c r="REZ31" t="e">
        <v>#N/A</v>
      </c>
      <c r="RFA31" t="e">
        <v>#N/A</v>
      </c>
      <c r="RFB31" t="e">
        <v>#N/A</v>
      </c>
      <c r="RFC31" t="e">
        <v>#N/A</v>
      </c>
      <c r="RFD31" t="e">
        <v>#N/A</v>
      </c>
      <c r="RFE31" t="e">
        <v>#N/A</v>
      </c>
      <c r="RFF31" t="e">
        <v>#N/A</v>
      </c>
      <c r="RFG31" t="e">
        <v>#N/A</v>
      </c>
      <c r="RFH31" t="e">
        <v>#N/A</v>
      </c>
      <c r="RFI31" t="e">
        <v>#N/A</v>
      </c>
      <c r="RFJ31" t="e">
        <v>#N/A</v>
      </c>
      <c r="RFK31" t="e">
        <v>#N/A</v>
      </c>
      <c r="RFL31" t="e">
        <v>#N/A</v>
      </c>
      <c r="RFM31" t="e">
        <v>#N/A</v>
      </c>
      <c r="RFN31" t="e">
        <v>#N/A</v>
      </c>
      <c r="RFO31" t="e">
        <v>#N/A</v>
      </c>
      <c r="RFP31" t="e">
        <v>#N/A</v>
      </c>
      <c r="RFQ31" t="e">
        <v>#N/A</v>
      </c>
      <c r="RFR31" t="e">
        <v>#N/A</v>
      </c>
      <c r="RFS31" t="e">
        <v>#N/A</v>
      </c>
      <c r="RFT31" t="e">
        <v>#N/A</v>
      </c>
      <c r="RFU31" t="e">
        <v>#N/A</v>
      </c>
      <c r="RFV31" t="e">
        <v>#N/A</v>
      </c>
      <c r="RFW31" t="e">
        <v>#N/A</v>
      </c>
      <c r="RFX31" t="e">
        <v>#N/A</v>
      </c>
      <c r="RFY31" t="e">
        <v>#N/A</v>
      </c>
      <c r="RFZ31" t="e">
        <v>#N/A</v>
      </c>
      <c r="RGA31" t="e">
        <v>#N/A</v>
      </c>
      <c r="RGB31" t="e">
        <v>#N/A</v>
      </c>
      <c r="RGC31" t="e">
        <v>#N/A</v>
      </c>
      <c r="RGD31" t="e">
        <v>#N/A</v>
      </c>
      <c r="RGE31" t="e">
        <v>#N/A</v>
      </c>
      <c r="RGF31" t="e">
        <v>#N/A</v>
      </c>
      <c r="RGG31" t="e">
        <v>#N/A</v>
      </c>
      <c r="RGH31" t="e">
        <v>#N/A</v>
      </c>
      <c r="RGI31" t="e">
        <v>#N/A</v>
      </c>
      <c r="RGJ31" t="e">
        <v>#N/A</v>
      </c>
      <c r="RGK31" t="e">
        <v>#N/A</v>
      </c>
      <c r="RGL31" t="e">
        <v>#N/A</v>
      </c>
      <c r="RGM31" t="e">
        <v>#N/A</v>
      </c>
      <c r="RGN31" t="e">
        <v>#N/A</v>
      </c>
      <c r="RGO31" t="e">
        <v>#N/A</v>
      </c>
      <c r="RGP31" t="e">
        <v>#N/A</v>
      </c>
      <c r="RGQ31" t="e">
        <v>#N/A</v>
      </c>
      <c r="RGR31" t="e">
        <v>#N/A</v>
      </c>
      <c r="RGS31" t="e">
        <v>#N/A</v>
      </c>
      <c r="RGT31" t="e">
        <v>#N/A</v>
      </c>
      <c r="RGU31" t="e">
        <v>#N/A</v>
      </c>
      <c r="RGV31" t="e">
        <v>#N/A</v>
      </c>
      <c r="RGW31" t="e">
        <v>#N/A</v>
      </c>
      <c r="RGX31" t="e">
        <v>#N/A</v>
      </c>
      <c r="RGY31" t="e">
        <v>#N/A</v>
      </c>
      <c r="RGZ31" t="e">
        <v>#N/A</v>
      </c>
      <c r="RHA31" t="e">
        <v>#N/A</v>
      </c>
      <c r="RHB31" t="e">
        <v>#N/A</v>
      </c>
      <c r="RHC31" t="e">
        <v>#N/A</v>
      </c>
      <c r="RHD31" t="e">
        <v>#N/A</v>
      </c>
      <c r="RHE31" t="e">
        <v>#N/A</v>
      </c>
      <c r="RHF31" t="e">
        <v>#N/A</v>
      </c>
      <c r="RHG31" t="e">
        <v>#N/A</v>
      </c>
      <c r="RHH31" t="e">
        <v>#N/A</v>
      </c>
      <c r="RHI31" t="e">
        <v>#N/A</v>
      </c>
      <c r="RHJ31" t="e">
        <v>#N/A</v>
      </c>
      <c r="RHK31" t="e">
        <v>#N/A</v>
      </c>
      <c r="RHL31" t="e">
        <v>#N/A</v>
      </c>
      <c r="RHM31" t="e">
        <v>#N/A</v>
      </c>
      <c r="RHN31" t="e">
        <v>#N/A</v>
      </c>
      <c r="RHO31" t="e">
        <v>#N/A</v>
      </c>
      <c r="RHP31" t="e">
        <v>#N/A</v>
      </c>
      <c r="RHQ31" t="e">
        <v>#N/A</v>
      </c>
      <c r="RHR31" t="e">
        <v>#N/A</v>
      </c>
      <c r="RHS31" t="e">
        <v>#N/A</v>
      </c>
      <c r="RHT31" t="e">
        <v>#N/A</v>
      </c>
      <c r="RHU31" t="e">
        <v>#N/A</v>
      </c>
      <c r="RHV31" t="e">
        <v>#N/A</v>
      </c>
      <c r="RHW31" t="e">
        <v>#N/A</v>
      </c>
      <c r="RHX31" t="e">
        <v>#N/A</v>
      </c>
      <c r="RHY31" t="e">
        <v>#N/A</v>
      </c>
      <c r="RHZ31" t="e">
        <v>#N/A</v>
      </c>
      <c r="RIA31" t="e">
        <v>#N/A</v>
      </c>
      <c r="RIB31" t="e">
        <v>#N/A</v>
      </c>
      <c r="RIC31" t="e">
        <v>#N/A</v>
      </c>
      <c r="RID31" t="e">
        <v>#N/A</v>
      </c>
      <c r="RIE31" t="e">
        <v>#N/A</v>
      </c>
      <c r="RIF31" t="e">
        <v>#N/A</v>
      </c>
      <c r="RIG31" t="e">
        <v>#N/A</v>
      </c>
      <c r="RIH31" t="e">
        <v>#N/A</v>
      </c>
      <c r="RII31" t="e">
        <v>#N/A</v>
      </c>
      <c r="RIJ31" t="e">
        <v>#N/A</v>
      </c>
      <c r="RIK31" t="e">
        <v>#N/A</v>
      </c>
      <c r="RIL31" t="e">
        <v>#N/A</v>
      </c>
      <c r="RIM31" t="e">
        <v>#N/A</v>
      </c>
      <c r="RIN31" t="e">
        <v>#N/A</v>
      </c>
      <c r="RIO31" t="e">
        <v>#N/A</v>
      </c>
      <c r="RIP31" t="e">
        <v>#N/A</v>
      </c>
      <c r="RIQ31" t="e">
        <v>#N/A</v>
      </c>
      <c r="RIR31" t="e">
        <v>#N/A</v>
      </c>
      <c r="RIS31" t="e">
        <v>#N/A</v>
      </c>
      <c r="RIT31" t="e">
        <v>#N/A</v>
      </c>
      <c r="RIU31" t="e">
        <v>#N/A</v>
      </c>
      <c r="RIV31" t="e">
        <v>#N/A</v>
      </c>
      <c r="RIW31" t="e">
        <v>#N/A</v>
      </c>
      <c r="RIX31" t="e">
        <v>#N/A</v>
      </c>
      <c r="RIY31" t="e">
        <v>#N/A</v>
      </c>
      <c r="RIZ31" t="e">
        <v>#N/A</v>
      </c>
      <c r="RJA31" t="e">
        <v>#N/A</v>
      </c>
      <c r="RJB31" t="e">
        <v>#N/A</v>
      </c>
      <c r="RJC31" t="e">
        <v>#N/A</v>
      </c>
      <c r="RJD31" t="e">
        <v>#N/A</v>
      </c>
      <c r="RJE31" t="e">
        <v>#N/A</v>
      </c>
      <c r="RJF31" t="e">
        <v>#N/A</v>
      </c>
      <c r="RJG31" t="e">
        <v>#N/A</v>
      </c>
      <c r="RJH31" t="e">
        <v>#N/A</v>
      </c>
      <c r="RJI31" t="e">
        <v>#N/A</v>
      </c>
      <c r="RJJ31" t="e">
        <v>#N/A</v>
      </c>
      <c r="RJK31" t="e">
        <v>#N/A</v>
      </c>
      <c r="RJL31" t="e">
        <v>#N/A</v>
      </c>
      <c r="RJM31" t="e">
        <v>#N/A</v>
      </c>
      <c r="RJN31" t="e">
        <v>#N/A</v>
      </c>
      <c r="RJO31" t="e">
        <v>#N/A</v>
      </c>
      <c r="RJP31" t="e">
        <v>#N/A</v>
      </c>
      <c r="RJQ31" t="e">
        <v>#N/A</v>
      </c>
      <c r="RJR31" t="e">
        <v>#N/A</v>
      </c>
      <c r="RJS31" t="e">
        <v>#N/A</v>
      </c>
      <c r="RJT31" t="e">
        <v>#N/A</v>
      </c>
      <c r="RJU31" t="e">
        <v>#N/A</v>
      </c>
      <c r="RJV31" t="e">
        <v>#N/A</v>
      </c>
      <c r="RJW31" t="e">
        <v>#N/A</v>
      </c>
      <c r="RJX31" t="e">
        <v>#N/A</v>
      </c>
      <c r="RJY31" t="e">
        <v>#N/A</v>
      </c>
      <c r="RJZ31" t="e">
        <v>#N/A</v>
      </c>
      <c r="RKA31" t="e">
        <v>#N/A</v>
      </c>
      <c r="RKB31" t="e">
        <v>#N/A</v>
      </c>
      <c r="RKC31" t="e">
        <v>#N/A</v>
      </c>
      <c r="RKD31" t="e">
        <v>#N/A</v>
      </c>
      <c r="RKE31" t="e">
        <v>#N/A</v>
      </c>
      <c r="RKF31" t="e">
        <v>#N/A</v>
      </c>
      <c r="RKG31" t="e">
        <v>#N/A</v>
      </c>
      <c r="RKH31" t="e">
        <v>#N/A</v>
      </c>
      <c r="RKI31" t="e">
        <v>#N/A</v>
      </c>
      <c r="RKJ31" t="e">
        <v>#N/A</v>
      </c>
      <c r="RKK31" t="e">
        <v>#N/A</v>
      </c>
      <c r="RKL31" t="e">
        <v>#N/A</v>
      </c>
      <c r="RKM31" t="e">
        <v>#N/A</v>
      </c>
      <c r="RKN31" t="e">
        <v>#N/A</v>
      </c>
      <c r="RKO31" t="e">
        <v>#N/A</v>
      </c>
      <c r="RKP31" t="e">
        <v>#N/A</v>
      </c>
      <c r="RKQ31" t="e">
        <v>#N/A</v>
      </c>
      <c r="RKR31" t="e">
        <v>#N/A</v>
      </c>
      <c r="RKS31" t="e">
        <v>#N/A</v>
      </c>
      <c r="RKT31" t="e">
        <v>#N/A</v>
      </c>
      <c r="RKU31" t="e">
        <v>#N/A</v>
      </c>
      <c r="RKV31" t="e">
        <v>#N/A</v>
      </c>
      <c r="RKW31" t="e">
        <v>#N/A</v>
      </c>
      <c r="RKX31" t="e">
        <v>#N/A</v>
      </c>
      <c r="RKY31" t="e">
        <v>#N/A</v>
      </c>
      <c r="RKZ31" t="e">
        <v>#N/A</v>
      </c>
      <c r="RLA31" t="e">
        <v>#N/A</v>
      </c>
      <c r="RLB31" t="e">
        <v>#N/A</v>
      </c>
      <c r="RLC31" t="e">
        <v>#N/A</v>
      </c>
      <c r="RLD31" t="e">
        <v>#N/A</v>
      </c>
      <c r="RLE31" t="e">
        <v>#N/A</v>
      </c>
      <c r="RLF31" t="e">
        <v>#N/A</v>
      </c>
      <c r="RLG31" t="e">
        <v>#N/A</v>
      </c>
      <c r="RLH31" t="e">
        <v>#N/A</v>
      </c>
      <c r="RLI31" t="e">
        <v>#N/A</v>
      </c>
      <c r="RLJ31" t="e">
        <v>#N/A</v>
      </c>
      <c r="RLK31" t="e">
        <v>#N/A</v>
      </c>
      <c r="RLL31" t="e">
        <v>#N/A</v>
      </c>
      <c r="RLM31" t="e">
        <v>#N/A</v>
      </c>
      <c r="RLN31" t="e">
        <v>#N/A</v>
      </c>
      <c r="RLO31" t="e">
        <v>#N/A</v>
      </c>
      <c r="RLP31" t="e">
        <v>#N/A</v>
      </c>
      <c r="RLQ31" t="e">
        <v>#N/A</v>
      </c>
      <c r="RLR31" t="e">
        <v>#N/A</v>
      </c>
      <c r="RLS31" t="e">
        <v>#N/A</v>
      </c>
      <c r="RLT31" t="e">
        <v>#N/A</v>
      </c>
      <c r="RLU31" t="e">
        <v>#N/A</v>
      </c>
      <c r="RLV31" t="e">
        <v>#N/A</v>
      </c>
      <c r="RLW31" t="e">
        <v>#N/A</v>
      </c>
      <c r="RLX31" t="e">
        <v>#N/A</v>
      </c>
      <c r="RLY31" t="e">
        <v>#N/A</v>
      </c>
      <c r="RLZ31" t="e">
        <v>#N/A</v>
      </c>
      <c r="RMA31" t="e">
        <v>#N/A</v>
      </c>
      <c r="RMB31" t="e">
        <v>#N/A</v>
      </c>
      <c r="RMC31" t="e">
        <v>#N/A</v>
      </c>
      <c r="RMD31" t="e">
        <v>#N/A</v>
      </c>
      <c r="RME31" t="e">
        <v>#N/A</v>
      </c>
      <c r="RMF31" t="e">
        <v>#N/A</v>
      </c>
      <c r="RMG31" t="e">
        <v>#N/A</v>
      </c>
      <c r="RMH31" t="e">
        <v>#N/A</v>
      </c>
      <c r="RMI31" t="e">
        <v>#N/A</v>
      </c>
      <c r="RMJ31" t="e">
        <v>#N/A</v>
      </c>
      <c r="RMK31" t="e">
        <v>#N/A</v>
      </c>
      <c r="RML31" t="e">
        <v>#N/A</v>
      </c>
      <c r="RMM31" t="e">
        <v>#N/A</v>
      </c>
      <c r="RMN31" t="e">
        <v>#N/A</v>
      </c>
      <c r="RMO31" t="e">
        <v>#N/A</v>
      </c>
      <c r="RMP31" t="e">
        <v>#N/A</v>
      </c>
      <c r="RMQ31" t="e">
        <v>#N/A</v>
      </c>
      <c r="RMR31" t="e">
        <v>#N/A</v>
      </c>
      <c r="RMS31" t="e">
        <v>#N/A</v>
      </c>
      <c r="RMT31" t="e">
        <v>#N/A</v>
      </c>
      <c r="RMU31" t="e">
        <v>#N/A</v>
      </c>
      <c r="RMV31" t="e">
        <v>#N/A</v>
      </c>
      <c r="RMW31" t="e">
        <v>#N/A</v>
      </c>
      <c r="RMX31" t="e">
        <v>#N/A</v>
      </c>
      <c r="RMY31" t="e">
        <v>#N/A</v>
      </c>
      <c r="RMZ31" t="e">
        <v>#N/A</v>
      </c>
      <c r="RNA31" t="e">
        <v>#N/A</v>
      </c>
      <c r="RNB31" t="e">
        <v>#N/A</v>
      </c>
      <c r="RNC31" t="e">
        <v>#N/A</v>
      </c>
      <c r="RND31" t="e">
        <v>#N/A</v>
      </c>
      <c r="RNE31" t="e">
        <v>#N/A</v>
      </c>
      <c r="RNF31" t="e">
        <v>#N/A</v>
      </c>
      <c r="RNG31" t="e">
        <v>#N/A</v>
      </c>
      <c r="RNH31" t="e">
        <v>#N/A</v>
      </c>
      <c r="RNI31" t="e">
        <v>#N/A</v>
      </c>
      <c r="RNJ31" t="e">
        <v>#N/A</v>
      </c>
      <c r="RNK31" t="e">
        <v>#N/A</v>
      </c>
      <c r="RNL31" t="e">
        <v>#N/A</v>
      </c>
      <c r="RNM31" t="e">
        <v>#N/A</v>
      </c>
      <c r="RNN31" t="e">
        <v>#N/A</v>
      </c>
      <c r="RNO31" t="e">
        <v>#N/A</v>
      </c>
      <c r="RNP31" t="e">
        <v>#N/A</v>
      </c>
      <c r="RNQ31" t="e">
        <v>#N/A</v>
      </c>
      <c r="RNR31" t="e">
        <v>#N/A</v>
      </c>
      <c r="RNS31" t="e">
        <v>#N/A</v>
      </c>
      <c r="RNT31" t="e">
        <v>#N/A</v>
      </c>
      <c r="RNU31" t="e">
        <v>#N/A</v>
      </c>
      <c r="RNV31" t="e">
        <v>#N/A</v>
      </c>
      <c r="RNW31" t="e">
        <v>#N/A</v>
      </c>
      <c r="RNX31" t="e">
        <v>#N/A</v>
      </c>
      <c r="RNY31" t="e">
        <v>#N/A</v>
      </c>
      <c r="RNZ31" t="e">
        <v>#N/A</v>
      </c>
      <c r="ROA31" t="e">
        <v>#N/A</v>
      </c>
      <c r="ROB31" t="e">
        <v>#N/A</v>
      </c>
      <c r="ROC31" t="e">
        <v>#N/A</v>
      </c>
      <c r="ROD31" t="e">
        <v>#N/A</v>
      </c>
      <c r="ROE31" t="e">
        <v>#N/A</v>
      </c>
      <c r="ROF31" t="e">
        <v>#N/A</v>
      </c>
      <c r="ROG31" t="e">
        <v>#N/A</v>
      </c>
      <c r="ROH31" t="e">
        <v>#N/A</v>
      </c>
      <c r="ROI31" t="e">
        <v>#N/A</v>
      </c>
      <c r="ROJ31" t="e">
        <v>#N/A</v>
      </c>
      <c r="ROK31" t="e">
        <v>#N/A</v>
      </c>
      <c r="ROL31" t="e">
        <v>#N/A</v>
      </c>
      <c r="ROM31" t="e">
        <v>#N/A</v>
      </c>
      <c r="RON31" t="e">
        <v>#N/A</v>
      </c>
      <c r="ROO31" t="e">
        <v>#N/A</v>
      </c>
      <c r="ROP31" t="e">
        <v>#N/A</v>
      </c>
      <c r="ROQ31" t="e">
        <v>#N/A</v>
      </c>
      <c r="ROR31" t="e">
        <v>#N/A</v>
      </c>
      <c r="ROS31" t="e">
        <v>#N/A</v>
      </c>
      <c r="ROT31" t="e">
        <v>#N/A</v>
      </c>
      <c r="ROU31" t="e">
        <v>#N/A</v>
      </c>
      <c r="ROV31" t="e">
        <v>#N/A</v>
      </c>
      <c r="ROW31" t="e">
        <v>#N/A</v>
      </c>
      <c r="ROX31" t="e">
        <v>#N/A</v>
      </c>
      <c r="ROY31" t="e">
        <v>#N/A</v>
      </c>
      <c r="ROZ31" t="e">
        <v>#N/A</v>
      </c>
      <c r="RPA31" t="e">
        <v>#N/A</v>
      </c>
      <c r="RPB31" t="e">
        <v>#N/A</v>
      </c>
      <c r="RPC31" t="e">
        <v>#N/A</v>
      </c>
      <c r="RPD31" t="e">
        <v>#N/A</v>
      </c>
      <c r="RPE31" t="e">
        <v>#N/A</v>
      </c>
      <c r="RPF31" t="e">
        <v>#N/A</v>
      </c>
      <c r="RPG31" t="e">
        <v>#N/A</v>
      </c>
      <c r="RPH31" t="e">
        <v>#N/A</v>
      </c>
      <c r="RPI31" t="e">
        <v>#N/A</v>
      </c>
      <c r="RPJ31" t="e">
        <v>#N/A</v>
      </c>
      <c r="RPK31" t="e">
        <v>#N/A</v>
      </c>
      <c r="RPL31" t="e">
        <v>#N/A</v>
      </c>
      <c r="RPM31" t="e">
        <v>#N/A</v>
      </c>
      <c r="RPN31" t="e">
        <v>#N/A</v>
      </c>
      <c r="RPO31" t="e">
        <v>#N/A</v>
      </c>
      <c r="RPP31" t="e">
        <v>#N/A</v>
      </c>
      <c r="RPQ31" t="e">
        <v>#N/A</v>
      </c>
      <c r="RPR31" t="e">
        <v>#N/A</v>
      </c>
      <c r="RPS31" t="e">
        <v>#N/A</v>
      </c>
      <c r="RPT31" t="e">
        <v>#N/A</v>
      </c>
      <c r="RPU31" t="e">
        <v>#N/A</v>
      </c>
      <c r="RPV31" t="e">
        <v>#N/A</v>
      </c>
      <c r="RPW31" t="e">
        <v>#N/A</v>
      </c>
      <c r="RPX31" t="e">
        <v>#N/A</v>
      </c>
      <c r="RPY31" t="e">
        <v>#N/A</v>
      </c>
      <c r="RPZ31" t="e">
        <v>#N/A</v>
      </c>
      <c r="RQA31" t="e">
        <v>#N/A</v>
      </c>
      <c r="RQB31" t="e">
        <v>#N/A</v>
      </c>
      <c r="RQC31" t="e">
        <v>#N/A</v>
      </c>
      <c r="RQD31" t="e">
        <v>#N/A</v>
      </c>
      <c r="RQE31" t="e">
        <v>#N/A</v>
      </c>
      <c r="RQF31" t="e">
        <v>#N/A</v>
      </c>
      <c r="RQG31" t="e">
        <v>#N/A</v>
      </c>
      <c r="RQH31" t="e">
        <v>#N/A</v>
      </c>
      <c r="RQI31" t="e">
        <v>#N/A</v>
      </c>
      <c r="RQJ31" t="e">
        <v>#N/A</v>
      </c>
      <c r="RQK31" t="e">
        <v>#N/A</v>
      </c>
      <c r="RQL31" t="e">
        <v>#N/A</v>
      </c>
      <c r="RQM31" t="e">
        <v>#N/A</v>
      </c>
      <c r="RQN31" t="e">
        <v>#N/A</v>
      </c>
      <c r="RQO31" t="e">
        <v>#N/A</v>
      </c>
      <c r="RQP31" t="e">
        <v>#N/A</v>
      </c>
      <c r="RQQ31" t="e">
        <v>#N/A</v>
      </c>
      <c r="RQR31" t="e">
        <v>#N/A</v>
      </c>
      <c r="RQS31" t="e">
        <v>#N/A</v>
      </c>
      <c r="RQT31" t="e">
        <v>#N/A</v>
      </c>
      <c r="RQU31" t="e">
        <v>#N/A</v>
      </c>
      <c r="RQV31" t="e">
        <v>#N/A</v>
      </c>
      <c r="RQW31" t="e">
        <v>#N/A</v>
      </c>
      <c r="RQX31" t="e">
        <v>#N/A</v>
      </c>
      <c r="RQY31" t="e">
        <v>#N/A</v>
      </c>
      <c r="RQZ31" t="e">
        <v>#N/A</v>
      </c>
      <c r="RRA31" t="e">
        <v>#N/A</v>
      </c>
      <c r="RRB31" t="e">
        <v>#N/A</v>
      </c>
      <c r="RRC31" t="e">
        <v>#N/A</v>
      </c>
      <c r="RRD31" t="e">
        <v>#N/A</v>
      </c>
      <c r="RRE31" t="e">
        <v>#N/A</v>
      </c>
      <c r="RRF31" t="e">
        <v>#N/A</v>
      </c>
      <c r="RRG31" t="e">
        <v>#N/A</v>
      </c>
      <c r="RRH31" t="e">
        <v>#N/A</v>
      </c>
      <c r="RRI31" t="e">
        <v>#N/A</v>
      </c>
      <c r="RRJ31" t="e">
        <v>#N/A</v>
      </c>
      <c r="RRK31" t="e">
        <v>#N/A</v>
      </c>
      <c r="RRL31" t="e">
        <v>#N/A</v>
      </c>
      <c r="RRM31" t="e">
        <v>#N/A</v>
      </c>
      <c r="RRN31" t="e">
        <v>#N/A</v>
      </c>
      <c r="RRO31" t="e">
        <v>#N/A</v>
      </c>
      <c r="RRP31" t="e">
        <v>#N/A</v>
      </c>
      <c r="RRQ31" t="e">
        <v>#N/A</v>
      </c>
      <c r="RRR31" t="e">
        <v>#N/A</v>
      </c>
      <c r="RRS31" t="e">
        <v>#N/A</v>
      </c>
      <c r="RRT31" t="e">
        <v>#N/A</v>
      </c>
      <c r="RRU31" t="e">
        <v>#N/A</v>
      </c>
      <c r="RRV31" t="e">
        <v>#N/A</v>
      </c>
      <c r="RRW31" t="e">
        <v>#N/A</v>
      </c>
      <c r="RRX31" t="e">
        <v>#N/A</v>
      </c>
      <c r="RRY31" t="e">
        <v>#N/A</v>
      </c>
      <c r="RRZ31" t="e">
        <v>#N/A</v>
      </c>
      <c r="RSA31" t="e">
        <v>#N/A</v>
      </c>
      <c r="RSB31" t="e">
        <v>#N/A</v>
      </c>
      <c r="RSC31" t="e">
        <v>#N/A</v>
      </c>
      <c r="RSD31" t="e">
        <v>#N/A</v>
      </c>
      <c r="RSE31" t="e">
        <v>#N/A</v>
      </c>
      <c r="RSF31" t="e">
        <v>#N/A</v>
      </c>
      <c r="RSG31" t="e">
        <v>#N/A</v>
      </c>
      <c r="RSH31" t="e">
        <v>#N/A</v>
      </c>
      <c r="RSI31" t="e">
        <v>#N/A</v>
      </c>
      <c r="RSJ31" t="e">
        <v>#N/A</v>
      </c>
      <c r="RSK31" t="e">
        <v>#N/A</v>
      </c>
      <c r="RSL31" t="e">
        <v>#N/A</v>
      </c>
      <c r="RSM31" t="e">
        <v>#N/A</v>
      </c>
      <c r="RSN31" t="e">
        <v>#N/A</v>
      </c>
      <c r="RSO31" t="e">
        <v>#N/A</v>
      </c>
      <c r="RSP31" t="e">
        <v>#N/A</v>
      </c>
      <c r="RSQ31" t="e">
        <v>#N/A</v>
      </c>
      <c r="RSR31" t="e">
        <v>#N/A</v>
      </c>
      <c r="RSS31" t="e">
        <v>#N/A</v>
      </c>
      <c r="RST31" t="e">
        <v>#N/A</v>
      </c>
      <c r="RSU31" t="e">
        <v>#N/A</v>
      </c>
      <c r="RSV31" t="e">
        <v>#N/A</v>
      </c>
      <c r="RSW31" t="e">
        <v>#N/A</v>
      </c>
      <c r="RSX31" t="e">
        <v>#N/A</v>
      </c>
      <c r="RSY31" t="e">
        <v>#N/A</v>
      </c>
      <c r="RSZ31" t="e">
        <v>#N/A</v>
      </c>
      <c r="RTA31" t="e">
        <v>#N/A</v>
      </c>
      <c r="RTB31" t="e">
        <v>#N/A</v>
      </c>
      <c r="RTC31" t="e">
        <v>#N/A</v>
      </c>
      <c r="RTD31" t="e">
        <v>#N/A</v>
      </c>
      <c r="RTE31" t="e">
        <v>#N/A</v>
      </c>
      <c r="RTF31" t="e">
        <v>#N/A</v>
      </c>
      <c r="RTG31" t="e">
        <v>#N/A</v>
      </c>
      <c r="RTH31" t="e">
        <v>#N/A</v>
      </c>
      <c r="RTI31" t="e">
        <v>#N/A</v>
      </c>
      <c r="RTJ31" t="e">
        <v>#N/A</v>
      </c>
      <c r="RTK31" t="e">
        <v>#N/A</v>
      </c>
      <c r="RTL31" t="e">
        <v>#N/A</v>
      </c>
      <c r="RTM31" t="e">
        <v>#N/A</v>
      </c>
      <c r="RTN31" t="e">
        <v>#N/A</v>
      </c>
      <c r="RTO31" t="e">
        <v>#N/A</v>
      </c>
      <c r="RTP31" t="e">
        <v>#N/A</v>
      </c>
      <c r="RTQ31" t="e">
        <v>#N/A</v>
      </c>
      <c r="RTR31" t="e">
        <v>#N/A</v>
      </c>
      <c r="RTS31" t="e">
        <v>#N/A</v>
      </c>
      <c r="RTT31" t="e">
        <v>#N/A</v>
      </c>
      <c r="RTU31" t="e">
        <v>#N/A</v>
      </c>
      <c r="RTV31" t="e">
        <v>#N/A</v>
      </c>
      <c r="RTW31" t="e">
        <v>#N/A</v>
      </c>
      <c r="RTX31" t="e">
        <v>#N/A</v>
      </c>
      <c r="RTY31" t="e">
        <v>#N/A</v>
      </c>
      <c r="RTZ31" t="e">
        <v>#N/A</v>
      </c>
      <c r="RUA31" t="e">
        <v>#N/A</v>
      </c>
      <c r="RUB31" t="e">
        <v>#N/A</v>
      </c>
      <c r="RUC31" t="e">
        <v>#N/A</v>
      </c>
      <c r="RUD31" t="e">
        <v>#N/A</v>
      </c>
      <c r="RUE31" t="e">
        <v>#N/A</v>
      </c>
      <c r="RUF31" t="e">
        <v>#N/A</v>
      </c>
      <c r="RUG31" t="e">
        <v>#N/A</v>
      </c>
      <c r="RUH31" t="e">
        <v>#N/A</v>
      </c>
      <c r="RUI31" t="e">
        <v>#N/A</v>
      </c>
      <c r="RUJ31" t="e">
        <v>#N/A</v>
      </c>
      <c r="RUK31" t="e">
        <v>#N/A</v>
      </c>
      <c r="RUL31" t="e">
        <v>#N/A</v>
      </c>
      <c r="RUM31" t="e">
        <v>#N/A</v>
      </c>
      <c r="RUN31" t="e">
        <v>#N/A</v>
      </c>
      <c r="RUO31" t="e">
        <v>#N/A</v>
      </c>
      <c r="RUP31" t="e">
        <v>#N/A</v>
      </c>
      <c r="RUQ31" t="e">
        <v>#N/A</v>
      </c>
      <c r="RUR31" t="e">
        <v>#N/A</v>
      </c>
      <c r="RUS31" t="e">
        <v>#N/A</v>
      </c>
      <c r="RUT31" t="e">
        <v>#N/A</v>
      </c>
      <c r="RUU31" t="e">
        <v>#N/A</v>
      </c>
      <c r="RUV31" t="e">
        <v>#N/A</v>
      </c>
      <c r="RUW31" t="e">
        <v>#N/A</v>
      </c>
      <c r="RUX31" t="e">
        <v>#N/A</v>
      </c>
      <c r="RUY31" t="e">
        <v>#N/A</v>
      </c>
      <c r="RUZ31" t="e">
        <v>#N/A</v>
      </c>
      <c r="RVA31" t="e">
        <v>#N/A</v>
      </c>
      <c r="RVB31" t="e">
        <v>#N/A</v>
      </c>
      <c r="RVC31" t="e">
        <v>#N/A</v>
      </c>
      <c r="RVD31" t="e">
        <v>#N/A</v>
      </c>
      <c r="RVE31" t="e">
        <v>#N/A</v>
      </c>
      <c r="RVF31" t="e">
        <v>#N/A</v>
      </c>
      <c r="RVG31" t="e">
        <v>#N/A</v>
      </c>
      <c r="RVH31" t="e">
        <v>#N/A</v>
      </c>
      <c r="RVI31" t="e">
        <v>#N/A</v>
      </c>
      <c r="RVJ31" t="e">
        <v>#N/A</v>
      </c>
      <c r="RVK31" t="e">
        <v>#N/A</v>
      </c>
      <c r="RVL31" t="e">
        <v>#N/A</v>
      </c>
      <c r="RVM31" t="e">
        <v>#N/A</v>
      </c>
      <c r="RVN31" t="e">
        <v>#N/A</v>
      </c>
      <c r="RVO31" t="e">
        <v>#N/A</v>
      </c>
      <c r="RVP31" t="e">
        <v>#N/A</v>
      </c>
      <c r="RVQ31" t="e">
        <v>#N/A</v>
      </c>
      <c r="RVR31" t="e">
        <v>#N/A</v>
      </c>
      <c r="RVS31" t="e">
        <v>#N/A</v>
      </c>
      <c r="RVT31" t="e">
        <v>#N/A</v>
      </c>
      <c r="RVU31" t="e">
        <v>#N/A</v>
      </c>
      <c r="RVV31" t="e">
        <v>#N/A</v>
      </c>
      <c r="RVW31" t="e">
        <v>#N/A</v>
      </c>
      <c r="RVX31" t="e">
        <v>#N/A</v>
      </c>
      <c r="RVY31" t="e">
        <v>#N/A</v>
      </c>
      <c r="RVZ31" t="e">
        <v>#N/A</v>
      </c>
      <c r="RWA31" t="e">
        <v>#N/A</v>
      </c>
      <c r="RWB31" t="e">
        <v>#N/A</v>
      </c>
      <c r="RWC31" t="e">
        <v>#N/A</v>
      </c>
      <c r="RWD31" t="e">
        <v>#N/A</v>
      </c>
      <c r="RWE31" t="e">
        <v>#N/A</v>
      </c>
      <c r="RWF31" t="e">
        <v>#N/A</v>
      </c>
      <c r="RWG31" t="e">
        <v>#N/A</v>
      </c>
      <c r="RWH31" t="e">
        <v>#N/A</v>
      </c>
      <c r="RWI31" t="e">
        <v>#N/A</v>
      </c>
      <c r="RWJ31" t="e">
        <v>#N/A</v>
      </c>
      <c r="RWK31" t="e">
        <v>#N/A</v>
      </c>
      <c r="RWL31" t="e">
        <v>#N/A</v>
      </c>
      <c r="RWM31" t="e">
        <v>#N/A</v>
      </c>
      <c r="RWN31" t="e">
        <v>#N/A</v>
      </c>
      <c r="RWO31" t="e">
        <v>#N/A</v>
      </c>
      <c r="RWP31" t="e">
        <v>#N/A</v>
      </c>
      <c r="RWQ31" t="e">
        <v>#N/A</v>
      </c>
      <c r="RWR31" t="e">
        <v>#N/A</v>
      </c>
      <c r="RWS31" t="e">
        <v>#N/A</v>
      </c>
      <c r="RWT31" t="e">
        <v>#N/A</v>
      </c>
      <c r="RWU31" t="e">
        <v>#N/A</v>
      </c>
      <c r="RWV31" t="e">
        <v>#N/A</v>
      </c>
      <c r="RWW31" t="e">
        <v>#N/A</v>
      </c>
      <c r="RWX31" t="e">
        <v>#N/A</v>
      </c>
      <c r="RWY31" t="e">
        <v>#N/A</v>
      </c>
      <c r="RWZ31" t="e">
        <v>#N/A</v>
      </c>
      <c r="RXA31" t="e">
        <v>#N/A</v>
      </c>
      <c r="RXB31" t="e">
        <v>#N/A</v>
      </c>
      <c r="RXC31" t="e">
        <v>#N/A</v>
      </c>
      <c r="RXD31" t="e">
        <v>#N/A</v>
      </c>
      <c r="RXE31" t="e">
        <v>#N/A</v>
      </c>
      <c r="RXF31" t="e">
        <v>#N/A</v>
      </c>
      <c r="RXG31" t="e">
        <v>#N/A</v>
      </c>
      <c r="RXH31" t="e">
        <v>#N/A</v>
      </c>
      <c r="RXI31" t="e">
        <v>#N/A</v>
      </c>
      <c r="RXJ31" t="e">
        <v>#N/A</v>
      </c>
      <c r="RXK31" t="e">
        <v>#N/A</v>
      </c>
      <c r="RXL31" t="e">
        <v>#N/A</v>
      </c>
      <c r="RXM31" t="e">
        <v>#N/A</v>
      </c>
      <c r="RXN31" t="e">
        <v>#N/A</v>
      </c>
      <c r="RXO31" t="e">
        <v>#N/A</v>
      </c>
      <c r="RXP31" t="e">
        <v>#N/A</v>
      </c>
      <c r="RXQ31" t="e">
        <v>#N/A</v>
      </c>
      <c r="RXR31" t="e">
        <v>#N/A</v>
      </c>
      <c r="RXS31" t="e">
        <v>#N/A</v>
      </c>
      <c r="RXT31" t="e">
        <v>#N/A</v>
      </c>
      <c r="RXU31" t="e">
        <v>#N/A</v>
      </c>
      <c r="RXV31" t="e">
        <v>#N/A</v>
      </c>
      <c r="RXW31" t="e">
        <v>#N/A</v>
      </c>
      <c r="RXX31" t="e">
        <v>#N/A</v>
      </c>
      <c r="RXY31" t="e">
        <v>#N/A</v>
      </c>
      <c r="RXZ31" t="e">
        <v>#N/A</v>
      </c>
      <c r="RYA31" t="e">
        <v>#N/A</v>
      </c>
      <c r="RYB31" t="e">
        <v>#N/A</v>
      </c>
      <c r="RYC31" t="e">
        <v>#N/A</v>
      </c>
      <c r="RYD31" t="e">
        <v>#N/A</v>
      </c>
      <c r="RYE31" t="e">
        <v>#N/A</v>
      </c>
      <c r="RYF31" t="e">
        <v>#N/A</v>
      </c>
      <c r="RYG31" t="e">
        <v>#N/A</v>
      </c>
      <c r="RYH31" t="e">
        <v>#N/A</v>
      </c>
      <c r="RYI31" t="e">
        <v>#N/A</v>
      </c>
      <c r="RYJ31" t="e">
        <v>#N/A</v>
      </c>
      <c r="RYK31" t="e">
        <v>#N/A</v>
      </c>
      <c r="RYL31" t="e">
        <v>#N/A</v>
      </c>
      <c r="RYM31" t="e">
        <v>#N/A</v>
      </c>
      <c r="RYN31" t="e">
        <v>#N/A</v>
      </c>
      <c r="RYO31" t="e">
        <v>#N/A</v>
      </c>
      <c r="RYP31" t="e">
        <v>#N/A</v>
      </c>
      <c r="RYQ31" t="e">
        <v>#N/A</v>
      </c>
      <c r="RYR31" t="e">
        <v>#N/A</v>
      </c>
      <c r="RYS31" t="e">
        <v>#N/A</v>
      </c>
      <c r="RYT31" t="e">
        <v>#N/A</v>
      </c>
      <c r="RYU31" t="e">
        <v>#N/A</v>
      </c>
      <c r="RYV31" t="e">
        <v>#N/A</v>
      </c>
      <c r="RYW31" t="e">
        <v>#N/A</v>
      </c>
      <c r="RYX31" t="e">
        <v>#N/A</v>
      </c>
      <c r="RYY31" t="e">
        <v>#N/A</v>
      </c>
      <c r="RYZ31" t="e">
        <v>#N/A</v>
      </c>
      <c r="RZA31" t="e">
        <v>#N/A</v>
      </c>
      <c r="RZB31" t="e">
        <v>#N/A</v>
      </c>
      <c r="RZC31" t="e">
        <v>#N/A</v>
      </c>
      <c r="RZD31" t="e">
        <v>#N/A</v>
      </c>
      <c r="RZE31" t="e">
        <v>#N/A</v>
      </c>
      <c r="RZF31" t="e">
        <v>#N/A</v>
      </c>
      <c r="RZG31" t="e">
        <v>#N/A</v>
      </c>
      <c r="RZH31" t="e">
        <v>#N/A</v>
      </c>
      <c r="RZI31" t="e">
        <v>#N/A</v>
      </c>
      <c r="RZJ31" t="e">
        <v>#N/A</v>
      </c>
      <c r="RZK31" t="e">
        <v>#N/A</v>
      </c>
      <c r="RZL31" t="e">
        <v>#N/A</v>
      </c>
      <c r="RZM31" t="e">
        <v>#N/A</v>
      </c>
      <c r="RZN31" t="e">
        <v>#N/A</v>
      </c>
      <c r="RZO31" t="e">
        <v>#N/A</v>
      </c>
      <c r="RZP31" t="e">
        <v>#N/A</v>
      </c>
      <c r="RZQ31" t="e">
        <v>#N/A</v>
      </c>
      <c r="RZR31" t="e">
        <v>#N/A</v>
      </c>
      <c r="RZS31" t="e">
        <v>#N/A</v>
      </c>
      <c r="RZT31" t="e">
        <v>#N/A</v>
      </c>
      <c r="RZU31" t="e">
        <v>#N/A</v>
      </c>
      <c r="RZV31" t="e">
        <v>#N/A</v>
      </c>
      <c r="RZW31" t="e">
        <v>#N/A</v>
      </c>
      <c r="RZX31" t="e">
        <v>#N/A</v>
      </c>
      <c r="RZY31" t="e">
        <v>#N/A</v>
      </c>
      <c r="RZZ31" t="e">
        <v>#N/A</v>
      </c>
      <c r="SAA31" t="e">
        <v>#N/A</v>
      </c>
      <c r="SAB31" t="e">
        <v>#N/A</v>
      </c>
      <c r="SAC31" t="e">
        <v>#N/A</v>
      </c>
      <c r="SAD31" t="e">
        <v>#N/A</v>
      </c>
      <c r="SAE31" t="e">
        <v>#N/A</v>
      </c>
      <c r="SAF31" t="e">
        <v>#N/A</v>
      </c>
      <c r="SAG31" t="e">
        <v>#N/A</v>
      </c>
      <c r="SAH31" t="e">
        <v>#N/A</v>
      </c>
      <c r="SAI31" t="e">
        <v>#N/A</v>
      </c>
      <c r="SAJ31" t="e">
        <v>#N/A</v>
      </c>
      <c r="SAK31" t="e">
        <v>#N/A</v>
      </c>
      <c r="SAL31" t="e">
        <v>#N/A</v>
      </c>
      <c r="SAM31" t="e">
        <v>#N/A</v>
      </c>
      <c r="SAN31" t="e">
        <v>#N/A</v>
      </c>
      <c r="SAO31" t="e">
        <v>#N/A</v>
      </c>
      <c r="SAP31" t="e">
        <v>#N/A</v>
      </c>
      <c r="SAQ31" t="e">
        <v>#N/A</v>
      </c>
      <c r="SAR31" t="e">
        <v>#N/A</v>
      </c>
      <c r="SAS31" t="e">
        <v>#N/A</v>
      </c>
      <c r="SAT31" t="e">
        <v>#N/A</v>
      </c>
      <c r="SAU31" t="e">
        <v>#N/A</v>
      </c>
      <c r="SAV31" t="e">
        <v>#N/A</v>
      </c>
      <c r="SAW31" t="e">
        <v>#N/A</v>
      </c>
      <c r="SAX31" t="e">
        <v>#N/A</v>
      </c>
      <c r="SAY31" t="e">
        <v>#N/A</v>
      </c>
      <c r="SAZ31" t="e">
        <v>#N/A</v>
      </c>
      <c r="SBA31" t="e">
        <v>#N/A</v>
      </c>
      <c r="SBB31" t="e">
        <v>#N/A</v>
      </c>
      <c r="SBC31" t="e">
        <v>#N/A</v>
      </c>
      <c r="SBD31" t="e">
        <v>#N/A</v>
      </c>
      <c r="SBE31" t="e">
        <v>#N/A</v>
      </c>
      <c r="SBF31" t="e">
        <v>#N/A</v>
      </c>
      <c r="SBG31" t="e">
        <v>#N/A</v>
      </c>
      <c r="SBH31" t="e">
        <v>#N/A</v>
      </c>
      <c r="SBI31" t="e">
        <v>#N/A</v>
      </c>
      <c r="SBJ31" t="e">
        <v>#N/A</v>
      </c>
      <c r="SBK31" t="e">
        <v>#N/A</v>
      </c>
      <c r="SBL31" t="e">
        <v>#N/A</v>
      </c>
      <c r="SBM31" t="e">
        <v>#N/A</v>
      </c>
      <c r="SBN31" t="e">
        <v>#N/A</v>
      </c>
      <c r="SBO31" t="e">
        <v>#N/A</v>
      </c>
      <c r="SBP31" t="e">
        <v>#N/A</v>
      </c>
      <c r="SBQ31" t="e">
        <v>#N/A</v>
      </c>
      <c r="SBR31" t="e">
        <v>#N/A</v>
      </c>
      <c r="SBS31" t="e">
        <v>#N/A</v>
      </c>
      <c r="SBT31" t="e">
        <v>#N/A</v>
      </c>
      <c r="SBU31" t="e">
        <v>#N/A</v>
      </c>
      <c r="SBV31" t="e">
        <v>#N/A</v>
      </c>
      <c r="SBW31" t="e">
        <v>#N/A</v>
      </c>
      <c r="SBX31" t="e">
        <v>#N/A</v>
      </c>
      <c r="SBY31" t="e">
        <v>#N/A</v>
      </c>
      <c r="SBZ31" t="e">
        <v>#N/A</v>
      </c>
      <c r="SCA31" t="e">
        <v>#N/A</v>
      </c>
      <c r="SCB31" t="e">
        <v>#N/A</v>
      </c>
      <c r="SCC31" t="e">
        <v>#N/A</v>
      </c>
      <c r="SCD31" t="e">
        <v>#N/A</v>
      </c>
      <c r="SCE31" t="e">
        <v>#N/A</v>
      </c>
      <c r="SCF31" t="e">
        <v>#N/A</v>
      </c>
      <c r="SCG31" t="e">
        <v>#N/A</v>
      </c>
      <c r="SCH31" t="e">
        <v>#N/A</v>
      </c>
      <c r="SCI31" t="e">
        <v>#N/A</v>
      </c>
      <c r="SCJ31" t="e">
        <v>#N/A</v>
      </c>
      <c r="SCK31" t="e">
        <v>#N/A</v>
      </c>
      <c r="SCL31" t="e">
        <v>#N/A</v>
      </c>
      <c r="SCM31" t="e">
        <v>#N/A</v>
      </c>
      <c r="SCN31" t="e">
        <v>#N/A</v>
      </c>
      <c r="SCO31" t="e">
        <v>#N/A</v>
      </c>
      <c r="SCP31" t="e">
        <v>#N/A</v>
      </c>
      <c r="SCQ31" t="e">
        <v>#N/A</v>
      </c>
      <c r="SCR31" t="e">
        <v>#N/A</v>
      </c>
      <c r="SCS31" t="e">
        <v>#N/A</v>
      </c>
      <c r="SCT31" t="e">
        <v>#N/A</v>
      </c>
      <c r="SCU31" t="e">
        <v>#N/A</v>
      </c>
      <c r="SCV31" t="e">
        <v>#N/A</v>
      </c>
      <c r="SCW31" t="e">
        <v>#N/A</v>
      </c>
      <c r="SCX31" t="e">
        <v>#N/A</v>
      </c>
      <c r="SCY31" t="e">
        <v>#N/A</v>
      </c>
      <c r="SCZ31" t="e">
        <v>#N/A</v>
      </c>
      <c r="SDA31" t="e">
        <v>#N/A</v>
      </c>
      <c r="SDB31" t="e">
        <v>#N/A</v>
      </c>
      <c r="SDC31" t="e">
        <v>#N/A</v>
      </c>
      <c r="SDD31" t="e">
        <v>#N/A</v>
      </c>
      <c r="SDE31" t="e">
        <v>#N/A</v>
      </c>
      <c r="SDF31" t="e">
        <v>#N/A</v>
      </c>
      <c r="SDG31" t="e">
        <v>#N/A</v>
      </c>
      <c r="SDH31" t="e">
        <v>#N/A</v>
      </c>
      <c r="SDI31" t="e">
        <v>#N/A</v>
      </c>
      <c r="SDJ31" t="e">
        <v>#N/A</v>
      </c>
      <c r="SDK31" t="e">
        <v>#N/A</v>
      </c>
      <c r="SDL31" t="e">
        <v>#N/A</v>
      </c>
      <c r="SDM31" t="e">
        <v>#N/A</v>
      </c>
      <c r="SDN31" t="e">
        <v>#N/A</v>
      </c>
      <c r="SDO31" t="e">
        <v>#N/A</v>
      </c>
      <c r="SDP31" t="e">
        <v>#N/A</v>
      </c>
      <c r="SDQ31" t="e">
        <v>#N/A</v>
      </c>
      <c r="SDR31" t="e">
        <v>#N/A</v>
      </c>
      <c r="SDS31" t="e">
        <v>#N/A</v>
      </c>
      <c r="SDT31" t="e">
        <v>#N/A</v>
      </c>
      <c r="SDU31" t="e">
        <v>#N/A</v>
      </c>
      <c r="SDV31" t="e">
        <v>#N/A</v>
      </c>
      <c r="SDW31" t="e">
        <v>#N/A</v>
      </c>
      <c r="SDX31" t="e">
        <v>#N/A</v>
      </c>
      <c r="SDY31" t="e">
        <v>#N/A</v>
      </c>
      <c r="SDZ31" t="e">
        <v>#N/A</v>
      </c>
      <c r="SEA31" t="e">
        <v>#N/A</v>
      </c>
      <c r="SEB31" t="e">
        <v>#N/A</v>
      </c>
      <c r="SEC31" t="e">
        <v>#N/A</v>
      </c>
      <c r="SED31" t="e">
        <v>#N/A</v>
      </c>
      <c r="SEE31" t="e">
        <v>#N/A</v>
      </c>
      <c r="SEF31" t="e">
        <v>#N/A</v>
      </c>
      <c r="SEG31" t="e">
        <v>#N/A</v>
      </c>
      <c r="SEH31" t="e">
        <v>#N/A</v>
      </c>
      <c r="SEI31" t="e">
        <v>#N/A</v>
      </c>
      <c r="SEJ31" t="e">
        <v>#N/A</v>
      </c>
      <c r="SEK31" t="e">
        <v>#N/A</v>
      </c>
      <c r="SEL31" t="e">
        <v>#N/A</v>
      </c>
      <c r="SEM31" t="e">
        <v>#N/A</v>
      </c>
      <c r="SEN31" t="e">
        <v>#N/A</v>
      </c>
      <c r="SEO31" t="e">
        <v>#N/A</v>
      </c>
      <c r="SEP31" t="e">
        <v>#N/A</v>
      </c>
      <c r="SEQ31" t="e">
        <v>#N/A</v>
      </c>
      <c r="SER31" t="e">
        <v>#N/A</v>
      </c>
      <c r="SES31" t="e">
        <v>#N/A</v>
      </c>
      <c r="SET31" t="e">
        <v>#N/A</v>
      </c>
      <c r="SEU31" t="e">
        <v>#N/A</v>
      </c>
      <c r="SEV31" t="e">
        <v>#N/A</v>
      </c>
      <c r="SEW31" t="e">
        <v>#N/A</v>
      </c>
      <c r="SEX31" t="e">
        <v>#N/A</v>
      </c>
      <c r="SEY31" t="e">
        <v>#N/A</v>
      </c>
      <c r="SEZ31" t="e">
        <v>#N/A</v>
      </c>
      <c r="SFA31" t="e">
        <v>#N/A</v>
      </c>
      <c r="SFB31" t="e">
        <v>#N/A</v>
      </c>
      <c r="SFC31" t="e">
        <v>#N/A</v>
      </c>
      <c r="SFD31" t="e">
        <v>#N/A</v>
      </c>
      <c r="SFE31" t="e">
        <v>#N/A</v>
      </c>
      <c r="SFF31" t="e">
        <v>#N/A</v>
      </c>
      <c r="SFG31" t="e">
        <v>#N/A</v>
      </c>
      <c r="SFH31" t="e">
        <v>#N/A</v>
      </c>
      <c r="SFI31" t="e">
        <v>#N/A</v>
      </c>
      <c r="SFJ31" t="e">
        <v>#N/A</v>
      </c>
      <c r="SFK31" t="e">
        <v>#N/A</v>
      </c>
      <c r="SFL31" t="e">
        <v>#N/A</v>
      </c>
      <c r="SFM31" t="e">
        <v>#N/A</v>
      </c>
      <c r="SFN31" t="e">
        <v>#N/A</v>
      </c>
      <c r="SFO31" t="e">
        <v>#N/A</v>
      </c>
      <c r="SFP31" t="e">
        <v>#N/A</v>
      </c>
      <c r="SFQ31" t="e">
        <v>#N/A</v>
      </c>
      <c r="SFR31" t="e">
        <v>#N/A</v>
      </c>
      <c r="SFS31" t="e">
        <v>#N/A</v>
      </c>
      <c r="SFT31" t="e">
        <v>#N/A</v>
      </c>
      <c r="SFU31" t="e">
        <v>#N/A</v>
      </c>
      <c r="SFV31" t="e">
        <v>#N/A</v>
      </c>
      <c r="SFW31" t="e">
        <v>#N/A</v>
      </c>
      <c r="SFX31" t="e">
        <v>#N/A</v>
      </c>
      <c r="SFY31" t="e">
        <v>#N/A</v>
      </c>
      <c r="SFZ31" t="e">
        <v>#N/A</v>
      </c>
      <c r="SGA31" t="e">
        <v>#N/A</v>
      </c>
      <c r="SGB31" t="e">
        <v>#N/A</v>
      </c>
      <c r="SGC31" t="e">
        <v>#N/A</v>
      </c>
      <c r="SGD31" t="e">
        <v>#N/A</v>
      </c>
      <c r="SGE31" t="e">
        <v>#N/A</v>
      </c>
      <c r="SGF31" t="e">
        <v>#N/A</v>
      </c>
      <c r="SGG31" t="e">
        <v>#N/A</v>
      </c>
      <c r="SGH31" t="e">
        <v>#N/A</v>
      </c>
      <c r="SGI31" t="e">
        <v>#N/A</v>
      </c>
      <c r="SGJ31" t="e">
        <v>#N/A</v>
      </c>
      <c r="SGK31" t="e">
        <v>#N/A</v>
      </c>
      <c r="SGL31" t="e">
        <v>#N/A</v>
      </c>
      <c r="SGM31" t="e">
        <v>#N/A</v>
      </c>
      <c r="SGN31" t="e">
        <v>#N/A</v>
      </c>
      <c r="SGO31" t="e">
        <v>#N/A</v>
      </c>
      <c r="SGP31" t="e">
        <v>#N/A</v>
      </c>
      <c r="SGQ31" t="e">
        <v>#N/A</v>
      </c>
      <c r="SGR31" t="e">
        <v>#N/A</v>
      </c>
      <c r="SGS31" t="e">
        <v>#N/A</v>
      </c>
      <c r="SGT31" t="e">
        <v>#N/A</v>
      </c>
      <c r="SGU31" t="e">
        <v>#N/A</v>
      </c>
      <c r="SGV31" t="e">
        <v>#N/A</v>
      </c>
      <c r="SGW31" t="e">
        <v>#N/A</v>
      </c>
      <c r="SGX31" t="e">
        <v>#N/A</v>
      </c>
      <c r="SGY31" t="e">
        <v>#N/A</v>
      </c>
      <c r="SGZ31" t="e">
        <v>#N/A</v>
      </c>
      <c r="SHA31" t="e">
        <v>#N/A</v>
      </c>
      <c r="SHB31" t="e">
        <v>#N/A</v>
      </c>
      <c r="SHC31" t="e">
        <v>#N/A</v>
      </c>
      <c r="SHD31" t="e">
        <v>#N/A</v>
      </c>
      <c r="SHE31" t="e">
        <v>#N/A</v>
      </c>
      <c r="SHF31" t="e">
        <v>#N/A</v>
      </c>
      <c r="SHG31" t="e">
        <v>#N/A</v>
      </c>
      <c r="SHH31" t="e">
        <v>#N/A</v>
      </c>
      <c r="SHI31" t="e">
        <v>#N/A</v>
      </c>
      <c r="SHJ31" t="e">
        <v>#N/A</v>
      </c>
      <c r="SHK31" t="e">
        <v>#N/A</v>
      </c>
      <c r="SHL31" t="e">
        <v>#N/A</v>
      </c>
      <c r="SHM31" t="e">
        <v>#N/A</v>
      </c>
      <c r="SHN31" t="e">
        <v>#N/A</v>
      </c>
      <c r="SHO31" t="e">
        <v>#N/A</v>
      </c>
      <c r="SHP31" t="e">
        <v>#N/A</v>
      </c>
      <c r="SHQ31" t="e">
        <v>#N/A</v>
      </c>
      <c r="SHR31" t="e">
        <v>#N/A</v>
      </c>
      <c r="SHS31" t="e">
        <v>#N/A</v>
      </c>
      <c r="SHT31" t="e">
        <v>#N/A</v>
      </c>
      <c r="SHU31" t="e">
        <v>#N/A</v>
      </c>
      <c r="SHV31" t="e">
        <v>#N/A</v>
      </c>
      <c r="SHW31" t="e">
        <v>#N/A</v>
      </c>
      <c r="SHX31" t="e">
        <v>#N/A</v>
      </c>
      <c r="SHY31" t="e">
        <v>#N/A</v>
      </c>
      <c r="SHZ31" t="e">
        <v>#N/A</v>
      </c>
      <c r="SIA31" t="e">
        <v>#N/A</v>
      </c>
      <c r="SIB31" t="e">
        <v>#N/A</v>
      </c>
      <c r="SIC31" t="e">
        <v>#N/A</v>
      </c>
      <c r="SID31" t="e">
        <v>#N/A</v>
      </c>
      <c r="SIE31" t="e">
        <v>#N/A</v>
      </c>
      <c r="SIF31" t="e">
        <v>#N/A</v>
      </c>
      <c r="SIG31" t="e">
        <v>#N/A</v>
      </c>
      <c r="SIH31" t="e">
        <v>#N/A</v>
      </c>
      <c r="SII31" t="e">
        <v>#N/A</v>
      </c>
      <c r="SIJ31" t="e">
        <v>#N/A</v>
      </c>
      <c r="SIK31" t="e">
        <v>#N/A</v>
      </c>
      <c r="SIL31" t="e">
        <v>#N/A</v>
      </c>
      <c r="SIM31" t="e">
        <v>#N/A</v>
      </c>
      <c r="SIN31" t="e">
        <v>#N/A</v>
      </c>
      <c r="SIO31" t="e">
        <v>#N/A</v>
      </c>
      <c r="SIP31" t="e">
        <v>#N/A</v>
      </c>
      <c r="SIQ31" t="e">
        <v>#N/A</v>
      </c>
      <c r="SIR31" t="e">
        <v>#N/A</v>
      </c>
      <c r="SIS31" t="e">
        <v>#N/A</v>
      </c>
      <c r="SIT31" t="e">
        <v>#N/A</v>
      </c>
      <c r="SIU31" t="e">
        <v>#N/A</v>
      </c>
      <c r="SIV31" t="e">
        <v>#N/A</v>
      </c>
      <c r="SIW31" t="e">
        <v>#N/A</v>
      </c>
      <c r="SIX31" t="e">
        <v>#N/A</v>
      </c>
      <c r="SIY31" t="e">
        <v>#N/A</v>
      </c>
      <c r="SIZ31" t="e">
        <v>#N/A</v>
      </c>
      <c r="SJA31" t="e">
        <v>#N/A</v>
      </c>
      <c r="SJB31" t="e">
        <v>#N/A</v>
      </c>
      <c r="SJC31" t="e">
        <v>#N/A</v>
      </c>
      <c r="SJD31" t="e">
        <v>#N/A</v>
      </c>
      <c r="SJE31" t="e">
        <v>#N/A</v>
      </c>
      <c r="SJF31" t="e">
        <v>#N/A</v>
      </c>
      <c r="SJG31" t="e">
        <v>#N/A</v>
      </c>
      <c r="SJH31" t="e">
        <v>#N/A</v>
      </c>
      <c r="SJI31" t="e">
        <v>#N/A</v>
      </c>
      <c r="SJJ31" t="e">
        <v>#N/A</v>
      </c>
      <c r="SJK31" t="e">
        <v>#N/A</v>
      </c>
      <c r="SJL31" t="e">
        <v>#N/A</v>
      </c>
      <c r="SJM31" t="e">
        <v>#N/A</v>
      </c>
      <c r="SJN31" t="e">
        <v>#N/A</v>
      </c>
      <c r="SJO31" t="e">
        <v>#N/A</v>
      </c>
      <c r="SJP31" t="e">
        <v>#N/A</v>
      </c>
      <c r="SJQ31" t="e">
        <v>#N/A</v>
      </c>
      <c r="SJR31" t="e">
        <v>#N/A</v>
      </c>
      <c r="SJS31" t="e">
        <v>#N/A</v>
      </c>
      <c r="SJT31" t="e">
        <v>#N/A</v>
      </c>
      <c r="SJU31" t="e">
        <v>#N/A</v>
      </c>
      <c r="SJV31" t="e">
        <v>#N/A</v>
      </c>
      <c r="SJW31" t="e">
        <v>#N/A</v>
      </c>
      <c r="SJX31" t="e">
        <v>#N/A</v>
      </c>
      <c r="SJY31" t="e">
        <v>#N/A</v>
      </c>
      <c r="SJZ31" t="e">
        <v>#N/A</v>
      </c>
      <c r="SKA31" t="e">
        <v>#N/A</v>
      </c>
      <c r="SKB31" t="e">
        <v>#N/A</v>
      </c>
      <c r="SKC31" t="e">
        <v>#N/A</v>
      </c>
      <c r="SKD31" t="e">
        <v>#N/A</v>
      </c>
      <c r="SKE31" t="e">
        <v>#N/A</v>
      </c>
      <c r="SKF31" t="e">
        <v>#N/A</v>
      </c>
      <c r="SKG31" t="e">
        <v>#N/A</v>
      </c>
      <c r="SKH31" t="e">
        <v>#N/A</v>
      </c>
      <c r="SKI31" t="e">
        <v>#N/A</v>
      </c>
      <c r="SKJ31" t="e">
        <v>#N/A</v>
      </c>
      <c r="SKK31" t="e">
        <v>#N/A</v>
      </c>
      <c r="SKL31" t="e">
        <v>#N/A</v>
      </c>
      <c r="SKM31" t="e">
        <v>#N/A</v>
      </c>
      <c r="SKN31" t="e">
        <v>#N/A</v>
      </c>
      <c r="SKO31" t="e">
        <v>#N/A</v>
      </c>
      <c r="SKP31" t="e">
        <v>#N/A</v>
      </c>
      <c r="SKQ31" t="e">
        <v>#N/A</v>
      </c>
      <c r="SKR31" t="e">
        <v>#N/A</v>
      </c>
      <c r="SKS31" t="e">
        <v>#N/A</v>
      </c>
      <c r="SKT31" t="e">
        <v>#N/A</v>
      </c>
      <c r="SKU31" t="e">
        <v>#N/A</v>
      </c>
      <c r="SKV31" t="e">
        <v>#N/A</v>
      </c>
      <c r="SKW31" t="e">
        <v>#N/A</v>
      </c>
      <c r="SKX31" t="e">
        <v>#N/A</v>
      </c>
      <c r="SKY31" t="e">
        <v>#N/A</v>
      </c>
      <c r="SKZ31" t="e">
        <v>#N/A</v>
      </c>
      <c r="SLA31" t="e">
        <v>#N/A</v>
      </c>
      <c r="SLB31" t="e">
        <v>#N/A</v>
      </c>
      <c r="SLC31" t="e">
        <v>#N/A</v>
      </c>
      <c r="SLD31" t="e">
        <v>#N/A</v>
      </c>
      <c r="SLE31" t="e">
        <v>#N/A</v>
      </c>
      <c r="SLF31" t="e">
        <v>#N/A</v>
      </c>
      <c r="SLG31" t="e">
        <v>#N/A</v>
      </c>
      <c r="SLH31" t="e">
        <v>#N/A</v>
      </c>
      <c r="SLI31" t="e">
        <v>#N/A</v>
      </c>
      <c r="SLJ31" t="e">
        <v>#N/A</v>
      </c>
      <c r="SLK31" t="e">
        <v>#N/A</v>
      </c>
      <c r="SLL31" t="e">
        <v>#N/A</v>
      </c>
      <c r="SLM31" t="e">
        <v>#N/A</v>
      </c>
      <c r="SLN31" t="e">
        <v>#N/A</v>
      </c>
      <c r="SLO31" t="e">
        <v>#N/A</v>
      </c>
      <c r="SLP31" t="e">
        <v>#N/A</v>
      </c>
      <c r="SLQ31" t="e">
        <v>#N/A</v>
      </c>
      <c r="SLR31" t="e">
        <v>#N/A</v>
      </c>
      <c r="SLS31" t="e">
        <v>#N/A</v>
      </c>
      <c r="SLT31" t="e">
        <v>#N/A</v>
      </c>
      <c r="SLU31" t="e">
        <v>#N/A</v>
      </c>
      <c r="SLV31" t="e">
        <v>#N/A</v>
      </c>
      <c r="SLW31" t="e">
        <v>#N/A</v>
      </c>
      <c r="SLX31" t="e">
        <v>#N/A</v>
      </c>
      <c r="SLY31" t="e">
        <v>#N/A</v>
      </c>
      <c r="SLZ31" t="e">
        <v>#N/A</v>
      </c>
      <c r="SMA31" t="e">
        <v>#N/A</v>
      </c>
      <c r="SMB31" t="e">
        <v>#N/A</v>
      </c>
      <c r="SMC31" t="e">
        <v>#N/A</v>
      </c>
      <c r="SMD31" t="e">
        <v>#N/A</v>
      </c>
      <c r="SME31" t="e">
        <v>#N/A</v>
      </c>
      <c r="SMF31" t="e">
        <v>#N/A</v>
      </c>
      <c r="SMG31" t="e">
        <v>#N/A</v>
      </c>
      <c r="SMH31" t="e">
        <v>#N/A</v>
      </c>
      <c r="SMI31" t="e">
        <v>#N/A</v>
      </c>
      <c r="SMJ31" t="e">
        <v>#N/A</v>
      </c>
      <c r="SMK31" t="e">
        <v>#N/A</v>
      </c>
      <c r="SML31" t="e">
        <v>#N/A</v>
      </c>
      <c r="SMM31" t="e">
        <v>#N/A</v>
      </c>
      <c r="SMN31" t="e">
        <v>#N/A</v>
      </c>
      <c r="SMO31" t="e">
        <v>#N/A</v>
      </c>
      <c r="SMP31" t="e">
        <v>#N/A</v>
      </c>
      <c r="SMQ31" t="e">
        <v>#N/A</v>
      </c>
      <c r="SMR31" t="e">
        <v>#N/A</v>
      </c>
      <c r="SMS31" t="e">
        <v>#N/A</v>
      </c>
      <c r="SMT31" t="e">
        <v>#N/A</v>
      </c>
      <c r="SMU31" t="e">
        <v>#N/A</v>
      </c>
      <c r="SMV31" t="e">
        <v>#N/A</v>
      </c>
      <c r="SMW31" t="e">
        <v>#N/A</v>
      </c>
      <c r="SMX31" t="e">
        <v>#N/A</v>
      </c>
      <c r="SMY31" t="e">
        <v>#N/A</v>
      </c>
      <c r="SMZ31" t="e">
        <v>#N/A</v>
      </c>
      <c r="SNA31" t="e">
        <v>#N/A</v>
      </c>
      <c r="SNB31" t="e">
        <v>#N/A</v>
      </c>
      <c r="SNC31" t="e">
        <v>#N/A</v>
      </c>
      <c r="SND31" t="e">
        <v>#N/A</v>
      </c>
      <c r="SNE31" t="e">
        <v>#N/A</v>
      </c>
      <c r="SNF31" t="e">
        <v>#N/A</v>
      </c>
      <c r="SNG31" t="e">
        <v>#N/A</v>
      </c>
      <c r="SNH31" t="e">
        <v>#N/A</v>
      </c>
      <c r="SNI31" t="e">
        <v>#N/A</v>
      </c>
      <c r="SNJ31" t="e">
        <v>#N/A</v>
      </c>
      <c r="SNK31" t="e">
        <v>#N/A</v>
      </c>
      <c r="SNL31" t="e">
        <v>#N/A</v>
      </c>
      <c r="SNM31" t="e">
        <v>#N/A</v>
      </c>
      <c r="SNN31" t="e">
        <v>#N/A</v>
      </c>
      <c r="SNO31" t="e">
        <v>#N/A</v>
      </c>
      <c r="SNP31" t="e">
        <v>#N/A</v>
      </c>
      <c r="SNQ31" t="e">
        <v>#N/A</v>
      </c>
      <c r="SNR31" t="e">
        <v>#N/A</v>
      </c>
      <c r="SNS31" t="e">
        <v>#N/A</v>
      </c>
      <c r="SNT31" t="e">
        <v>#N/A</v>
      </c>
      <c r="SNU31" t="e">
        <v>#N/A</v>
      </c>
      <c r="SNV31" t="e">
        <v>#N/A</v>
      </c>
      <c r="SNW31" t="e">
        <v>#N/A</v>
      </c>
      <c r="SNX31" t="e">
        <v>#N/A</v>
      </c>
      <c r="SNY31" t="e">
        <v>#N/A</v>
      </c>
      <c r="SNZ31" t="e">
        <v>#N/A</v>
      </c>
      <c r="SOA31" t="e">
        <v>#N/A</v>
      </c>
      <c r="SOB31" t="e">
        <v>#N/A</v>
      </c>
      <c r="SOC31" t="e">
        <v>#N/A</v>
      </c>
      <c r="SOD31" t="e">
        <v>#N/A</v>
      </c>
      <c r="SOE31" t="e">
        <v>#N/A</v>
      </c>
      <c r="SOF31" t="e">
        <v>#N/A</v>
      </c>
      <c r="SOG31" t="e">
        <v>#N/A</v>
      </c>
      <c r="SOH31" t="e">
        <v>#N/A</v>
      </c>
      <c r="SOI31" t="e">
        <v>#N/A</v>
      </c>
      <c r="SOJ31" t="e">
        <v>#N/A</v>
      </c>
      <c r="SOK31" t="e">
        <v>#N/A</v>
      </c>
      <c r="SOL31" t="e">
        <v>#N/A</v>
      </c>
      <c r="SOM31" t="e">
        <v>#N/A</v>
      </c>
      <c r="SON31" t="e">
        <v>#N/A</v>
      </c>
      <c r="SOO31" t="e">
        <v>#N/A</v>
      </c>
      <c r="SOP31" t="e">
        <v>#N/A</v>
      </c>
      <c r="SOQ31" t="e">
        <v>#N/A</v>
      </c>
      <c r="SOR31" t="e">
        <v>#N/A</v>
      </c>
      <c r="SOS31" t="e">
        <v>#N/A</v>
      </c>
      <c r="SOT31" t="e">
        <v>#N/A</v>
      </c>
      <c r="SOU31" t="e">
        <v>#N/A</v>
      </c>
      <c r="SOV31" t="e">
        <v>#N/A</v>
      </c>
      <c r="SOW31" t="e">
        <v>#N/A</v>
      </c>
      <c r="SOX31" t="e">
        <v>#N/A</v>
      </c>
      <c r="SOY31" t="e">
        <v>#N/A</v>
      </c>
      <c r="SOZ31" t="e">
        <v>#N/A</v>
      </c>
      <c r="SPA31" t="e">
        <v>#N/A</v>
      </c>
      <c r="SPB31" t="e">
        <v>#N/A</v>
      </c>
      <c r="SPC31" t="e">
        <v>#N/A</v>
      </c>
      <c r="SPD31" t="e">
        <v>#N/A</v>
      </c>
      <c r="SPE31" t="e">
        <v>#N/A</v>
      </c>
      <c r="SPF31" t="e">
        <v>#N/A</v>
      </c>
      <c r="SPG31" t="e">
        <v>#N/A</v>
      </c>
      <c r="SPH31" t="e">
        <v>#N/A</v>
      </c>
      <c r="SPI31" t="e">
        <v>#N/A</v>
      </c>
      <c r="SPJ31" t="e">
        <v>#N/A</v>
      </c>
      <c r="SPK31" t="e">
        <v>#N/A</v>
      </c>
      <c r="SPL31" t="e">
        <v>#N/A</v>
      </c>
      <c r="SPM31" t="e">
        <v>#N/A</v>
      </c>
      <c r="SPN31" t="e">
        <v>#N/A</v>
      </c>
      <c r="SPO31" t="e">
        <v>#N/A</v>
      </c>
      <c r="SPP31" t="e">
        <v>#N/A</v>
      </c>
      <c r="SPQ31" t="e">
        <v>#N/A</v>
      </c>
      <c r="SPR31" t="e">
        <v>#N/A</v>
      </c>
      <c r="SPS31" t="e">
        <v>#N/A</v>
      </c>
      <c r="SPT31" t="e">
        <v>#N/A</v>
      </c>
      <c r="SPU31" t="e">
        <v>#N/A</v>
      </c>
      <c r="SPV31" t="e">
        <v>#N/A</v>
      </c>
      <c r="SPW31" t="e">
        <v>#N/A</v>
      </c>
      <c r="SPX31" t="e">
        <v>#N/A</v>
      </c>
      <c r="SPY31" t="e">
        <v>#N/A</v>
      </c>
      <c r="SPZ31" t="e">
        <v>#N/A</v>
      </c>
      <c r="SQA31" t="e">
        <v>#N/A</v>
      </c>
      <c r="SQB31" t="e">
        <v>#N/A</v>
      </c>
      <c r="SQC31" t="e">
        <v>#N/A</v>
      </c>
      <c r="SQD31" t="e">
        <v>#N/A</v>
      </c>
      <c r="SQE31" t="e">
        <v>#N/A</v>
      </c>
      <c r="SQF31" t="e">
        <v>#N/A</v>
      </c>
      <c r="SQG31" t="e">
        <v>#N/A</v>
      </c>
      <c r="SQH31" t="e">
        <v>#N/A</v>
      </c>
      <c r="SQI31" t="e">
        <v>#N/A</v>
      </c>
      <c r="SQJ31" t="e">
        <v>#N/A</v>
      </c>
      <c r="SQK31" t="e">
        <v>#N/A</v>
      </c>
      <c r="SQL31" t="e">
        <v>#N/A</v>
      </c>
      <c r="SQM31" t="e">
        <v>#N/A</v>
      </c>
      <c r="SQN31" t="e">
        <v>#N/A</v>
      </c>
      <c r="SQO31" t="e">
        <v>#N/A</v>
      </c>
      <c r="SQP31" t="e">
        <v>#N/A</v>
      </c>
      <c r="SQQ31" t="e">
        <v>#N/A</v>
      </c>
      <c r="SQR31" t="e">
        <v>#N/A</v>
      </c>
      <c r="SQS31" t="e">
        <v>#N/A</v>
      </c>
      <c r="SQT31" t="e">
        <v>#N/A</v>
      </c>
      <c r="SQU31" t="e">
        <v>#N/A</v>
      </c>
      <c r="SQV31" t="e">
        <v>#N/A</v>
      </c>
      <c r="SQW31" t="e">
        <v>#N/A</v>
      </c>
      <c r="SQX31" t="e">
        <v>#N/A</v>
      </c>
      <c r="SQY31" t="e">
        <v>#N/A</v>
      </c>
      <c r="SQZ31" t="e">
        <v>#N/A</v>
      </c>
      <c r="SRA31" t="e">
        <v>#N/A</v>
      </c>
      <c r="SRB31" t="e">
        <v>#N/A</v>
      </c>
      <c r="SRC31" t="e">
        <v>#N/A</v>
      </c>
      <c r="SRD31" t="e">
        <v>#N/A</v>
      </c>
      <c r="SRE31" t="e">
        <v>#N/A</v>
      </c>
      <c r="SRF31" t="e">
        <v>#N/A</v>
      </c>
      <c r="SRG31" t="e">
        <v>#N/A</v>
      </c>
      <c r="SRH31" t="e">
        <v>#N/A</v>
      </c>
      <c r="SRI31" t="e">
        <v>#N/A</v>
      </c>
      <c r="SRJ31" t="e">
        <v>#N/A</v>
      </c>
      <c r="SRK31" t="e">
        <v>#N/A</v>
      </c>
      <c r="SRL31" t="e">
        <v>#N/A</v>
      </c>
      <c r="SRM31" t="e">
        <v>#N/A</v>
      </c>
      <c r="SRN31" t="e">
        <v>#N/A</v>
      </c>
      <c r="SRO31" t="e">
        <v>#N/A</v>
      </c>
      <c r="SRP31" t="e">
        <v>#N/A</v>
      </c>
      <c r="SRQ31" t="e">
        <v>#N/A</v>
      </c>
      <c r="SRR31" t="e">
        <v>#N/A</v>
      </c>
      <c r="SRS31" t="e">
        <v>#N/A</v>
      </c>
      <c r="SRT31" t="e">
        <v>#N/A</v>
      </c>
      <c r="SRU31" t="e">
        <v>#N/A</v>
      </c>
      <c r="SRV31" t="e">
        <v>#N/A</v>
      </c>
      <c r="SRW31" t="e">
        <v>#N/A</v>
      </c>
      <c r="SRX31" t="e">
        <v>#N/A</v>
      </c>
      <c r="SRY31" t="e">
        <v>#N/A</v>
      </c>
      <c r="SRZ31" t="e">
        <v>#N/A</v>
      </c>
      <c r="SSA31" t="e">
        <v>#N/A</v>
      </c>
      <c r="SSB31" t="e">
        <v>#N/A</v>
      </c>
      <c r="SSC31" t="e">
        <v>#N/A</v>
      </c>
      <c r="SSD31" t="e">
        <v>#N/A</v>
      </c>
      <c r="SSE31" t="e">
        <v>#N/A</v>
      </c>
      <c r="SSF31" t="e">
        <v>#N/A</v>
      </c>
      <c r="SSG31" t="e">
        <v>#N/A</v>
      </c>
      <c r="SSH31" t="e">
        <v>#N/A</v>
      </c>
      <c r="SSI31" t="e">
        <v>#N/A</v>
      </c>
      <c r="SSJ31" t="e">
        <v>#N/A</v>
      </c>
      <c r="SSK31" t="e">
        <v>#N/A</v>
      </c>
      <c r="SSL31" t="e">
        <v>#N/A</v>
      </c>
      <c r="SSM31" t="e">
        <v>#N/A</v>
      </c>
      <c r="SSN31" t="e">
        <v>#N/A</v>
      </c>
      <c r="SSO31" t="e">
        <v>#N/A</v>
      </c>
      <c r="SSP31" t="e">
        <v>#N/A</v>
      </c>
      <c r="SSQ31" t="e">
        <v>#N/A</v>
      </c>
      <c r="SSR31" t="e">
        <v>#N/A</v>
      </c>
      <c r="SSS31" t="e">
        <v>#N/A</v>
      </c>
      <c r="SST31" t="e">
        <v>#N/A</v>
      </c>
      <c r="SSU31" t="e">
        <v>#N/A</v>
      </c>
      <c r="SSV31" t="e">
        <v>#N/A</v>
      </c>
      <c r="SSW31" t="e">
        <v>#N/A</v>
      </c>
      <c r="SSX31" t="e">
        <v>#N/A</v>
      </c>
      <c r="SSY31" t="e">
        <v>#N/A</v>
      </c>
      <c r="SSZ31" t="e">
        <v>#N/A</v>
      </c>
      <c r="STA31" t="e">
        <v>#N/A</v>
      </c>
      <c r="STB31" t="e">
        <v>#N/A</v>
      </c>
      <c r="STC31" t="e">
        <v>#N/A</v>
      </c>
      <c r="STD31" t="e">
        <v>#N/A</v>
      </c>
      <c r="STE31" t="e">
        <v>#N/A</v>
      </c>
      <c r="STF31" t="e">
        <v>#N/A</v>
      </c>
      <c r="STG31" t="e">
        <v>#N/A</v>
      </c>
      <c r="STH31" t="e">
        <v>#N/A</v>
      </c>
      <c r="STI31" t="e">
        <v>#N/A</v>
      </c>
      <c r="STJ31" t="e">
        <v>#N/A</v>
      </c>
      <c r="STK31" t="e">
        <v>#N/A</v>
      </c>
      <c r="STL31" t="e">
        <v>#N/A</v>
      </c>
      <c r="STM31" t="e">
        <v>#N/A</v>
      </c>
      <c r="STN31" t="e">
        <v>#N/A</v>
      </c>
      <c r="STO31" t="e">
        <v>#N/A</v>
      </c>
      <c r="STP31" t="e">
        <v>#N/A</v>
      </c>
      <c r="STQ31" t="e">
        <v>#N/A</v>
      </c>
      <c r="STR31" t="e">
        <v>#N/A</v>
      </c>
      <c r="STS31" t="e">
        <v>#N/A</v>
      </c>
      <c r="STT31" t="e">
        <v>#N/A</v>
      </c>
      <c r="STU31" t="e">
        <v>#N/A</v>
      </c>
      <c r="STV31" t="e">
        <v>#N/A</v>
      </c>
      <c r="STW31" t="e">
        <v>#N/A</v>
      </c>
      <c r="STX31" t="e">
        <v>#N/A</v>
      </c>
      <c r="STY31" t="e">
        <v>#N/A</v>
      </c>
      <c r="STZ31" t="e">
        <v>#N/A</v>
      </c>
      <c r="SUA31" t="e">
        <v>#N/A</v>
      </c>
      <c r="SUB31" t="e">
        <v>#N/A</v>
      </c>
      <c r="SUC31" t="e">
        <v>#N/A</v>
      </c>
      <c r="SUD31" t="e">
        <v>#N/A</v>
      </c>
      <c r="SUE31" t="e">
        <v>#N/A</v>
      </c>
      <c r="SUF31" t="e">
        <v>#N/A</v>
      </c>
      <c r="SUG31" t="e">
        <v>#N/A</v>
      </c>
      <c r="SUH31" t="e">
        <v>#N/A</v>
      </c>
      <c r="SUI31" t="e">
        <v>#N/A</v>
      </c>
      <c r="SUJ31" t="e">
        <v>#N/A</v>
      </c>
      <c r="SUK31" t="e">
        <v>#N/A</v>
      </c>
      <c r="SUL31" t="e">
        <v>#N/A</v>
      </c>
      <c r="SUM31" t="e">
        <v>#N/A</v>
      </c>
      <c r="SUN31" t="e">
        <v>#N/A</v>
      </c>
      <c r="SUO31" t="e">
        <v>#N/A</v>
      </c>
      <c r="SUP31" t="e">
        <v>#N/A</v>
      </c>
      <c r="SUQ31" t="e">
        <v>#N/A</v>
      </c>
      <c r="SUR31" t="e">
        <v>#N/A</v>
      </c>
      <c r="SUS31" t="e">
        <v>#N/A</v>
      </c>
      <c r="SUT31" t="e">
        <v>#N/A</v>
      </c>
      <c r="SUU31" t="e">
        <v>#N/A</v>
      </c>
      <c r="SUV31" t="e">
        <v>#N/A</v>
      </c>
      <c r="SUW31" t="e">
        <v>#N/A</v>
      </c>
      <c r="SUX31" t="e">
        <v>#N/A</v>
      </c>
      <c r="SUY31" t="e">
        <v>#N/A</v>
      </c>
      <c r="SUZ31" t="e">
        <v>#N/A</v>
      </c>
      <c r="SVA31" t="e">
        <v>#N/A</v>
      </c>
      <c r="SVB31" t="e">
        <v>#N/A</v>
      </c>
      <c r="SVC31" t="e">
        <v>#N/A</v>
      </c>
      <c r="SVD31" t="e">
        <v>#N/A</v>
      </c>
      <c r="SVE31" t="e">
        <v>#N/A</v>
      </c>
      <c r="SVF31" t="e">
        <v>#N/A</v>
      </c>
      <c r="SVG31" t="e">
        <v>#N/A</v>
      </c>
      <c r="SVH31" t="e">
        <v>#N/A</v>
      </c>
      <c r="SVI31" t="e">
        <v>#N/A</v>
      </c>
      <c r="SVJ31" t="e">
        <v>#N/A</v>
      </c>
      <c r="SVK31" t="e">
        <v>#N/A</v>
      </c>
      <c r="SVL31" t="e">
        <v>#N/A</v>
      </c>
      <c r="SVM31" t="e">
        <v>#N/A</v>
      </c>
      <c r="SVN31" t="e">
        <v>#N/A</v>
      </c>
      <c r="SVO31" t="e">
        <v>#N/A</v>
      </c>
      <c r="SVP31" t="e">
        <v>#N/A</v>
      </c>
      <c r="SVQ31" t="e">
        <v>#N/A</v>
      </c>
      <c r="SVR31" t="e">
        <v>#N/A</v>
      </c>
      <c r="SVS31" t="e">
        <v>#N/A</v>
      </c>
      <c r="SVT31" t="e">
        <v>#N/A</v>
      </c>
      <c r="SVU31" t="e">
        <v>#N/A</v>
      </c>
      <c r="SVV31" t="e">
        <v>#N/A</v>
      </c>
      <c r="SVW31" t="e">
        <v>#N/A</v>
      </c>
      <c r="SVX31" t="e">
        <v>#N/A</v>
      </c>
      <c r="SVY31" t="e">
        <v>#N/A</v>
      </c>
      <c r="SVZ31" t="e">
        <v>#N/A</v>
      </c>
      <c r="SWA31" t="e">
        <v>#N/A</v>
      </c>
      <c r="SWB31" t="e">
        <v>#N/A</v>
      </c>
      <c r="SWC31" t="e">
        <v>#N/A</v>
      </c>
      <c r="SWD31" t="e">
        <v>#N/A</v>
      </c>
      <c r="SWE31" t="e">
        <v>#N/A</v>
      </c>
      <c r="SWF31" t="e">
        <v>#N/A</v>
      </c>
      <c r="SWG31" t="e">
        <v>#N/A</v>
      </c>
      <c r="SWH31" t="e">
        <v>#N/A</v>
      </c>
      <c r="SWI31" t="e">
        <v>#N/A</v>
      </c>
      <c r="SWJ31" t="e">
        <v>#N/A</v>
      </c>
      <c r="SWK31" t="e">
        <v>#N/A</v>
      </c>
      <c r="SWL31" t="e">
        <v>#N/A</v>
      </c>
      <c r="SWM31" t="e">
        <v>#N/A</v>
      </c>
      <c r="SWN31" t="e">
        <v>#N/A</v>
      </c>
      <c r="SWO31" t="e">
        <v>#N/A</v>
      </c>
      <c r="SWP31" t="e">
        <v>#N/A</v>
      </c>
      <c r="SWQ31" t="e">
        <v>#N/A</v>
      </c>
      <c r="SWR31" t="e">
        <v>#N/A</v>
      </c>
      <c r="SWS31" t="e">
        <v>#N/A</v>
      </c>
      <c r="SWT31" t="e">
        <v>#N/A</v>
      </c>
      <c r="SWU31" t="e">
        <v>#N/A</v>
      </c>
      <c r="SWV31" t="e">
        <v>#N/A</v>
      </c>
      <c r="SWW31" t="e">
        <v>#N/A</v>
      </c>
      <c r="SWX31" t="e">
        <v>#N/A</v>
      </c>
      <c r="SWY31" t="e">
        <v>#N/A</v>
      </c>
      <c r="SWZ31" t="e">
        <v>#N/A</v>
      </c>
      <c r="SXA31" t="e">
        <v>#N/A</v>
      </c>
      <c r="SXB31" t="e">
        <v>#N/A</v>
      </c>
      <c r="SXC31" t="e">
        <v>#N/A</v>
      </c>
      <c r="SXD31" t="e">
        <v>#N/A</v>
      </c>
      <c r="SXE31" t="e">
        <v>#N/A</v>
      </c>
      <c r="SXF31" t="e">
        <v>#N/A</v>
      </c>
      <c r="SXG31" t="e">
        <v>#N/A</v>
      </c>
      <c r="SXH31" t="e">
        <v>#N/A</v>
      </c>
      <c r="SXI31" t="e">
        <v>#N/A</v>
      </c>
      <c r="SXJ31" t="e">
        <v>#N/A</v>
      </c>
      <c r="SXK31" t="e">
        <v>#N/A</v>
      </c>
      <c r="SXL31" t="e">
        <v>#N/A</v>
      </c>
      <c r="SXM31" t="e">
        <v>#N/A</v>
      </c>
      <c r="SXN31" t="e">
        <v>#N/A</v>
      </c>
      <c r="SXO31" t="e">
        <v>#N/A</v>
      </c>
      <c r="SXP31" t="e">
        <v>#N/A</v>
      </c>
      <c r="SXQ31" t="e">
        <v>#N/A</v>
      </c>
      <c r="SXR31" t="e">
        <v>#N/A</v>
      </c>
      <c r="SXS31" t="e">
        <v>#N/A</v>
      </c>
      <c r="SXT31" t="e">
        <v>#N/A</v>
      </c>
      <c r="SXU31" t="e">
        <v>#N/A</v>
      </c>
      <c r="SXV31" t="e">
        <v>#N/A</v>
      </c>
      <c r="SXW31" t="e">
        <v>#N/A</v>
      </c>
      <c r="SXX31" t="e">
        <v>#N/A</v>
      </c>
      <c r="SXY31" t="e">
        <v>#N/A</v>
      </c>
      <c r="SXZ31" t="e">
        <v>#N/A</v>
      </c>
      <c r="SYA31" t="e">
        <v>#N/A</v>
      </c>
      <c r="SYB31" t="e">
        <v>#N/A</v>
      </c>
      <c r="SYC31" t="e">
        <v>#N/A</v>
      </c>
      <c r="SYD31" t="e">
        <v>#N/A</v>
      </c>
      <c r="SYE31" t="e">
        <v>#N/A</v>
      </c>
      <c r="SYF31" t="e">
        <v>#N/A</v>
      </c>
      <c r="SYG31" t="e">
        <v>#N/A</v>
      </c>
      <c r="SYH31" t="e">
        <v>#N/A</v>
      </c>
      <c r="SYI31" t="e">
        <v>#N/A</v>
      </c>
      <c r="SYJ31" t="e">
        <v>#N/A</v>
      </c>
      <c r="SYK31" t="e">
        <v>#N/A</v>
      </c>
      <c r="SYL31" t="e">
        <v>#N/A</v>
      </c>
      <c r="SYM31" t="e">
        <v>#N/A</v>
      </c>
      <c r="SYN31" t="e">
        <v>#N/A</v>
      </c>
      <c r="SYO31" t="e">
        <v>#N/A</v>
      </c>
      <c r="SYP31" t="e">
        <v>#N/A</v>
      </c>
      <c r="SYQ31" t="e">
        <v>#N/A</v>
      </c>
      <c r="SYR31" t="e">
        <v>#N/A</v>
      </c>
      <c r="SYS31" t="e">
        <v>#N/A</v>
      </c>
      <c r="SYT31" t="e">
        <v>#N/A</v>
      </c>
      <c r="SYU31" t="e">
        <v>#N/A</v>
      </c>
      <c r="SYV31" t="e">
        <v>#N/A</v>
      </c>
      <c r="SYW31" t="e">
        <v>#N/A</v>
      </c>
      <c r="SYX31" t="e">
        <v>#N/A</v>
      </c>
      <c r="SYY31" t="e">
        <v>#N/A</v>
      </c>
      <c r="SYZ31" t="e">
        <v>#N/A</v>
      </c>
      <c r="SZA31" t="e">
        <v>#N/A</v>
      </c>
      <c r="SZB31" t="e">
        <v>#N/A</v>
      </c>
      <c r="SZC31" t="e">
        <v>#N/A</v>
      </c>
      <c r="SZD31" t="e">
        <v>#N/A</v>
      </c>
      <c r="SZE31" t="e">
        <v>#N/A</v>
      </c>
      <c r="SZF31" t="e">
        <v>#N/A</v>
      </c>
      <c r="SZG31" t="e">
        <v>#N/A</v>
      </c>
      <c r="SZH31" t="e">
        <v>#N/A</v>
      </c>
      <c r="SZI31" t="e">
        <v>#N/A</v>
      </c>
      <c r="SZJ31" t="e">
        <v>#N/A</v>
      </c>
      <c r="SZK31" t="e">
        <v>#N/A</v>
      </c>
      <c r="SZL31" t="e">
        <v>#N/A</v>
      </c>
      <c r="SZM31" t="e">
        <v>#N/A</v>
      </c>
      <c r="SZN31" t="e">
        <v>#N/A</v>
      </c>
      <c r="SZO31" t="e">
        <v>#N/A</v>
      </c>
      <c r="SZP31" t="e">
        <v>#N/A</v>
      </c>
      <c r="SZQ31" t="e">
        <v>#N/A</v>
      </c>
      <c r="SZR31" t="e">
        <v>#N/A</v>
      </c>
      <c r="SZS31" t="e">
        <v>#N/A</v>
      </c>
      <c r="SZT31" t="e">
        <v>#N/A</v>
      </c>
      <c r="SZU31" t="e">
        <v>#N/A</v>
      </c>
      <c r="SZV31" t="e">
        <v>#N/A</v>
      </c>
      <c r="SZW31" t="e">
        <v>#N/A</v>
      </c>
      <c r="SZX31" t="e">
        <v>#N/A</v>
      </c>
      <c r="SZY31" t="e">
        <v>#N/A</v>
      </c>
      <c r="SZZ31" t="e">
        <v>#N/A</v>
      </c>
      <c r="TAA31" t="e">
        <v>#N/A</v>
      </c>
      <c r="TAB31" t="e">
        <v>#N/A</v>
      </c>
      <c r="TAC31" t="e">
        <v>#N/A</v>
      </c>
      <c r="TAD31" t="e">
        <v>#N/A</v>
      </c>
      <c r="TAE31" t="e">
        <v>#N/A</v>
      </c>
      <c r="TAF31" t="e">
        <v>#N/A</v>
      </c>
      <c r="TAG31" t="e">
        <v>#N/A</v>
      </c>
      <c r="TAH31" t="e">
        <v>#N/A</v>
      </c>
      <c r="TAI31" t="e">
        <v>#N/A</v>
      </c>
      <c r="TAJ31" t="e">
        <v>#N/A</v>
      </c>
      <c r="TAK31" t="e">
        <v>#N/A</v>
      </c>
      <c r="TAL31" t="e">
        <v>#N/A</v>
      </c>
      <c r="TAM31" t="e">
        <v>#N/A</v>
      </c>
      <c r="TAN31" t="e">
        <v>#N/A</v>
      </c>
      <c r="TAO31" t="e">
        <v>#N/A</v>
      </c>
      <c r="TAP31" t="e">
        <v>#N/A</v>
      </c>
      <c r="TAQ31" t="e">
        <v>#N/A</v>
      </c>
      <c r="TAR31" t="e">
        <v>#N/A</v>
      </c>
      <c r="TAS31" t="e">
        <v>#N/A</v>
      </c>
      <c r="TAT31" t="e">
        <v>#N/A</v>
      </c>
      <c r="TAU31" t="e">
        <v>#N/A</v>
      </c>
      <c r="TAV31" t="e">
        <v>#N/A</v>
      </c>
      <c r="TAW31" t="e">
        <v>#N/A</v>
      </c>
      <c r="TAX31" t="e">
        <v>#N/A</v>
      </c>
      <c r="TAY31" t="e">
        <v>#N/A</v>
      </c>
      <c r="TAZ31" t="e">
        <v>#N/A</v>
      </c>
      <c r="TBA31" t="e">
        <v>#N/A</v>
      </c>
      <c r="TBB31" t="e">
        <v>#N/A</v>
      </c>
      <c r="TBC31" t="e">
        <v>#N/A</v>
      </c>
      <c r="TBD31" t="e">
        <v>#N/A</v>
      </c>
      <c r="TBE31" t="e">
        <v>#N/A</v>
      </c>
      <c r="TBF31" t="e">
        <v>#N/A</v>
      </c>
      <c r="TBG31" t="e">
        <v>#N/A</v>
      </c>
      <c r="TBH31" t="e">
        <v>#N/A</v>
      </c>
      <c r="TBI31" t="e">
        <v>#N/A</v>
      </c>
      <c r="TBJ31" t="e">
        <v>#N/A</v>
      </c>
      <c r="TBK31" t="e">
        <v>#N/A</v>
      </c>
      <c r="TBL31" t="e">
        <v>#N/A</v>
      </c>
      <c r="TBM31" t="e">
        <v>#N/A</v>
      </c>
      <c r="TBN31" t="e">
        <v>#N/A</v>
      </c>
      <c r="TBO31" t="e">
        <v>#N/A</v>
      </c>
      <c r="TBP31" t="e">
        <v>#N/A</v>
      </c>
      <c r="TBQ31" t="e">
        <v>#N/A</v>
      </c>
      <c r="TBR31" t="e">
        <v>#N/A</v>
      </c>
      <c r="TBS31" t="e">
        <v>#N/A</v>
      </c>
      <c r="TBT31" t="e">
        <v>#N/A</v>
      </c>
      <c r="TBU31" t="e">
        <v>#N/A</v>
      </c>
      <c r="TBV31" t="e">
        <v>#N/A</v>
      </c>
      <c r="TBW31" t="e">
        <v>#N/A</v>
      </c>
      <c r="TBX31" t="e">
        <v>#N/A</v>
      </c>
      <c r="TBY31" t="e">
        <v>#N/A</v>
      </c>
      <c r="TBZ31" t="e">
        <v>#N/A</v>
      </c>
      <c r="TCA31" t="e">
        <v>#N/A</v>
      </c>
      <c r="TCB31" t="e">
        <v>#N/A</v>
      </c>
      <c r="TCC31" t="e">
        <v>#N/A</v>
      </c>
      <c r="TCD31" t="e">
        <v>#N/A</v>
      </c>
      <c r="TCE31" t="e">
        <v>#N/A</v>
      </c>
      <c r="TCF31" t="e">
        <v>#N/A</v>
      </c>
      <c r="TCG31" t="e">
        <v>#N/A</v>
      </c>
      <c r="TCH31" t="e">
        <v>#N/A</v>
      </c>
      <c r="TCI31" t="e">
        <v>#N/A</v>
      </c>
      <c r="TCJ31" t="e">
        <v>#N/A</v>
      </c>
      <c r="TCK31" t="e">
        <v>#N/A</v>
      </c>
      <c r="TCL31" t="e">
        <v>#N/A</v>
      </c>
      <c r="TCM31" t="e">
        <v>#N/A</v>
      </c>
      <c r="TCN31" t="e">
        <v>#N/A</v>
      </c>
      <c r="TCO31" t="e">
        <v>#N/A</v>
      </c>
      <c r="TCP31" t="e">
        <v>#N/A</v>
      </c>
      <c r="TCQ31" t="e">
        <v>#N/A</v>
      </c>
      <c r="TCR31" t="e">
        <v>#N/A</v>
      </c>
      <c r="TCS31" t="e">
        <v>#N/A</v>
      </c>
      <c r="TCT31" t="e">
        <v>#N/A</v>
      </c>
      <c r="TCU31" t="e">
        <v>#N/A</v>
      </c>
      <c r="TCV31" t="e">
        <v>#N/A</v>
      </c>
      <c r="TCW31" t="e">
        <v>#N/A</v>
      </c>
      <c r="TCX31" t="e">
        <v>#N/A</v>
      </c>
      <c r="TCY31" t="e">
        <v>#N/A</v>
      </c>
      <c r="TCZ31" t="e">
        <v>#N/A</v>
      </c>
      <c r="TDA31" t="e">
        <v>#N/A</v>
      </c>
      <c r="TDB31" t="e">
        <v>#N/A</v>
      </c>
      <c r="TDC31" t="e">
        <v>#N/A</v>
      </c>
      <c r="TDD31" t="e">
        <v>#N/A</v>
      </c>
      <c r="TDE31" t="e">
        <v>#N/A</v>
      </c>
      <c r="TDF31" t="e">
        <v>#N/A</v>
      </c>
      <c r="TDG31" t="e">
        <v>#N/A</v>
      </c>
      <c r="TDH31" t="e">
        <v>#N/A</v>
      </c>
      <c r="TDI31" t="e">
        <v>#N/A</v>
      </c>
      <c r="TDJ31" t="e">
        <v>#N/A</v>
      </c>
      <c r="TDK31" t="e">
        <v>#N/A</v>
      </c>
      <c r="TDL31" t="e">
        <v>#N/A</v>
      </c>
      <c r="TDM31" t="e">
        <v>#N/A</v>
      </c>
      <c r="TDN31" t="e">
        <v>#N/A</v>
      </c>
      <c r="TDO31" t="e">
        <v>#N/A</v>
      </c>
      <c r="TDP31" t="e">
        <v>#N/A</v>
      </c>
      <c r="TDQ31" t="e">
        <v>#N/A</v>
      </c>
      <c r="TDR31" t="e">
        <v>#N/A</v>
      </c>
      <c r="TDS31" t="e">
        <v>#N/A</v>
      </c>
      <c r="TDT31" t="e">
        <v>#N/A</v>
      </c>
      <c r="TDU31" t="e">
        <v>#N/A</v>
      </c>
      <c r="TDV31" t="e">
        <v>#N/A</v>
      </c>
      <c r="TDW31" t="e">
        <v>#N/A</v>
      </c>
      <c r="TDX31" t="e">
        <v>#N/A</v>
      </c>
      <c r="TDY31" t="e">
        <v>#N/A</v>
      </c>
      <c r="TDZ31" t="e">
        <v>#N/A</v>
      </c>
      <c r="TEA31" t="e">
        <v>#N/A</v>
      </c>
      <c r="TEB31" t="e">
        <v>#N/A</v>
      </c>
      <c r="TEC31" t="e">
        <v>#N/A</v>
      </c>
      <c r="TED31" t="e">
        <v>#N/A</v>
      </c>
      <c r="TEE31" t="e">
        <v>#N/A</v>
      </c>
      <c r="TEF31" t="e">
        <v>#N/A</v>
      </c>
      <c r="TEG31" t="e">
        <v>#N/A</v>
      </c>
      <c r="TEH31" t="e">
        <v>#N/A</v>
      </c>
      <c r="TEI31" t="e">
        <v>#N/A</v>
      </c>
      <c r="TEJ31" t="e">
        <v>#N/A</v>
      </c>
      <c r="TEK31" t="e">
        <v>#N/A</v>
      </c>
      <c r="TEL31" t="e">
        <v>#N/A</v>
      </c>
      <c r="TEM31" t="e">
        <v>#N/A</v>
      </c>
      <c r="TEN31" t="e">
        <v>#N/A</v>
      </c>
      <c r="TEO31" t="e">
        <v>#N/A</v>
      </c>
      <c r="TEP31" t="e">
        <v>#N/A</v>
      </c>
      <c r="TEQ31" t="e">
        <v>#N/A</v>
      </c>
      <c r="TER31" t="e">
        <v>#N/A</v>
      </c>
      <c r="TES31" t="e">
        <v>#N/A</v>
      </c>
      <c r="TET31" t="e">
        <v>#N/A</v>
      </c>
      <c r="TEU31" t="e">
        <v>#N/A</v>
      </c>
      <c r="TEV31" t="e">
        <v>#N/A</v>
      </c>
      <c r="TEW31" t="e">
        <v>#N/A</v>
      </c>
      <c r="TEX31" t="e">
        <v>#N/A</v>
      </c>
      <c r="TEY31" t="e">
        <v>#N/A</v>
      </c>
      <c r="TEZ31" t="e">
        <v>#N/A</v>
      </c>
      <c r="TFA31" t="e">
        <v>#N/A</v>
      </c>
      <c r="TFB31" t="e">
        <v>#N/A</v>
      </c>
      <c r="TFC31" t="e">
        <v>#N/A</v>
      </c>
      <c r="TFD31" t="e">
        <v>#N/A</v>
      </c>
      <c r="TFE31" t="e">
        <v>#N/A</v>
      </c>
      <c r="TFF31" t="e">
        <v>#N/A</v>
      </c>
      <c r="TFG31" t="e">
        <v>#N/A</v>
      </c>
      <c r="TFH31" t="e">
        <v>#N/A</v>
      </c>
      <c r="TFI31" t="e">
        <v>#N/A</v>
      </c>
      <c r="TFJ31" t="e">
        <v>#N/A</v>
      </c>
      <c r="TFK31" t="e">
        <v>#N/A</v>
      </c>
      <c r="TFL31" t="e">
        <v>#N/A</v>
      </c>
      <c r="TFM31" t="e">
        <v>#N/A</v>
      </c>
      <c r="TFN31" t="e">
        <v>#N/A</v>
      </c>
      <c r="TFO31" t="e">
        <v>#N/A</v>
      </c>
      <c r="TFP31" t="e">
        <v>#N/A</v>
      </c>
      <c r="TFQ31" t="e">
        <v>#N/A</v>
      </c>
      <c r="TFR31" t="e">
        <v>#N/A</v>
      </c>
      <c r="TFS31" t="e">
        <v>#N/A</v>
      </c>
      <c r="TFT31" t="e">
        <v>#N/A</v>
      </c>
      <c r="TFU31" t="e">
        <v>#N/A</v>
      </c>
      <c r="TFV31" t="e">
        <v>#N/A</v>
      </c>
      <c r="TFW31" t="e">
        <v>#N/A</v>
      </c>
      <c r="TFX31" t="e">
        <v>#N/A</v>
      </c>
      <c r="TFY31" t="e">
        <v>#N/A</v>
      </c>
      <c r="TFZ31" t="e">
        <v>#N/A</v>
      </c>
      <c r="TGA31" t="e">
        <v>#N/A</v>
      </c>
      <c r="TGB31" t="e">
        <v>#N/A</v>
      </c>
      <c r="TGC31" t="e">
        <v>#N/A</v>
      </c>
      <c r="TGD31" t="e">
        <v>#N/A</v>
      </c>
      <c r="TGE31" t="e">
        <v>#N/A</v>
      </c>
      <c r="TGF31" t="e">
        <v>#N/A</v>
      </c>
      <c r="TGG31" t="e">
        <v>#N/A</v>
      </c>
      <c r="TGH31" t="e">
        <v>#N/A</v>
      </c>
      <c r="TGI31" t="e">
        <v>#N/A</v>
      </c>
      <c r="TGJ31" t="e">
        <v>#N/A</v>
      </c>
      <c r="TGK31" t="e">
        <v>#N/A</v>
      </c>
      <c r="TGL31" t="e">
        <v>#N/A</v>
      </c>
      <c r="TGM31" t="e">
        <v>#N/A</v>
      </c>
      <c r="TGN31" t="e">
        <v>#N/A</v>
      </c>
      <c r="TGO31" t="e">
        <v>#N/A</v>
      </c>
      <c r="TGP31" t="e">
        <v>#N/A</v>
      </c>
      <c r="TGQ31" t="e">
        <v>#N/A</v>
      </c>
      <c r="TGR31" t="e">
        <v>#N/A</v>
      </c>
      <c r="TGS31" t="e">
        <v>#N/A</v>
      </c>
      <c r="TGT31" t="e">
        <v>#N/A</v>
      </c>
      <c r="TGU31" t="e">
        <v>#N/A</v>
      </c>
      <c r="TGV31" t="e">
        <v>#N/A</v>
      </c>
      <c r="TGW31" t="e">
        <v>#N/A</v>
      </c>
      <c r="TGX31" t="e">
        <v>#N/A</v>
      </c>
      <c r="TGY31" t="e">
        <v>#N/A</v>
      </c>
      <c r="TGZ31" t="e">
        <v>#N/A</v>
      </c>
      <c r="THA31" t="e">
        <v>#N/A</v>
      </c>
      <c r="THB31" t="e">
        <v>#N/A</v>
      </c>
      <c r="THC31" t="e">
        <v>#N/A</v>
      </c>
      <c r="THD31" t="e">
        <v>#N/A</v>
      </c>
      <c r="THE31" t="e">
        <v>#N/A</v>
      </c>
      <c r="THF31" t="e">
        <v>#N/A</v>
      </c>
      <c r="THG31" t="e">
        <v>#N/A</v>
      </c>
      <c r="THH31" t="e">
        <v>#N/A</v>
      </c>
      <c r="THI31" t="e">
        <v>#N/A</v>
      </c>
      <c r="THJ31" t="e">
        <v>#N/A</v>
      </c>
      <c r="THK31" t="e">
        <v>#N/A</v>
      </c>
      <c r="THL31" t="e">
        <v>#N/A</v>
      </c>
      <c r="THM31" t="e">
        <v>#N/A</v>
      </c>
      <c r="THN31" t="e">
        <v>#N/A</v>
      </c>
      <c r="THO31" t="e">
        <v>#N/A</v>
      </c>
      <c r="THP31" t="e">
        <v>#N/A</v>
      </c>
      <c r="THQ31" t="e">
        <v>#N/A</v>
      </c>
      <c r="THR31" t="e">
        <v>#N/A</v>
      </c>
      <c r="THS31" t="e">
        <v>#N/A</v>
      </c>
      <c r="THT31" t="e">
        <v>#N/A</v>
      </c>
      <c r="THU31" t="e">
        <v>#N/A</v>
      </c>
      <c r="THV31" t="e">
        <v>#N/A</v>
      </c>
      <c r="THW31" t="e">
        <v>#N/A</v>
      </c>
      <c r="THX31" t="e">
        <v>#N/A</v>
      </c>
      <c r="THY31" t="e">
        <v>#N/A</v>
      </c>
      <c r="THZ31" t="e">
        <v>#N/A</v>
      </c>
      <c r="TIA31" t="e">
        <v>#N/A</v>
      </c>
      <c r="TIB31" t="e">
        <v>#N/A</v>
      </c>
      <c r="TIC31" t="e">
        <v>#N/A</v>
      </c>
      <c r="TID31" t="e">
        <v>#N/A</v>
      </c>
      <c r="TIE31" t="e">
        <v>#N/A</v>
      </c>
      <c r="TIF31" t="e">
        <v>#N/A</v>
      </c>
      <c r="TIG31" t="e">
        <v>#N/A</v>
      </c>
      <c r="TIH31" t="e">
        <v>#N/A</v>
      </c>
      <c r="TII31" t="e">
        <v>#N/A</v>
      </c>
      <c r="TIJ31" t="e">
        <v>#N/A</v>
      </c>
      <c r="TIK31" t="e">
        <v>#N/A</v>
      </c>
      <c r="TIL31" t="e">
        <v>#N/A</v>
      </c>
      <c r="TIM31" t="e">
        <v>#N/A</v>
      </c>
      <c r="TIN31" t="e">
        <v>#N/A</v>
      </c>
      <c r="TIO31" t="e">
        <v>#N/A</v>
      </c>
      <c r="TIP31" t="e">
        <v>#N/A</v>
      </c>
      <c r="TIQ31" t="e">
        <v>#N/A</v>
      </c>
      <c r="TIR31" t="e">
        <v>#N/A</v>
      </c>
      <c r="TIS31" t="e">
        <v>#N/A</v>
      </c>
      <c r="TIT31" t="e">
        <v>#N/A</v>
      </c>
      <c r="TIU31" t="e">
        <v>#N/A</v>
      </c>
      <c r="TIV31" t="e">
        <v>#N/A</v>
      </c>
      <c r="TIW31" t="e">
        <v>#N/A</v>
      </c>
      <c r="TIX31" t="e">
        <v>#N/A</v>
      </c>
      <c r="TIY31" t="e">
        <v>#N/A</v>
      </c>
      <c r="TIZ31" t="e">
        <v>#N/A</v>
      </c>
      <c r="TJA31" t="e">
        <v>#N/A</v>
      </c>
      <c r="TJB31" t="e">
        <v>#N/A</v>
      </c>
      <c r="TJC31" t="e">
        <v>#N/A</v>
      </c>
      <c r="TJD31" t="e">
        <v>#N/A</v>
      </c>
      <c r="TJE31" t="e">
        <v>#N/A</v>
      </c>
      <c r="TJF31" t="e">
        <v>#N/A</v>
      </c>
      <c r="TJG31" t="e">
        <v>#N/A</v>
      </c>
      <c r="TJH31" t="e">
        <v>#N/A</v>
      </c>
      <c r="TJI31" t="e">
        <v>#N/A</v>
      </c>
      <c r="TJJ31" t="e">
        <v>#N/A</v>
      </c>
      <c r="TJK31" t="e">
        <v>#N/A</v>
      </c>
      <c r="TJL31" t="e">
        <v>#N/A</v>
      </c>
      <c r="TJM31" t="e">
        <v>#N/A</v>
      </c>
      <c r="TJN31" t="e">
        <v>#N/A</v>
      </c>
      <c r="TJO31" t="e">
        <v>#N/A</v>
      </c>
      <c r="TJP31" t="e">
        <v>#N/A</v>
      </c>
      <c r="TJQ31" t="e">
        <v>#N/A</v>
      </c>
      <c r="TJR31" t="e">
        <v>#N/A</v>
      </c>
      <c r="TJS31" t="e">
        <v>#N/A</v>
      </c>
      <c r="TJT31" t="e">
        <v>#N/A</v>
      </c>
      <c r="TJU31" t="e">
        <v>#N/A</v>
      </c>
      <c r="TJV31" t="e">
        <v>#N/A</v>
      </c>
      <c r="TJW31" t="e">
        <v>#N/A</v>
      </c>
      <c r="TJX31" t="e">
        <v>#N/A</v>
      </c>
      <c r="TJY31" t="e">
        <v>#N/A</v>
      </c>
      <c r="TJZ31" t="e">
        <v>#N/A</v>
      </c>
      <c r="TKA31" t="e">
        <v>#N/A</v>
      </c>
      <c r="TKB31" t="e">
        <v>#N/A</v>
      </c>
      <c r="TKC31" t="e">
        <v>#N/A</v>
      </c>
      <c r="TKD31" t="e">
        <v>#N/A</v>
      </c>
      <c r="TKE31" t="e">
        <v>#N/A</v>
      </c>
      <c r="TKF31" t="e">
        <v>#N/A</v>
      </c>
      <c r="TKG31" t="e">
        <v>#N/A</v>
      </c>
      <c r="TKH31" t="e">
        <v>#N/A</v>
      </c>
      <c r="TKI31" t="e">
        <v>#N/A</v>
      </c>
      <c r="TKJ31" t="e">
        <v>#N/A</v>
      </c>
      <c r="TKK31" t="e">
        <v>#N/A</v>
      </c>
      <c r="TKL31" t="e">
        <v>#N/A</v>
      </c>
      <c r="TKM31" t="e">
        <v>#N/A</v>
      </c>
      <c r="TKN31" t="e">
        <v>#N/A</v>
      </c>
      <c r="TKO31" t="e">
        <v>#N/A</v>
      </c>
      <c r="TKP31" t="e">
        <v>#N/A</v>
      </c>
      <c r="TKQ31" t="e">
        <v>#N/A</v>
      </c>
      <c r="TKR31" t="e">
        <v>#N/A</v>
      </c>
      <c r="TKS31" t="e">
        <v>#N/A</v>
      </c>
      <c r="TKT31" t="e">
        <v>#N/A</v>
      </c>
      <c r="TKU31" t="e">
        <v>#N/A</v>
      </c>
      <c r="TKV31" t="e">
        <v>#N/A</v>
      </c>
      <c r="TKW31" t="e">
        <v>#N/A</v>
      </c>
      <c r="TKX31" t="e">
        <v>#N/A</v>
      </c>
      <c r="TKY31" t="e">
        <v>#N/A</v>
      </c>
      <c r="TKZ31" t="e">
        <v>#N/A</v>
      </c>
      <c r="TLA31" t="e">
        <v>#N/A</v>
      </c>
      <c r="TLB31" t="e">
        <v>#N/A</v>
      </c>
      <c r="TLC31" t="e">
        <v>#N/A</v>
      </c>
      <c r="TLD31" t="e">
        <v>#N/A</v>
      </c>
      <c r="TLE31" t="e">
        <v>#N/A</v>
      </c>
      <c r="TLF31" t="e">
        <v>#N/A</v>
      </c>
      <c r="TLG31" t="e">
        <v>#N/A</v>
      </c>
      <c r="TLH31" t="e">
        <v>#N/A</v>
      </c>
      <c r="TLI31" t="e">
        <v>#N/A</v>
      </c>
      <c r="TLJ31" t="e">
        <v>#N/A</v>
      </c>
      <c r="TLK31" t="e">
        <v>#N/A</v>
      </c>
      <c r="TLL31" t="e">
        <v>#N/A</v>
      </c>
      <c r="TLM31" t="e">
        <v>#N/A</v>
      </c>
      <c r="TLN31" t="e">
        <v>#N/A</v>
      </c>
      <c r="TLO31" t="e">
        <v>#N/A</v>
      </c>
      <c r="TLP31" t="e">
        <v>#N/A</v>
      </c>
      <c r="TLQ31" t="e">
        <v>#N/A</v>
      </c>
      <c r="TLR31" t="e">
        <v>#N/A</v>
      </c>
      <c r="TLS31" t="e">
        <v>#N/A</v>
      </c>
      <c r="TLT31" t="e">
        <v>#N/A</v>
      </c>
      <c r="TLU31" t="e">
        <v>#N/A</v>
      </c>
      <c r="TLV31" t="e">
        <v>#N/A</v>
      </c>
      <c r="TLW31" t="e">
        <v>#N/A</v>
      </c>
      <c r="TLX31" t="e">
        <v>#N/A</v>
      </c>
      <c r="TLY31" t="e">
        <v>#N/A</v>
      </c>
      <c r="TLZ31" t="e">
        <v>#N/A</v>
      </c>
      <c r="TMA31" t="e">
        <v>#N/A</v>
      </c>
      <c r="TMB31" t="e">
        <v>#N/A</v>
      </c>
      <c r="TMC31" t="e">
        <v>#N/A</v>
      </c>
      <c r="TMD31" t="e">
        <v>#N/A</v>
      </c>
      <c r="TME31" t="e">
        <v>#N/A</v>
      </c>
      <c r="TMF31" t="e">
        <v>#N/A</v>
      </c>
      <c r="TMG31" t="e">
        <v>#N/A</v>
      </c>
      <c r="TMH31" t="e">
        <v>#N/A</v>
      </c>
      <c r="TMI31" t="e">
        <v>#N/A</v>
      </c>
      <c r="TMJ31" t="e">
        <v>#N/A</v>
      </c>
      <c r="TMK31" t="e">
        <v>#N/A</v>
      </c>
      <c r="TML31" t="e">
        <v>#N/A</v>
      </c>
      <c r="TMM31" t="e">
        <v>#N/A</v>
      </c>
      <c r="TMN31" t="e">
        <v>#N/A</v>
      </c>
      <c r="TMO31" t="e">
        <v>#N/A</v>
      </c>
      <c r="TMP31" t="e">
        <v>#N/A</v>
      </c>
      <c r="TMQ31" t="e">
        <v>#N/A</v>
      </c>
      <c r="TMR31" t="e">
        <v>#N/A</v>
      </c>
      <c r="TMS31" t="e">
        <v>#N/A</v>
      </c>
      <c r="TMT31" t="e">
        <v>#N/A</v>
      </c>
      <c r="TMU31" t="e">
        <v>#N/A</v>
      </c>
      <c r="TMV31" t="e">
        <v>#N/A</v>
      </c>
      <c r="TMW31" t="e">
        <v>#N/A</v>
      </c>
      <c r="TMX31" t="e">
        <v>#N/A</v>
      </c>
      <c r="TMY31" t="e">
        <v>#N/A</v>
      </c>
      <c r="TMZ31" t="e">
        <v>#N/A</v>
      </c>
      <c r="TNA31" t="e">
        <v>#N/A</v>
      </c>
      <c r="TNB31" t="e">
        <v>#N/A</v>
      </c>
      <c r="TNC31" t="e">
        <v>#N/A</v>
      </c>
      <c r="TND31" t="e">
        <v>#N/A</v>
      </c>
      <c r="TNE31" t="e">
        <v>#N/A</v>
      </c>
      <c r="TNF31" t="e">
        <v>#N/A</v>
      </c>
      <c r="TNG31" t="e">
        <v>#N/A</v>
      </c>
      <c r="TNH31" t="e">
        <v>#N/A</v>
      </c>
      <c r="TNI31" t="e">
        <v>#N/A</v>
      </c>
      <c r="TNJ31" t="e">
        <v>#N/A</v>
      </c>
      <c r="TNK31" t="e">
        <v>#N/A</v>
      </c>
      <c r="TNL31" t="e">
        <v>#N/A</v>
      </c>
      <c r="TNM31" t="e">
        <v>#N/A</v>
      </c>
      <c r="TNN31" t="e">
        <v>#N/A</v>
      </c>
      <c r="TNO31" t="e">
        <v>#N/A</v>
      </c>
      <c r="TNP31" t="e">
        <v>#N/A</v>
      </c>
      <c r="TNQ31" t="e">
        <v>#N/A</v>
      </c>
      <c r="TNR31" t="e">
        <v>#N/A</v>
      </c>
      <c r="TNS31" t="e">
        <v>#N/A</v>
      </c>
      <c r="TNT31" t="e">
        <v>#N/A</v>
      </c>
      <c r="TNU31" t="e">
        <v>#N/A</v>
      </c>
      <c r="TNV31" t="e">
        <v>#N/A</v>
      </c>
      <c r="TNW31" t="e">
        <v>#N/A</v>
      </c>
      <c r="TNX31" t="e">
        <v>#N/A</v>
      </c>
      <c r="TNY31" t="e">
        <v>#N/A</v>
      </c>
      <c r="TNZ31" t="e">
        <v>#N/A</v>
      </c>
      <c r="TOA31" t="e">
        <v>#N/A</v>
      </c>
      <c r="TOB31" t="e">
        <v>#N/A</v>
      </c>
      <c r="TOC31" t="e">
        <v>#N/A</v>
      </c>
      <c r="TOD31" t="e">
        <v>#N/A</v>
      </c>
      <c r="TOE31" t="e">
        <v>#N/A</v>
      </c>
      <c r="TOF31" t="e">
        <v>#N/A</v>
      </c>
      <c r="TOG31" t="e">
        <v>#N/A</v>
      </c>
      <c r="TOH31" t="e">
        <v>#N/A</v>
      </c>
      <c r="TOI31" t="e">
        <v>#N/A</v>
      </c>
      <c r="TOJ31" t="e">
        <v>#N/A</v>
      </c>
      <c r="TOK31" t="e">
        <v>#N/A</v>
      </c>
      <c r="TOL31" t="e">
        <v>#N/A</v>
      </c>
      <c r="TOM31" t="e">
        <v>#N/A</v>
      </c>
      <c r="TON31" t="e">
        <v>#N/A</v>
      </c>
      <c r="TOO31" t="e">
        <v>#N/A</v>
      </c>
      <c r="TOP31" t="e">
        <v>#N/A</v>
      </c>
      <c r="TOQ31" t="e">
        <v>#N/A</v>
      </c>
      <c r="TOR31" t="e">
        <v>#N/A</v>
      </c>
      <c r="TOS31" t="e">
        <v>#N/A</v>
      </c>
      <c r="TOT31" t="e">
        <v>#N/A</v>
      </c>
      <c r="TOU31" t="e">
        <v>#N/A</v>
      </c>
      <c r="TOV31" t="e">
        <v>#N/A</v>
      </c>
      <c r="TOW31" t="e">
        <v>#N/A</v>
      </c>
      <c r="TOX31" t="e">
        <v>#N/A</v>
      </c>
      <c r="TOY31" t="e">
        <v>#N/A</v>
      </c>
      <c r="TOZ31" t="e">
        <v>#N/A</v>
      </c>
      <c r="TPA31" t="e">
        <v>#N/A</v>
      </c>
      <c r="TPB31" t="e">
        <v>#N/A</v>
      </c>
      <c r="TPC31" t="e">
        <v>#N/A</v>
      </c>
      <c r="TPD31" t="e">
        <v>#N/A</v>
      </c>
      <c r="TPE31" t="e">
        <v>#N/A</v>
      </c>
      <c r="TPF31" t="e">
        <v>#N/A</v>
      </c>
      <c r="TPG31" t="e">
        <v>#N/A</v>
      </c>
      <c r="TPH31" t="e">
        <v>#N/A</v>
      </c>
      <c r="TPI31" t="e">
        <v>#N/A</v>
      </c>
      <c r="TPJ31" t="e">
        <v>#N/A</v>
      </c>
      <c r="TPK31" t="e">
        <v>#N/A</v>
      </c>
      <c r="TPL31" t="e">
        <v>#N/A</v>
      </c>
      <c r="TPM31" t="e">
        <v>#N/A</v>
      </c>
      <c r="TPN31" t="e">
        <v>#N/A</v>
      </c>
      <c r="TPO31" t="e">
        <v>#N/A</v>
      </c>
      <c r="TPP31" t="e">
        <v>#N/A</v>
      </c>
      <c r="TPQ31" t="e">
        <v>#N/A</v>
      </c>
      <c r="TPR31" t="e">
        <v>#N/A</v>
      </c>
      <c r="TPS31" t="e">
        <v>#N/A</v>
      </c>
      <c r="TPT31" t="e">
        <v>#N/A</v>
      </c>
      <c r="TPU31" t="e">
        <v>#N/A</v>
      </c>
      <c r="TPV31" t="e">
        <v>#N/A</v>
      </c>
      <c r="TPW31" t="e">
        <v>#N/A</v>
      </c>
      <c r="TPX31" t="e">
        <v>#N/A</v>
      </c>
      <c r="TPY31" t="e">
        <v>#N/A</v>
      </c>
      <c r="TPZ31" t="e">
        <v>#N/A</v>
      </c>
      <c r="TQA31" t="e">
        <v>#N/A</v>
      </c>
      <c r="TQB31" t="e">
        <v>#N/A</v>
      </c>
      <c r="TQC31" t="e">
        <v>#N/A</v>
      </c>
      <c r="TQD31" t="e">
        <v>#N/A</v>
      </c>
      <c r="TQE31" t="e">
        <v>#N/A</v>
      </c>
      <c r="TQF31" t="e">
        <v>#N/A</v>
      </c>
      <c r="TQG31" t="e">
        <v>#N/A</v>
      </c>
      <c r="TQH31" t="e">
        <v>#N/A</v>
      </c>
      <c r="TQI31" t="e">
        <v>#N/A</v>
      </c>
      <c r="TQJ31" t="e">
        <v>#N/A</v>
      </c>
      <c r="TQK31" t="e">
        <v>#N/A</v>
      </c>
      <c r="TQL31" t="e">
        <v>#N/A</v>
      </c>
      <c r="TQM31" t="e">
        <v>#N/A</v>
      </c>
      <c r="TQN31" t="e">
        <v>#N/A</v>
      </c>
      <c r="TQO31" t="e">
        <v>#N/A</v>
      </c>
      <c r="TQP31" t="e">
        <v>#N/A</v>
      </c>
      <c r="TQQ31" t="e">
        <v>#N/A</v>
      </c>
      <c r="TQR31" t="e">
        <v>#N/A</v>
      </c>
      <c r="TQS31" t="e">
        <v>#N/A</v>
      </c>
      <c r="TQT31" t="e">
        <v>#N/A</v>
      </c>
      <c r="TQU31" t="e">
        <v>#N/A</v>
      </c>
      <c r="TQV31" t="e">
        <v>#N/A</v>
      </c>
      <c r="TQW31" t="e">
        <v>#N/A</v>
      </c>
      <c r="TQX31" t="e">
        <v>#N/A</v>
      </c>
      <c r="TQY31" t="e">
        <v>#N/A</v>
      </c>
      <c r="TQZ31" t="e">
        <v>#N/A</v>
      </c>
      <c r="TRA31" t="e">
        <v>#N/A</v>
      </c>
      <c r="TRB31" t="e">
        <v>#N/A</v>
      </c>
      <c r="TRC31" t="e">
        <v>#N/A</v>
      </c>
      <c r="TRD31" t="e">
        <v>#N/A</v>
      </c>
      <c r="TRE31" t="e">
        <v>#N/A</v>
      </c>
      <c r="TRF31" t="e">
        <v>#N/A</v>
      </c>
      <c r="TRG31" t="e">
        <v>#N/A</v>
      </c>
      <c r="TRH31" t="e">
        <v>#N/A</v>
      </c>
      <c r="TRI31" t="e">
        <v>#N/A</v>
      </c>
      <c r="TRJ31" t="e">
        <v>#N/A</v>
      </c>
      <c r="TRK31" t="e">
        <v>#N/A</v>
      </c>
      <c r="TRL31" t="e">
        <v>#N/A</v>
      </c>
      <c r="TRM31" t="e">
        <v>#N/A</v>
      </c>
      <c r="TRN31" t="e">
        <v>#N/A</v>
      </c>
      <c r="TRO31" t="e">
        <v>#N/A</v>
      </c>
      <c r="TRP31" t="e">
        <v>#N/A</v>
      </c>
      <c r="TRQ31" t="e">
        <v>#N/A</v>
      </c>
      <c r="TRR31" t="e">
        <v>#N/A</v>
      </c>
      <c r="TRS31" t="e">
        <v>#N/A</v>
      </c>
      <c r="TRT31" t="e">
        <v>#N/A</v>
      </c>
      <c r="TRU31" t="e">
        <v>#N/A</v>
      </c>
      <c r="TRV31" t="e">
        <v>#N/A</v>
      </c>
      <c r="TRW31" t="e">
        <v>#N/A</v>
      </c>
      <c r="TRX31" t="e">
        <v>#N/A</v>
      </c>
      <c r="TRY31" t="e">
        <v>#N/A</v>
      </c>
      <c r="TRZ31" t="e">
        <v>#N/A</v>
      </c>
      <c r="TSA31" t="e">
        <v>#N/A</v>
      </c>
      <c r="TSB31" t="e">
        <v>#N/A</v>
      </c>
      <c r="TSC31" t="e">
        <v>#N/A</v>
      </c>
      <c r="TSD31" t="e">
        <v>#N/A</v>
      </c>
      <c r="TSE31" t="e">
        <v>#N/A</v>
      </c>
      <c r="TSF31" t="e">
        <v>#N/A</v>
      </c>
      <c r="TSG31" t="e">
        <v>#N/A</v>
      </c>
      <c r="TSH31" t="e">
        <v>#N/A</v>
      </c>
      <c r="TSI31" t="e">
        <v>#N/A</v>
      </c>
      <c r="TSJ31" t="e">
        <v>#N/A</v>
      </c>
      <c r="TSK31" t="e">
        <v>#N/A</v>
      </c>
      <c r="TSL31" t="e">
        <v>#N/A</v>
      </c>
      <c r="TSM31" t="e">
        <v>#N/A</v>
      </c>
      <c r="TSN31" t="e">
        <v>#N/A</v>
      </c>
      <c r="TSO31" t="e">
        <v>#N/A</v>
      </c>
      <c r="TSP31" t="e">
        <v>#N/A</v>
      </c>
      <c r="TSQ31" t="e">
        <v>#N/A</v>
      </c>
      <c r="TSR31" t="e">
        <v>#N/A</v>
      </c>
      <c r="TSS31" t="e">
        <v>#N/A</v>
      </c>
      <c r="TST31" t="e">
        <v>#N/A</v>
      </c>
      <c r="TSU31" t="e">
        <v>#N/A</v>
      </c>
      <c r="TSV31" t="e">
        <v>#N/A</v>
      </c>
      <c r="TSW31" t="e">
        <v>#N/A</v>
      </c>
      <c r="TSX31" t="e">
        <v>#N/A</v>
      </c>
      <c r="TSY31" t="e">
        <v>#N/A</v>
      </c>
      <c r="TSZ31" t="e">
        <v>#N/A</v>
      </c>
      <c r="TTA31" t="e">
        <v>#N/A</v>
      </c>
      <c r="TTB31" t="e">
        <v>#N/A</v>
      </c>
      <c r="TTC31" t="e">
        <v>#N/A</v>
      </c>
      <c r="TTD31" t="e">
        <v>#N/A</v>
      </c>
      <c r="TTE31" t="e">
        <v>#N/A</v>
      </c>
      <c r="TTF31" t="e">
        <v>#N/A</v>
      </c>
      <c r="TTG31" t="e">
        <v>#N/A</v>
      </c>
      <c r="TTH31" t="e">
        <v>#N/A</v>
      </c>
      <c r="TTI31" t="e">
        <v>#N/A</v>
      </c>
      <c r="TTJ31" t="e">
        <v>#N/A</v>
      </c>
      <c r="TTK31" t="e">
        <v>#N/A</v>
      </c>
      <c r="TTL31" t="e">
        <v>#N/A</v>
      </c>
      <c r="TTM31" t="e">
        <v>#N/A</v>
      </c>
      <c r="TTN31" t="e">
        <v>#N/A</v>
      </c>
      <c r="TTO31" t="e">
        <v>#N/A</v>
      </c>
      <c r="TTP31" t="e">
        <v>#N/A</v>
      </c>
      <c r="TTQ31" t="e">
        <v>#N/A</v>
      </c>
      <c r="TTR31" t="e">
        <v>#N/A</v>
      </c>
      <c r="TTS31" t="e">
        <v>#N/A</v>
      </c>
      <c r="TTT31" t="e">
        <v>#N/A</v>
      </c>
      <c r="TTU31" t="e">
        <v>#N/A</v>
      </c>
      <c r="TTV31" t="e">
        <v>#N/A</v>
      </c>
      <c r="TTW31" t="e">
        <v>#N/A</v>
      </c>
      <c r="TTX31" t="e">
        <v>#N/A</v>
      </c>
      <c r="TTY31" t="e">
        <v>#N/A</v>
      </c>
      <c r="TTZ31" t="e">
        <v>#N/A</v>
      </c>
      <c r="TUA31" t="e">
        <v>#N/A</v>
      </c>
      <c r="TUB31" t="e">
        <v>#N/A</v>
      </c>
      <c r="TUC31" t="e">
        <v>#N/A</v>
      </c>
      <c r="TUD31" t="e">
        <v>#N/A</v>
      </c>
      <c r="TUE31" t="e">
        <v>#N/A</v>
      </c>
      <c r="TUF31" t="e">
        <v>#N/A</v>
      </c>
      <c r="TUG31" t="e">
        <v>#N/A</v>
      </c>
      <c r="TUH31" t="e">
        <v>#N/A</v>
      </c>
      <c r="TUI31" t="e">
        <v>#N/A</v>
      </c>
      <c r="TUJ31" t="e">
        <v>#N/A</v>
      </c>
      <c r="TUK31" t="e">
        <v>#N/A</v>
      </c>
      <c r="TUL31" t="e">
        <v>#N/A</v>
      </c>
      <c r="TUM31" t="e">
        <v>#N/A</v>
      </c>
      <c r="TUN31" t="e">
        <v>#N/A</v>
      </c>
      <c r="TUO31" t="e">
        <v>#N/A</v>
      </c>
      <c r="TUP31" t="e">
        <v>#N/A</v>
      </c>
      <c r="TUQ31" t="e">
        <v>#N/A</v>
      </c>
      <c r="TUR31" t="e">
        <v>#N/A</v>
      </c>
      <c r="TUS31" t="e">
        <v>#N/A</v>
      </c>
      <c r="TUT31" t="e">
        <v>#N/A</v>
      </c>
      <c r="TUU31" t="e">
        <v>#N/A</v>
      </c>
      <c r="TUV31" t="e">
        <v>#N/A</v>
      </c>
      <c r="TUW31" t="e">
        <v>#N/A</v>
      </c>
      <c r="TUX31" t="e">
        <v>#N/A</v>
      </c>
      <c r="TUY31" t="e">
        <v>#N/A</v>
      </c>
      <c r="TUZ31" t="e">
        <v>#N/A</v>
      </c>
      <c r="TVA31" t="e">
        <v>#N/A</v>
      </c>
      <c r="TVB31" t="e">
        <v>#N/A</v>
      </c>
      <c r="TVC31" t="e">
        <v>#N/A</v>
      </c>
      <c r="TVD31" t="e">
        <v>#N/A</v>
      </c>
      <c r="TVE31" t="e">
        <v>#N/A</v>
      </c>
      <c r="TVF31" t="e">
        <v>#N/A</v>
      </c>
      <c r="TVG31" t="e">
        <v>#N/A</v>
      </c>
      <c r="TVH31" t="e">
        <v>#N/A</v>
      </c>
      <c r="TVI31" t="e">
        <v>#N/A</v>
      </c>
      <c r="TVJ31" t="e">
        <v>#N/A</v>
      </c>
      <c r="TVK31" t="e">
        <v>#N/A</v>
      </c>
      <c r="TVL31" t="e">
        <v>#N/A</v>
      </c>
      <c r="TVM31" t="e">
        <v>#N/A</v>
      </c>
      <c r="TVN31" t="e">
        <v>#N/A</v>
      </c>
      <c r="TVO31" t="e">
        <v>#N/A</v>
      </c>
      <c r="TVP31" t="e">
        <v>#N/A</v>
      </c>
      <c r="TVQ31" t="e">
        <v>#N/A</v>
      </c>
      <c r="TVR31" t="e">
        <v>#N/A</v>
      </c>
      <c r="TVS31" t="e">
        <v>#N/A</v>
      </c>
      <c r="TVT31" t="e">
        <v>#N/A</v>
      </c>
      <c r="TVU31" t="e">
        <v>#N/A</v>
      </c>
      <c r="TVV31" t="e">
        <v>#N/A</v>
      </c>
      <c r="TVW31" t="e">
        <v>#N/A</v>
      </c>
      <c r="TVX31" t="e">
        <v>#N/A</v>
      </c>
      <c r="TVY31" t="e">
        <v>#N/A</v>
      </c>
      <c r="TVZ31" t="e">
        <v>#N/A</v>
      </c>
      <c r="TWA31" t="e">
        <v>#N/A</v>
      </c>
      <c r="TWB31" t="e">
        <v>#N/A</v>
      </c>
      <c r="TWC31" t="e">
        <v>#N/A</v>
      </c>
      <c r="TWD31" t="e">
        <v>#N/A</v>
      </c>
      <c r="TWE31" t="e">
        <v>#N/A</v>
      </c>
      <c r="TWF31" t="e">
        <v>#N/A</v>
      </c>
      <c r="TWG31" t="e">
        <v>#N/A</v>
      </c>
      <c r="TWH31" t="e">
        <v>#N/A</v>
      </c>
      <c r="TWI31" t="e">
        <v>#N/A</v>
      </c>
      <c r="TWJ31" t="e">
        <v>#N/A</v>
      </c>
      <c r="TWK31" t="e">
        <v>#N/A</v>
      </c>
      <c r="TWL31" t="e">
        <v>#N/A</v>
      </c>
      <c r="TWM31" t="e">
        <v>#N/A</v>
      </c>
      <c r="TWN31" t="e">
        <v>#N/A</v>
      </c>
      <c r="TWO31" t="e">
        <v>#N/A</v>
      </c>
      <c r="TWP31" t="e">
        <v>#N/A</v>
      </c>
      <c r="TWQ31" t="e">
        <v>#N/A</v>
      </c>
      <c r="TWR31" t="e">
        <v>#N/A</v>
      </c>
      <c r="TWS31" t="e">
        <v>#N/A</v>
      </c>
      <c r="TWT31" t="e">
        <v>#N/A</v>
      </c>
      <c r="TWU31" t="e">
        <v>#N/A</v>
      </c>
      <c r="TWV31" t="e">
        <v>#N/A</v>
      </c>
      <c r="TWW31" t="e">
        <v>#N/A</v>
      </c>
      <c r="TWX31" t="e">
        <v>#N/A</v>
      </c>
      <c r="TWY31" t="e">
        <v>#N/A</v>
      </c>
      <c r="TWZ31" t="e">
        <v>#N/A</v>
      </c>
      <c r="TXA31" t="e">
        <v>#N/A</v>
      </c>
      <c r="TXB31" t="e">
        <v>#N/A</v>
      </c>
      <c r="TXC31" t="e">
        <v>#N/A</v>
      </c>
      <c r="TXD31" t="e">
        <v>#N/A</v>
      </c>
      <c r="TXE31" t="e">
        <v>#N/A</v>
      </c>
      <c r="TXF31" t="e">
        <v>#N/A</v>
      </c>
      <c r="TXG31" t="e">
        <v>#N/A</v>
      </c>
      <c r="TXH31" t="e">
        <v>#N/A</v>
      </c>
      <c r="TXI31" t="e">
        <v>#N/A</v>
      </c>
      <c r="TXJ31" t="e">
        <v>#N/A</v>
      </c>
      <c r="TXK31" t="e">
        <v>#N/A</v>
      </c>
      <c r="TXL31" t="e">
        <v>#N/A</v>
      </c>
      <c r="TXM31" t="e">
        <v>#N/A</v>
      </c>
      <c r="TXN31" t="e">
        <v>#N/A</v>
      </c>
      <c r="TXO31" t="e">
        <v>#N/A</v>
      </c>
      <c r="TXP31" t="e">
        <v>#N/A</v>
      </c>
      <c r="TXQ31" t="e">
        <v>#N/A</v>
      </c>
      <c r="TXR31" t="e">
        <v>#N/A</v>
      </c>
      <c r="TXS31" t="e">
        <v>#N/A</v>
      </c>
      <c r="TXT31" t="e">
        <v>#N/A</v>
      </c>
      <c r="TXU31" t="e">
        <v>#N/A</v>
      </c>
      <c r="TXV31" t="e">
        <v>#N/A</v>
      </c>
      <c r="TXW31" t="e">
        <v>#N/A</v>
      </c>
      <c r="TXX31" t="e">
        <v>#N/A</v>
      </c>
      <c r="TXY31" t="e">
        <v>#N/A</v>
      </c>
      <c r="TXZ31" t="e">
        <v>#N/A</v>
      </c>
      <c r="TYA31" t="e">
        <v>#N/A</v>
      </c>
      <c r="TYB31" t="e">
        <v>#N/A</v>
      </c>
      <c r="TYC31" t="e">
        <v>#N/A</v>
      </c>
      <c r="TYD31" t="e">
        <v>#N/A</v>
      </c>
      <c r="TYE31" t="e">
        <v>#N/A</v>
      </c>
      <c r="TYF31" t="e">
        <v>#N/A</v>
      </c>
      <c r="TYG31" t="e">
        <v>#N/A</v>
      </c>
      <c r="TYH31" t="e">
        <v>#N/A</v>
      </c>
      <c r="TYI31" t="e">
        <v>#N/A</v>
      </c>
      <c r="TYJ31" t="e">
        <v>#N/A</v>
      </c>
      <c r="TYK31" t="e">
        <v>#N/A</v>
      </c>
      <c r="TYL31" t="e">
        <v>#N/A</v>
      </c>
      <c r="TYM31" t="e">
        <v>#N/A</v>
      </c>
      <c r="TYN31" t="e">
        <v>#N/A</v>
      </c>
      <c r="TYO31" t="e">
        <v>#N/A</v>
      </c>
      <c r="TYP31" t="e">
        <v>#N/A</v>
      </c>
      <c r="TYQ31" t="e">
        <v>#N/A</v>
      </c>
      <c r="TYR31" t="e">
        <v>#N/A</v>
      </c>
      <c r="TYS31" t="e">
        <v>#N/A</v>
      </c>
      <c r="TYT31" t="e">
        <v>#N/A</v>
      </c>
      <c r="TYU31" t="e">
        <v>#N/A</v>
      </c>
      <c r="TYV31" t="e">
        <v>#N/A</v>
      </c>
      <c r="TYW31" t="e">
        <v>#N/A</v>
      </c>
      <c r="TYX31" t="e">
        <v>#N/A</v>
      </c>
      <c r="TYY31" t="e">
        <v>#N/A</v>
      </c>
      <c r="TYZ31" t="e">
        <v>#N/A</v>
      </c>
      <c r="TZA31" t="e">
        <v>#N/A</v>
      </c>
      <c r="TZB31" t="e">
        <v>#N/A</v>
      </c>
      <c r="TZC31" t="e">
        <v>#N/A</v>
      </c>
      <c r="TZD31" t="e">
        <v>#N/A</v>
      </c>
      <c r="TZE31" t="e">
        <v>#N/A</v>
      </c>
      <c r="TZF31" t="e">
        <v>#N/A</v>
      </c>
      <c r="TZG31" t="e">
        <v>#N/A</v>
      </c>
      <c r="TZH31" t="e">
        <v>#N/A</v>
      </c>
      <c r="TZI31" t="e">
        <v>#N/A</v>
      </c>
      <c r="TZJ31" t="e">
        <v>#N/A</v>
      </c>
      <c r="TZK31" t="e">
        <v>#N/A</v>
      </c>
      <c r="TZL31" t="e">
        <v>#N/A</v>
      </c>
      <c r="TZM31" t="e">
        <v>#N/A</v>
      </c>
      <c r="TZN31" t="e">
        <v>#N/A</v>
      </c>
      <c r="TZO31" t="e">
        <v>#N/A</v>
      </c>
      <c r="TZP31" t="e">
        <v>#N/A</v>
      </c>
      <c r="TZQ31" t="e">
        <v>#N/A</v>
      </c>
      <c r="TZR31" t="e">
        <v>#N/A</v>
      </c>
      <c r="TZS31" t="e">
        <v>#N/A</v>
      </c>
      <c r="TZT31" t="e">
        <v>#N/A</v>
      </c>
      <c r="TZU31" t="e">
        <v>#N/A</v>
      </c>
      <c r="TZV31" t="e">
        <v>#N/A</v>
      </c>
      <c r="TZW31" t="e">
        <v>#N/A</v>
      </c>
      <c r="TZX31" t="e">
        <v>#N/A</v>
      </c>
      <c r="TZY31" t="e">
        <v>#N/A</v>
      </c>
      <c r="TZZ31" t="e">
        <v>#N/A</v>
      </c>
      <c r="UAA31" t="e">
        <v>#N/A</v>
      </c>
      <c r="UAB31" t="e">
        <v>#N/A</v>
      </c>
      <c r="UAC31" t="e">
        <v>#N/A</v>
      </c>
      <c r="UAD31" t="e">
        <v>#N/A</v>
      </c>
      <c r="UAE31" t="e">
        <v>#N/A</v>
      </c>
      <c r="UAF31" t="e">
        <v>#N/A</v>
      </c>
      <c r="UAG31" t="e">
        <v>#N/A</v>
      </c>
      <c r="UAH31" t="e">
        <v>#N/A</v>
      </c>
      <c r="UAI31" t="e">
        <v>#N/A</v>
      </c>
      <c r="UAJ31" t="e">
        <v>#N/A</v>
      </c>
      <c r="UAK31" t="e">
        <v>#N/A</v>
      </c>
      <c r="UAL31" t="e">
        <v>#N/A</v>
      </c>
      <c r="UAM31" t="e">
        <v>#N/A</v>
      </c>
      <c r="UAN31" t="e">
        <v>#N/A</v>
      </c>
      <c r="UAO31" t="e">
        <v>#N/A</v>
      </c>
      <c r="UAP31" t="e">
        <v>#N/A</v>
      </c>
      <c r="UAQ31" t="e">
        <v>#N/A</v>
      </c>
      <c r="UAR31" t="e">
        <v>#N/A</v>
      </c>
      <c r="UAS31" t="e">
        <v>#N/A</v>
      </c>
      <c r="UAT31" t="e">
        <v>#N/A</v>
      </c>
      <c r="UAU31" t="e">
        <v>#N/A</v>
      </c>
      <c r="UAV31" t="e">
        <v>#N/A</v>
      </c>
      <c r="UAW31" t="e">
        <v>#N/A</v>
      </c>
      <c r="UAX31" t="e">
        <v>#N/A</v>
      </c>
      <c r="UAY31" t="e">
        <v>#N/A</v>
      </c>
      <c r="UAZ31" t="e">
        <v>#N/A</v>
      </c>
      <c r="UBA31" t="e">
        <v>#N/A</v>
      </c>
      <c r="UBB31" t="e">
        <v>#N/A</v>
      </c>
      <c r="UBC31" t="e">
        <v>#N/A</v>
      </c>
      <c r="UBD31" t="e">
        <v>#N/A</v>
      </c>
      <c r="UBE31" t="e">
        <v>#N/A</v>
      </c>
      <c r="UBF31" t="e">
        <v>#N/A</v>
      </c>
      <c r="UBG31" t="e">
        <v>#N/A</v>
      </c>
      <c r="UBH31" t="e">
        <v>#N/A</v>
      </c>
      <c r="UBI31" t="e">
        <v>#N/A</v>
      </c>
      <c r="UBJ31" t="e">
        <v>#N/A</v>
      </c>
      <c r="UBK31" t="e">
        <v>#N/A</v>
      </c>
      <c r="UBL31" t="e">
        <v>#N/A</v>
      </c>
      <c r="UBM31" t="e">
        <v>#N/A</v>
      </c>
      <c r="UBN31" t="e">
        <v>#N/A</v>
      </c>
      <c r="UBO31" t="e">
        <v>#N/A</v>
      </c>
      <c r="UBP31" t="e">
        <v>#N/A</v>
      </c>
      <c r="UBQ31" t="e">
        <v>#N/A</v>
      </c>
      <c r="UBR31" t="e">
        <v>#N/A</v>
      </c>
      <c r="UBS31" t="e">
        <v>#N/A</v>
      </c>
      <c r="UBT31" t="e">
        <v>#N/A</v>
      </c>
      <c r="UBU31" t="e">
        <v>#N/A</v>
      </c>
      <c r="UBV31" t="e">
        <v>#N/A</v>
      </c>
      <c r="UBW31" t="e">
        <v>#N/A</v>
      </c>
      <c r="UBX31" t="e">
        <v>#N/A</v>
      </c>
      <c r="UBY31" t="e">
        <v>#N/A</v>
      </c>
      <c r="UBZ31" t="e">
        <v>#N/A</v>
      </c>
      <c r="UCA31" t="e">
        <v>#N/A</v>
      </c>
      <c r="UCB31" t="e">
        <v>#N/A</v>
      </c>
      <c r="UCC31" t="e">
        <v>#N/A</v>
      </c>
      <c r="UCD31" t="e">
        <v>#N/A</v>
      </c>
      <c r="UCE31" t="e">
        <v>#N/A</v>
      </c>
      <c r="UCF31" t="e">
        <v>#N/A</v>
      </c>
      <c r="UCG31" t="e">
        <v>#N/A</v>
      </c>
      <c r="UCH31" t="e">
        <v>#N/A</v>
      </c>
      <c r="UCI31" t="e">
        <v>#N/A</v>
      </c>
      <c r="UCJ31" t="e">
        <v>#N/A</v>
      </c>
      <c r="UCK31" t="e">
        <v>#N/A</v>
      </c>
      <c r="UCL31" t="e">
        <v>#N/A</v>
      </c>
      <c r="UCM31" t="e">
        <v>#N/A</v>
      </c>
      <c r="UCN31" t="e">
        <v>#N/A</v>
      </c>
      <c r="UCO31" t="e">
        <v>#N/A</v>
      </c>
      <c r="UCP31" t="e">
        <v>#N/A</v>
      </c>
      <c r="UCQ31" t="e">
        <v>#N/A</v>
      </c>
      <c r="UCR31" t="e">
        <v>#N/A</v>
      </c>
      <c r="UCS31" t="e">
        <v>#N/A</v>
      </c>
      <c r="UCT31" t="e">
        <v>#N/A</v>
      </c>
      <c r="UCU31" t="e">
        <v>#N/A</v>
      </c>
      <c r="UCV31" t="e">
        <v>#N/A</v>
      </c>
      <c r="UCW31" t="e">
        <v>#N/A</v>
      </c>
      <c r="UCX31" t="e">
        <v>#N/A</v>
      </c>
      <c r="UCY31" t="e">
        <v>#N/A</v>
      </c>
      <c r="UCZ31" t="e">
        <v>#N/A</v>
      </c>
      <c r="UDA31" t="e">
        <v>#N/A</v>
      </c>
      <c r="UDB31" t="e">
        <v>#N/A</v>
      </c>
      <c r="UDC31" t="e">
        <v>#N/A</v>
      </c>
      <c r="UDD31" t="e">
        <v>#N/A</v>
      </c>
      <c r="UDE31" t="e">
        <v>#N/A</v>
      </c>
      <c r="UDF31" t="e">
        <v>#N/A</v>
      </c>
      <c r="UDG31" t="e">
        <v>#N/A</v>
      </c>
      <c r="UDH31" t="e">
        <v>#N/A</v>
      </c>
      <c r="UDI31" t="e">
        <v>#N/A</v>
      </c>
      <c r="UDJ31" t="e">
        <v>#N/A</v>
      </c>
      <c r="UDK31" t="e">
        <v>#N/A</v>
      </c>
      <c r="UDL31" t="e">
        <v>#N/A</v>
      </c>
      <c r="UDM31" t="e">
        <v>#N/A</v>
      </c>
      <c r="UDN31" t="e">
        <v>#N/A</v>
      </c>
      <c r="UDO31" t="e">
        <v>#N/A</v>
      </c>
      <c r="UDP31" t="e">
        <v>#N/A</v>
      </c>
      <c r="UDQ31" t="e">
        <v>#N/A</v>
      </c>
      <c r="UDR31" t="e">
        <v>#N/A</v>
      </c>
      <c r="UDS31" t="e">
        <v>#N/A</v>
      </c>
      <c r="UDT31" t="e">
        <v>#N/A</v>
      </c>
      <c r="UDU31" t="e">
        <v>#N/A</v>
      </c>
      <c r="UDV31" t="e">
        <v>#N/A</v>
      </c>
      <c r="UDW31" t="e">
        <v>#N/A</v>
      </c>
      <c r="UDX31" t="e">
        <v>#N/A</v>
      </c>
      <c r="UDY31" t="e">
        <v>#N/A</v>
      </c>
      <c r="UDZ31" t="e">
        <v>#N/A</v>
      </c>
      <c r="UEA31" t="e">
        <v>#N/A</v>
      </c>
      <c r="UEB31" t="e">
        <v>#N/A</v>
      </c>
      <c r="UEC31" t="e">
        <v>#N/A</v>
      </c>
      <c r="UED31" t="e">
        <v>#N/A</v>
      </c>
      <c r="UEE31" t="e">
        <v>#N/A</v>
      </c>
      <c r="UEF31" t="e">
        <v>#N/A</v>
      </c>
      <c r="UEG31" t="e">
        <v>#N/A</v>
      </c>
      <c r="UEH31" t="e">
        <v>#N/A</v>
      </c>
      <c r="UEI31" t="e">
        <v>#N/A</v>
      </c>
      <c r="UEJ31" t="e">
        <v>#N/A</v>
      </c>
      <c r="UEK31" t="e">
        <v>#N/A</v>
      </c>
      <c r="UEL31" t="e">
        <v>#N/A</v>
      </c>
      <c r="UEM31" t="e">
        <v>#N/A</v>
      </c>
      <c r="UEN31" t="e">
        <v>#N/A</v>
      </c>
      <c r="UEO31" t="e">
        <v>#N/A</v>
      </c>
      <c r="UEP31" t="e">
        <v>#N/A</v>
      </c>
      <c r="UEQ31" t="e">
        <v>#N/A</v>
      </c>
      <c r="UER31" t="e">
        <v>#N/A</v>
      </c>
      <c r="UES31" t="e">
        <v>#N/A</v>
      </c>
      <c r="UET31" t="e">
        <v>#N/A</v>
      </c>
      <c r="UEU31" t="e">
        <v>#N/A</v>
      </c>
      <c r="UEV31" t="e">
        <v>#N/A</v>
      </c>
      <c r="UEW31" t="e">
        <v>#N/A</v>
      </c>
      <c r="UEX31" t="e">
        <v>#N/A</v>
      </c>
      <c r="UEY31" t="e">
        <v>#N/A</v>
      </c>
      <c r="UEZ31" t="e">
        <v>#N/A</v>
      </c>
      <c r="UFA31" t="e">
        <v>#N/A</v>
      </c>
      <c r="UFB31" t="e">
        <v>#N/A</v>
      </c>
      <c r="UFC31" t="e">
        <v>#N/A</v>
      </c>
      <c r="UFD31" t="e">
        <v>#N/A</v>
      </c>
      <c r="UFE31" t="e">
        <v>#N/A</v>
      </c>
      <c r="UFF31" t="e">
        <v>#N/A</v>
      </c>
      <c r="UFG31" t="e">
        <v>#N/A</v>
      </c>
      <c r="UFH31" t="e">
        <v>#N/A</v>
      </c>
      <c r="UFI31" t="e">
        <v>#N/A</v>
      </c>
      <c r="UFJ31" t="e">
        <v>#N/A</v>
      </c>
      <c r="UFK31" t="e">
        <v>#N/A</v>
      </c>
      <c r="UFL31" t="e">
        <v>#N/A</v>
      </c>
      <c r="UFM31" t="e">
        <v>#N/A</v>
      </c>
      <c r="UFN31" t="e">
        <v>#N/A</v>
      </c>
      <c r="UFO31" t="e">
        <v>#N/A</v>
      </c>
      <c r="UFP31" t="e">
        <v>#N/A</v>
      </c>
      <c r="UFQ31" t="e">
        <v>#N/A</v>
      </c>
      <c r="UFR31" t="e">
        <v>#N/A</v>
      </c>
      <c r="UFS31" t="e">
        <v>#N/A</v>
      </c>
      <c r="UFT31" t="e">
        <v>#N/A</v>
      </c>
      <c r="UFU31" t="e">
        <v>#N/A</v>
      </c>
      <c r="UFV31" t="e">
        <v>#N/A</v>
      </c>
      <c r="UFW31" t="e">
        <v>#N/A</v>
      </c>
      <c r="UFX31" t="e">
        <v>#N/A</v>
      </c>
      <c r="UFY31" t="e">
        <v>#N/A</v>
      </c>
      <c r="UFZ31" t="e">
        <v>#N/A</v>
      </c>
      <c r="UGA31" t="e">
        <v>#N/A</v>
      </c>
      <c r="UGB31" t="e">
        <v>#N/A</v>
      </c>
      <c r="UGC31" t="e">
        <v>#N/A</v>
      </c>
      <c r="UGD31" t="e">
        <v>#N/A</v>
      </c>
      <c r="UGE31" t="e">
        <v>#N/A</v>
      </c>
      <c r="UGF31" t="e">
        <v>#N/A</v>
      </c>
      <c r="UGG31" t="e">
        <v>#N/A</v>
      </c>
      <c r="UGH31" t="e">
        <v>#N/A</v>
      </c>
      <c r="UGI31" t="e">
        <v>#N/A</v>
      </c>
      <c r="UGJ31" t="e">
        <v>#N/A</v>
      </c>
      <c r="UGK31" t="e">
        <v>#N/A</v>
      </c>
      <c r="UGL31" t="e">
        <v>#N/A</v>
      </c>
      <c r="UGM31" t="e">
        <v>#N/A</v>
      </c>
      <c r="UGN31" t="e">
        <v>#N/A</v>
      </c>
      <c r="UGO31" t="e">
        <v>#N/A</v>
      </c>
      <c r="UGP31" t="e">
        <v>#N/A</v>
      </c>
      <c r="UGQ31" t="e">
        <v>#N/A</v>
      </c>
      <c r="UGR31" t="e">
        <v>#N/A</v>
      </c>
      <c r="UGS31" t="e">
        <v>#N/A</v>
      </c>
      <c r="UGT31" t="e">
        <v>#N/A</v>
      </c>
      <c r="UGU31" t="e">
        <v>#N/A</v>
      </c>
      <c r="UGV31" t="e">
        <v>#N/A</v>
      </c>
      <c r="UGW31" t="e">
        <v>#N/A</v>
      </c>
      <c r="UGX31" t="e">
        <v>#N/A</v>
      </c>
      <c r="UGY31" t="e">
        <v>#N/A</v>
      </c>
      <c r="UGZ31" t="e">
        <v>#N/A</v>
      </c>
      <c r="UHA31" t="e">
        <v>#N/A</v>
      </c>
      <c r="UHB31" t="e">
        <v>#N/A</v>
      </c>
      <c r="UHC31" t="e">
        <v>#N/A</v>
      </c>
      <c r="UHD31" t="e">
        <v>#N/A</v>
      </c>
      <c r="UHE31" t="e">
        <v>#N/A</v>
      </c>
      <c r="UHF31" t="e">
        <v>#N/A</v>
      </c>
      <c r="UHG31" t="e">
        <v>#N/A</v>
      </c>
      <c r="UHH31" t="e">
        <v>#N/A</v>
      </c>
      <c r="UHI31" t="e">
        <v>#N/A</v>
      </c>
      <c r="UHJ31" t="e">
        <v>#N/A</v>
      </c>
      <c r="UHK31" t="e">
        <v>#N/A</v>
      </c>
      <c r="UHL31" t="e">
        <v>#N/A</v>
      </c>
      <c r="UHM31" t="e">
        <v>#N/A</v>
      </c>
      <c r="UHN31" t="e">
        <v>#N/A</v>
      </c>
      <c r="UHO31" t="e">
        <v>#N/A</v>
      </c>
      <c r="UHP31" t="e">
        <v>#N/A</v>
      </c>
      <c r="UHQ31" t="e">
        <v>#N/A</v>
      </c>
      <c r="UHR31" t="e">
        <v>#N/A</v>
      </c>
      <c r="UHS31" t="e">
        <v>#N/A</v>
      </c>
      <c r="UHT31" t="e">
        <v>#N/A</v>
      </c>
      <c r="UHU31" t="e">
        <v>#N/A</v>
      </c>
      <c r="UHV31" t="e">
        <v>#N/A</v>
      </c>
      <c r="UHW31" t="e">
        <v>#N/A</v>
      </c>
      <c r="UHX31" t="e">
        <v>#N/A</v>
      </c>
      <c r="UHY31" t="e">
        <v>#N/A</v>
      </c>
      <c r="UHZ31" t="e">
        <v>#N/A</v>
      </c>
      <c r="UIA31" t="e">
        <v>#N/A</v>
      </c>
      <c r="UIB31" t="e">
        <v>#N/A</v>
      </c>
      <c r="UIC31" t="e">
        <v>#N/A</v>
      </c>
      <c r="UID31" t="e">
        <v>#N/A</v>
      </c>
      <c r="UIE31" t="e">
        <v>#N/A</v>
      </c>
      <c r="UIF31" t="e">
        <v>#N/A</v>
      </c>
      <c r="UIG31" t="e">
        <v>#N/A</v>
      </c>
      <c r="UIH31" t="e">
        <v>#N/A</v>
      </c>
      <c r="UII31" t="e">
        <v>#N/A</v>
      </c>
      <c r="UIJ31" t="e">
        <v>#N/A</v>
      </c>
      <c r="UIK31" t="e">
        <v>#N/A</v>
      </c>
      <c r="UIL31" t="e">
        <v>#N/A</v>
      </c>
      <c r="UIM31" t="e">
        <v>#N/A</v>
      </c>
      <c r="UIN31" t="e">
        <v>#N/A</v>
      </c>
      <c r="UIO31" t="e">
        <v>#N/A</v>
      </c>
      <c r="UIP31" t="e">
        <v>#N/A</v>
      </c>
      <c r="UIQ31" t="e">
        <v>#N/A</v>
      </c>
      <c r="UIR31" t="e">
        <v>#N/A</v>
      </c>
      <c r="UIS31" t="e">
        <v>#N/A</v>
      </c>
      <c r="UIT31" t="e">
        <v>#N/A</v>
      </c>
      <c r="UIU31" t="e">
        <v>#N/A</v>
      </c>
      <c r="UIV31" t="e">
        <v>#N/A</v>
      </c>
      <c r="UIW31" t="e">
        <v>#N/A</v>
      </c>
      <c r="UIX31" t="e">
        <v>#N/A</v>
      </c>
      <c r="UIY31" t="e">
        <v>#N/A</v>
      </c>
      <c r="UIZ31" t="e">
        <v>#N/A</v>
      </c>
      <c r="UJA31" t="e">
        <v>#N/A</v>
      </c>
      <c r="UJB31" t="e">
        <v>#N/A</v>
      </c>
      <c r="UJC31" t="e">
        <v>#N/A</v>
      </c>
      <c r="UJD31" t="e">
        <v>#N/A</v>
      </c>
      <c r="UJE31" t="e">
        <v>#N/A</v>
      </c>
      <c r="UJF31" t="e">
        <v>#N/A</v>
      </c>
      <c r="UJG31" t="e">
        <v>#N/A</v>
      </c>
      <c r="UJH31" t="e">
        <v>#N/A</v>
      </c>
      <c r="UJI31" t="e">
        <v>#N/A</v>
      </c>
      <c r="UJJ31" t="e">
        <v>#N/A</v>
      </c>
      <c r="UJK31" t="e">
        <v>#N/A</v>
      </c>
      <c r="UJL31" t="e">
        <v>#N/A</v>
      </c>
      <c r="UJM31" t="e">
        <v>#N/A</v>
      </c>
      <c r="UJN31" t="e">
        <v>#N/A</v>
      </c>
      <c r="UJO31" t="e">
        <v>#N/A</v>
      </c>
      <c r="UJP31" t="e">
        <v>#N/A</v>
      </c>
      <c r="UJQ31" t="e">
        <v>#N/A</v>
      </c>
      <c r="UJR31" t="e">
        <v>#N/A</v>
      </c>
      <c r="UJS31" t="e">
        <v>#N/A</v>
      </c>
      <c r="UJT31" t="e">
        <v>#N/A</v>
      </c>
      <c r="UJU31" t="e">
        <v>#N/A</v>
      </c>
      <c r="UJV31" t="e">
        <v>#N/A</v>
      </c>
      <c r="UJW31" t="e">
        <v>#N/A</v>
      </c>
      <c r="UJX31" t="e">
        <v>#N/A</v>
      </c>
      <c r="UJY31" t="e">
        <v>#N/A</v>
      </c>
      <c r="UJZ31" t="e">
        <v>#N/A</v>
      </c>
      <c r="UKA31" t="e">
        <v>#N/A</v>
      </c>
      <c r="UKB31" t="e">
        <v>#N/A</v>
      </c>
      <c r="UKC31" t="e">
        <v>#N/A</v>
      </c>
      <c r="UKD31" t="e">
        <v>#N/A</v>
      </c>
      <c r="UKE31" t="e">
        <v>#N/A</v>
      </c>
      <c r="UKF31" t="e">
        <v>#N/A</v>
      </c>
      <c r="UKG31" t="e">
        <v>#N/A</v>
      </c>
      <c r="UKH31" t="e">
        <v>#N/A</v>
      </c>
      <c r="UKI31" t="e">
        <v>#N/A</v>
      </c>
      <c r="UKJ31" t="e">
        <v>#N/A</v>
      </c>
      <c r="UKK31" t="e">
        <v>#N/A</v>
      </c>
      <c r="UKL31" t="e">
        <v>#N/A</v>
      </c>
      <c r="UKM31" t="e">
        <v>#N/A</v>
      </c>
      <c r="UKN31" t="e">
        <v>#N/A</v>
      </c>
      <c r="UKO31" t="e">
        <v>#N/A</v>
      </c>
      <c r="UKP31" t="e">
        <v>#N/A</v>
      </c>
      <c r="UKQ31" t="e">
        <v>#N/A</v>
      </c>
      <c r="UKR31" t="e">
        <v>#N/A</v>
      </c>
      <c r="UKS31" t="e">
        <v>#N/A</v>
      </c>
      <c r="UKT31" t="e">
        <v>#N/A</v>
      </c>
      <c r="UKU31" t="e">
        <v>#N/A</v>
      </c>
      <c r="UKV31" t="e">
        <v>#N/A</v>
      </c>
      <c r="UKW31" t="e">
        <v>#N/A</v>
      </c>
      <c r="UKX31" t="e">
        <v>#N/A</v>
      </c>
      <c r="UKY31" t="e">
        <v>#N/A</v>
      </c>
      <c r="UKZ31" t="e">
        <v>#N/A</v>
      </c>
      <c r="ULA31" t="e">
        <v>#N/A</v>
      </c>
      <c r="ULB31" t="e">
        <v>#N/A</v>
      </c>
      <c r="ULC31" t="e">
        <v>#N/A</v>
      </c>
      <c r="ULD31" t="e">
        <v>#N/A</v>
      </c>
      <c r="ULE31" t="e">
        <v>#N/A</v>
      </c>
      <c r="ULF31" t="e">
        <v>#N/A</v>
      </c>
      <c r="ULG31" t="e">
        <v>#N/A</v>
      </c>
      <c r="ULH31" t="e">
        <v>#N/A</v>
      </c>
      <c r="ULI31" t="e">
        <v>#N/A</v>
      </c>
      <c r="ULJ31" t="e">
        <v>#N/A</v>
      </c>
      <c r="ULK31" t="e">
        <v>#N/A</v>
      </c>
      <c r="ULL31" t="e">
        <v>#N/A</v>
      </c>
      <c r="ULM31" t="e">
        <v>#N/A</v>
      </c>
      <c r="ULN31" t="e">
        <v>#N/A</v>
      </c>
      <c r="ULO31" t="e">
        <v>#N/A</v>
      </c>
      <c r="ULP31" t="e">
        <v>#N/A</v>
      </c>
      <c r="ULQ31" t="e">
        <v>#N/A</v>
      </c>
      <c r="ULR31" t="e">
        <v>#N/A</v>
      </c>
      <c r="ULS31" t="e">
        <v>#N/A</v>
      </c>
      <c r="ULT31" t="e">
        <v>#N/A</v>
      </c>
      <c r="ULU31" t="e">
        <v>#N/A</v>
      </c>
      <c r="ULV31" t="e">
        <v>#N/A</v>
      </c>
      <c r="ULW31" t="e">
        <v>#N/A</v>
      </c>
      <c r="ULX31" t="e">
        <v>#N/A</v>
      </c>
      <c r="ULY31" t="e">
        <v>#N/A</v>
      </c>
      <c r="ULZ31" t="e">
        <v>#N/A</v>
      </c>
      <c r="UMA31" t="e">
        <v>#N/A</v>
      </c>
      <c r="UMB31" t="e">
        <v>#N/A</v>
      </c>
      <c r="UMC31" t="e">
        <v>#N/A</v>
      </c>
      <c r="UMD31" t="e">
        <v>#N/A</v>
      </c>
      <c r="UME31" t="e">
        <v>#N/A</v>
      </c>
      <c r="UMF31" t="e">
        <v>#N/A</v>
      </c>
      <c r="UMG31" t="e">
        <v>#N/A</v>
      </c>
      <c r="UMH31" t="e">
        <v>#N/A</v>
      </c>
      <c r="UMI31" t="e">
        <v>#N/A</v>
      </c>
      <c r="UMJ31" t="e">
        <v>#N/A</v>
      </c>
      <c r="UMK31" t="e">
        <v>#N/A</v>
      </c>
      <c r="UML31" t="e">
        <v>#N/A</v>
      </c>
      <c r="UMM31" t="e">
        <v>#N/A</v>
      </c>
      <c r="UMN31" t="e">
        <v>#N/A</v>
      </c>
      <c r="UMO31" t="e">
        <v>#N/A</v>
      </c>
      <c r="UMP31" t="e">
        <v>#N/A</v>
      </c>
      <c r="UMQ31" t="e">
        <v>#N/A</v>
      </c>
      <c r="UMR31" t="e">
        <v>#N/A</v>
      </c>
      <c r="UMS31" t="e">
        <v>#N/A</v>
      </c>
      <c r="UMT31" t="e">
        <v>#N/A</v>
      </c>
      <c r="UMU31" t="e">
        <v>#N/A</v>
      </c>
      <c r="UMV31" t="e">
        <v>#N/A</v>
      </c>
      <c r="UMW31" t="e">
        <v>#N/A</v>
      </c>
      <c r="UMX31" t="e">
        <v>#N/A</v>
      </c>
      <c r="UMY31" t="e">
        <v>#N/A</v>
      </c>
      <c r="UMZ31" t="e">
        <v>#N/A</v>
      </c>
      <c r="UNA31" t="e">
        <v>#N/A</v>
      </c>
      <c r="UNB31" t="e">
        <v>#N/A</v>
      </c>
      <c r="UNC31" t="e">
        <v>#N/A</v>
      </c>
      <c r="UND31" t="e">
        <v>#N/A</v>
      </c>
      <c r="UNE31" t="e">
        <v>#N/A</v>
      </c>
      <c r="UNF31" t="e">
        <v>#N/A</v>
      </c>
      <c r="UNG31" t="e">
        <v>#N/A</v>
      </c>
      <c r="UNH31" t="e">
        <v>#N/A</v>
      </c>
      <c r="UNI31" t="e">
        <v>#N/A</v>
      </c>
      <c r="UNJ31" t="e">
        <v>#N/A</v>
      </c>
      <c r="UNK31" t="e">
        <v>#N/A</v>
      </c>
      <c r="UNL31" t="e">
        <v>#N/A</v>
      </c>
      <c r="UNM31" t="e">
        <v>#N/A</v>
      </c>
      <c r="UNN31" t="e">
        <v>#N/A</v>
      </c>
      <c r="UNO31" t="e">
        <v>#N/A</v>
      </c>
      <c r="UNP31" t="e">
        <v>#N/A</v>
      </c>
      <c r="UNQ31" t="e">
        <v>#N/A</v>
      </c>
      <c r="UNR31" t="e">
        <v>#N/A</v>
      </c>
      <c r="UNS31" t="e">
        <v>#N/A</v>
      </c>
      <c r="UNT31" t="e">
        <v>#N/A</v>
      </c>
      <c r="UNU31" t="e">
        <v>#N/A</v>
      </c>
      <c r="UNV31" t="e">
        <v>#N/A</v>
      </c>
      <c r="UNW31" t="e">
        <v>#N/A</v>
      </c>
      <c r="UNX31" t="e">
        <v>#N/A</v>
      </c>
      <c r="UNY31" t="e">
        <v>#N/A</v>
      </c>
      <c r="UNZ31" t="e">
        <v>#N/A</v>
      </c>
      <c r="UOA31" t="e">
        <v>#N/A</v>
      </c>
      <c r="UOB31" t="e">
        <v>#N/A</v>
      </c>
      <c r="UOC31" t="e">
        <v>#N/A</v>
      </c>
      <c r="UOD31" t="e">
        <v>#N/A</v>
      </c>
      <c r="UOE31" t="e">
        <v>#N/A</v>
      </c>
      <c r="UOF31" t="e">
        <v>#N/A</v>
      </c>
      <c r="UOG31" t="e">
        <v>#N/A</v>
      </c>
      <c r="UOH31" t="e">
        <v>#N/A</v>
      </c>
      <c r="UOI31" t="e">
        <v>#N/A</v>
      </c>
      <c r="UOJ31" t="e">
        <v>#N/A</v>
      </c>
      <c r="UOK31" t="e">
        <v>#N/A</v>
      </c>
      <c r="UOL31" t="e">
        <v>#N/A</v>
      </c>
      <c r="UOM31" t="e">
        <v>#N/A</v>
      </c>
      <c r="UON31" t="e">
        <v>#N/A</v>
      </c>
      <c r="UOO31" t="e">
        <v>#N/A</v>
      </c>
      <c r="UOP31" t="e">
        <v>#N/A</v>
      </c>
      <c r="UOQ31" t="e">
        <v>#N/A</v>
      </c>
      <c r="UOR31" t="e">
        <v>#N/A</v>
      </c>
      <c r="UOS31" t="e">
        <v>#N/A</v>
      </c>
      <c r="UOT31" t="e">
        <v>#N/A</v>
      </c>
      <c r="UOU31" t="e">
        <v>#N/A</v>
      </c>
      <c r="UOV31" t="e">
        <v>#N/A</v>
      </c>
      <c r="UOW31" t="e">
        <v>#N/A</v>
      </c>
      <c r="UOX31" t="e">
        <v>#N/A</v>
      </c>
      <c r="UOY31" t="e">
        <v>#N/A</v>
      </c>
      <c r="UOZ31" t="e">
        <v>#N/A</v>
      </c>
      <c r="UPA31" t="e">
        <v>#N/A</v>
      </c>
      <c r="UPB31" t="e">
        <v>#N/A</v>
      </c>
      <c r="UPC31" t="e">
        <v>#N/A</v>
      </c>
      <c r="UPD31" t="e">
        <v>#N/A</v>
      </c>
      <c r="UPE31" t="e">
        <v>#N/A</v>
      </c>
      <c r="UPF31" t="e">
        <v>#N/A</v>
      </c>
      <c r="UPG31" t="e">
        <v>#N/A</v>
      </c>
      <c r="UPH31" t="e">
        <v>#N/A</v>
      </c>
      <c r="UPI31" t="e">
        <v>#N/A</v>
      </c>
      <c r="UPJ31" t="e">
        <v>#N/A</v>
      </c>
      <c r="UPK31" t="e">
        <v>#N/A</v>
      </c>
      <c r="UPL31" t="e">
        <v>#N/A</v>
      </c>
      <c r="UPM31" t="e">
        <v>#N/A</v>
      </c>
      <c r="UPN31" t="e">
        <v>#N/A</v>
      </c>
      <c r="UPO31" t="e">
        <v>#N/A</v>
      </c>
      <c r="UPP31" t="e">
        <v>#N/A</v>
      </c>
      <c r="UPQ31" t="e">
        <v>#N/A</v>
      </c>
      <c r="UPR31" t="e">
        <v>#N/A</v>
      </c>
      <c r="UPS31" t="e">
        <v>#N/A</v>
      </c>
      <c r="UPT31" t="e">
        <v>#N/A</v>
      </c>
      <c r="UPU31" t="e">
        <v>#N/A</v>
      </c>
      <c r="UPV31" t="e">
        <v>#N/A</v>
      </c>
      <c r="UPW31" t="e">
        <v>#N/A</v>
      </c>
      <c r="UPX31" t="e">
        <v>#N/A</v>
      </c>
      <c r="UPY31" t="e">
        <v>#N/A</v>
      </c>
      <c r="UPZ31" t="e">
        <v>#N/A</v>
      </c>
      <c r="UQA31" t="e">
        <v>#N/A</v>
      </c>
      <c r="UQB31" t="e">
        <v>#N/A</v>
      </c>
      <c r="UQC31" t="e">
        <v>#N/A</v>
      </c>
      <c r="UQD31" t="e">
        <v>#N/A</v>
      </c>
      <c r="UQE31" t="e">
        <v>#N/A</v>
      </c>
      <c r="UQF31" t="e">
        <v>#N/A</v>
      </c>
      <c r="UQG31" t="e">
        <v>#N/A</v>
      </c>
      <c r="UQH31" t="e">
        <v>#N/A</v>
      </c>
      <c r="UQI31" t="e">
        <v>#N/A</v>
      </c>
      <c r="UQJ31" t="e">
        <v>#N/A</v>
      </c>
      <c r="UQK31" t="e">
        <v>#N/A</v>
      </c>
      <c r="UQL31" t="e">
        <v>#N/A</v>
      </c>
      <c r="UQM31" t="e">
        <v>#N/A</v>
      </c>
      <c r="UQN31" t="e">
        <v>#N/A</v>
      </c>
      <c r="UQO31" t="e">
        <v>#N/A</v>
      </c>
      <c r="UQP31" t="e">
        <v>#N/A</v>
      </c>
      <c r="UQQ31" t="e">
        <v>#N/A</v>
      </c>
      <c r="UQR31" t="e">
        <v>#N/A</v>
      </c>
      <c r="UQS31" t="e">
        <v>#N/A</v>
      </c>
      <c r="UQT31" t="e">
        <v>#N/A</v>
      </c>
      <c r="UQU31" t="e">
        <v>#N/A</v>
      </c>
      <c r="UQV31" t="e">
        <v>#N/A</v>
      </c>
      <c r="UQW31" t="e">
        <v>#N/A</v>
      </c>
      <c r="UQX31" t="e">
        <v>#N/A</v>
      </c>
      <c r="UQY31" t="e">
        <v>#N/A</v>
      </c>
      <c r="UQZ31" t="e">
        <v>#N/A</v>
      </c>
      <c r="URA31" t="e">
        <v>#N/A</v>
      </c>
      <c r="URB31" t="e">
        <v>#N/A</v>
      </c>
      <c r="URC31" t="e">
        <v>#N/A</v>
      </c>
      <c r="URD31" t="e">
        <v>#N/A</v>
      </c>
      <c r="URE31" t="e">
        <v>#N/A</v>
      </c>
      <c r="URF31" t="e">
        <v>#N/A</v>
      </c>
      <c r="URG31" t="e">
        <v>#N/A</v>
      </c>
      <c r="URH31" t="e">
        <v>#N/A</v>
      </c>
      <c r="URI31" t="e">
        <v>#N/A</v>
      </c>
      <c r="URJ31" t="e">
        <v>#N/A</v>
      </c>
      <c r="URK31" t="e">
        <v>#N/A</v>
      </c>
      <c r="URL31" t="e">
        <v>#N/A</v>
      </c>
      <c r="URM31" t="e">
        <v>#N/A</v>
      </c>
      <c r="URN31" t="e">
        <v>#N/A</v>
      </c>
      <c r="URO31" t="e">
        <v>#N/A</v>
      </c>
      <c r="URP31" t="e">
        <v>#N/A</v>
      </c>
      <c r="URQ31" t="e">
        <v>#N/A</v>
      </c>
      <c r="URR31" t="e">
        <v>#N/A</v>
      </c>
      <c r="URS31" t="e">
        <v>#N/A</v>
      </c>
      <c r="URT31" t="e">
        <v>#N/A</v>
      </c>
      <c r="URU31" t="e">
        <v>#N/A</v>
      </c>
      <c r="URV31" t="e">
        <v>#N/A</v>
      </c>
      <c r="URW31" t="e">
        <v>#N/A</v>
      </c>
      <c r="URX31" t="e">
        <v>#N/A</v>
      </c>
      <c r="URY31" t="e">
        <v>#N/A</v>
      </c>
      <c r="URZ31" t="e">
        <v>#N/A</v>
      </c>
      <c r="USA31" t="e">
        <v>#N/A</v>
      </c>
      <c r="USB31" t="e">
        <v>#N/A</v>
      </c>
      <c r="USC31" t="e">
        <v>#N/A</v>
      </c>
      <c r="USD31" t="e">
        <v>#N/A</v>
      </c>
      <c r="USE31" t="e">
        <v>#N/A</v>
      </c>
      <c r="USF31" t="e">
        <v>#N/A</v>
      </c>
      <c r="USG31" t="e">
        <v>#N/A</v>
      </c>
      <c r="USH31" t="e">
        <v>#N/A</v>
      </c>
      <c r="USI31" t="e">
        <v>#N/A</v>
      </c>
      <c r="USJ31" t="e">
        <v>#N/A</v>
      </c>
      <c r="USK31" t="e">
        <v>#N/A</v>
      </c>
      <c r="USL31" t="e">
        <v>#N/A</v>
      </c>
      <c r="USM31" t="e">
        <v>#N/A</v>
      </c>
      <c r="USN31" t="e">
        <v>#N/A</v>
      </c>
      <c r="USO31" t="e">
        <v>#N/A</v>
      </c>
      <c r="USP31" t="e">
        <v>#N/A</v>
      </c>
      <c r="USQ31" t="e">
        <v>#N/A</v>
      </c>
      <c r="USR31" t="e">
        <v>#N/A</v>
      </c>
      <c r="USS31" t="e">
        <v>#N/A</v>
      </c>
      <c r="UST31" t="e">
        <v>#N/A</v>
      </c>
      <c r="USU31" t="e">
        <v>#N/A</v>
      </c>
      <c r="USV31" t="e">
        <v>#N/A</v>
      </c>
      <c r="USW31" t="e">
        <v>#N/A</v>
      </c>
      <c r="USX31" t="e">
        <v>#N/A</v>
      </c>
      <c r="USY31" t="e">
        <v>#N/A</v>
      </c>
      <c r="USZ31" t="e">
        <v>#N/A</v>
      </c>
      <c r="UTA31" t="e">
        <v>#N/A</v>
      </c>
      <c r="UTB31" t="e">
        <v>#N/A</v>
      </c>
      <c r="UTC31" t="e">
        <v>#N/A</v>
      </c>
      <c r="UTD31" t="e">
        <v>#N/A</v>
      </c>
      <c r="UTE31" t="e">
        <v>#N/A</v>
      </c>
      <c r="UTF31" t="e">
        <v>#N/A</v>
      </c>
      <c r="UTG31" t="e">
        <v>#N/A</v>
      </c>
      <c r="UTH31" t="e">
        <v>#N/A</v>
      </c>
      <c r="UTI31" t="e">
        <v>#N/A</v>
      </c>
      <c r="UTJ31" t="e">
        <v>#N/A</v>
      </c>
      <c r="UTK31" t="e">
        <v>#N/A</v>
      </c>
      <c r="UTL31" t="e">
        <v>#N/A</v>
      </c>
      <c r="UTM31" t="e">
        <v>#N/A</v>
      </c>
      <c r="UTN31" t="e">
        <v>#N/A</v>
      </c>
      <c r="UTO31" t="e">
        <v>#N/A</v>
      </c>
      <c r="UTP31" t="e">
        <v>#N/A</v>
      </c>
      <c r="UTQ31" t="e">
        <v>#N/A</v>
      </c>
      <c r="UTR31" t="e">
        <v>#N/A</v>
      </c>
      <c r="UTS31" t="e">
        <v>#N/A</v>
      </c>
      <c r="UTT31" t="e">
        <v>#N/A</v>
      </c>
      <c r="UTU31" t="e">
        <v>#N/A</v>
      </c>
      <c r="UTV31" t="e">
        <v>#N/A</v>
      </c>
      <c r="UTW31" t="e">
        <v>#N/A</v>
      </c>
      <c r="UTX31" t="e">
        <v>#N/A</v>
      </c>
      <c r="UTY31" t="e">
        <v>#N/A</v>
      </c>
      <c r="UTZ31" t="e">
        <v>#N/A</v>
      </c>
      <c r="UUA31" t="e">
        <v>#N/A</v>
      </c>
      <c r="UUB31" t="e">
        <v>#N/A</v>
      </c>
      <c r="UUC31" t="e">
        <v>#N/A</v>
      </c>
      <c r="UUD31" t="e">
        <v>#N/A</v>
      </c>
      <c r="UUE31" t="e">
        <v>#N/A</v>
      </c>
      <c r="UUF31" t="e">
        <v>#N/A</v>
      </c>
      <c r="UUG31" t="e">
        <v>#N/A</v>
      </c>
      <c r="UUH31" t="e">
        <v>#N/A</v>
      </c>
      <c r="UUI31" t="e">
        <v>#N/A</v>
      </c>
      <c r="UUJ31" t="e">
        <v>#N/A</v>
      </c>
      <c r="UUK31" t="e">
        <v>#N/A</v>
      </c>
      <c r="UUL31" t="e">
        <v>#N/A</v>
      </c>
      <c r="UUM31" t="e">
        <v>#N/A</v>
      </c>
      <c r="UUN31" t="e">
        <v>#N/A</v>
      </c>
      <c r="UUO31" t="e">
        <v>#N/A</v>
      </c>
      <c r="UUP31" t="e">
        <v>#N/A</v>
      </c>
      <c r="UUQ31" t="e">
        <v>#N/A</v>
      </c>
      <c r="UUR31" t="e">
        <v>#N/A</v>
      </c>
      <c r="UUS31" t="e">
        <v>#N/A</v>
      </c>
      <c r="UUT31" t="e">
        <v>#N/A</v>
      </c>
      <c r="UUU31" t="e">
        <v>#N/A</v>
      </c>
      <c r="UUV31" t="e">
        <v>#N/A</v>
      </c>
      <c r="UUW31" t="e">
        <v>#N/A</v>
      </c>
      <c r="UUX31" t="e">
        <v>#N/A</v>
      </c>
      <c r="UUY31" t="e">
        <v>#N/A</v>
      </c>
      <c r="UUZ31" t="e">
        <v>#N/A</v>
      </c>
      <c r="UVA31" t="e">
        <v>#N/A</v>
      </c>
      <c r="UVB31" t="e">
        <v>#N/A</v>
      </c>
      <c r="UVC31" t="e">
        <v>#N/A</v>
      </c>
      <c r="UVD31" t="e">
        <v>#N/A</v>
      </c>
      <c r="UVE31" t="e">
        <v>#N/A</v>
      </c>
      <c r="UVF31" t="e">
        <v>#N/A</v>
      </c>
      <c r="UVG31" t="e">
        <v>#N/A</v>
      </c>
      <c r="UVH31" t="e">
        <v>#N/A</v>
      </c>
      <c r="UVI31" t="e">
        <v>#N/A</v>
      </c>
      <c r="UVJ31" t="e">
        <v>#N/A</v>
      </c>
      <c r="UVK31" t="e">
        <v>#N/A</v>
      </c>
      <c r="UVL31" t="e">
        <v>#N/A</v>
      </c>
      <c r="UVM31" t="e">
        <v>#N/A</v>
      </c>
      <c r="UVN31" t="e">
        <v>#N/A</v>
      </c>
      <c r="UVO31" t="e">
        <v>#N/A</v>
      </c>
      <c r="UVP31" t="e">
        <v>#N/A</v>
      </c>
      <c r="UVQ31" t="e">
        <v>#N/A</v>
      </c>
      <c r="UVR31" t="e">
        <v>#N/A</v>
      </c>
      <c r="UVS31" t="e">
        <v>#N/A</v>
      </c>
      <c r="UVT31" t="e">
        <v>#N/A</v>
      </c>
      <c r="UVU31" t="e">
        <v>#N/A</v>
      </c>
      <c r="UVV31" t="e">
        <v>#N/A</v>
      </c>
      <c r="UVW31" t="e">
        <v>#N/A</v>
      </c>
      <c r="UVX31" t="e">
        <v>#N/A</v>
      </c>
      <c r="UVY31" t="e">
        <v>#N/A</v>
      </c>
      <c r="UVZ31" t="e">
        <v>#N/A</v>
      </c>
      <c r="UWA31" t="e">
        <v>#N/A</v>
      </c>
      <c r="UWB31" t="e">
        <v>#N/A</v>
      </c>
      <c r="UWC31" t="e">
        <v>#N/A</v>
      </c>
      <c r="UWD31" t="e">
        <v>#N/A</v>
      </c>
      <c r="UWE31" t="e">
        <v>#N/A</v>
      </c>
      <c r="UWF31" t="e">
        <v>#N/A</v>
      </c>
      <c r="UWG31" t="e">
        <v>#N/A</v>
      </c>
      <c r="UWH31" t="e">
        <v>#N/A</v>
      </c>
      <c r="UWI31" t="e">
        <v>#N/A</v>
      </c>
      <c r="UWJ31" t="e">
        <v>#N/A</v>
      </c>
      <c r="UWK31" t="e">
        <v>#N/A</v>
      </c>
      <c r="UWL31" t="e">
        <v>#N/A</v>
      </c>
      <c r="UWM31" t="e">
        <v>#N/A</v>
      </c>
      <c r="UWN31" t="e">
        <v>#N/A</v>
      </c>
      <c r="UWO31" t="e">
        <v>#N/A</v>
      </c>
      <c r="UWP31" t="e">
        <v>#N/A</v>
      </c>
      <c r="UWQ31" t="e">
        <v>#N/A</v>
      </c>
      <c r="UWR31" t="e">
        <v>#N/A</v>
      </c>
      <c r="UWS31" t="e">
        <v>#N/A</v>
      </c>
      <c r="UWT31" t="e">
        <v>#N/A</v>
      </c>
      <c r="UWU31" t="e">
        <v>#N/A</v>
      </c>
      <c r="UWV31" t="e">
        <v>#N/A</v>
      </c>
      <c r="UWW31" t="e">
        <v>#N/A</v>
      </c>
      <c r="UWX31" t="e">
        <v>#N/A</v>
      </c>
      <c r="UWY31" t="e">
        <v>#N/A</v>
      </c>
      <c r="UWZ31" t="e">
        <v>#N/A</v>
      </c>
      <c r="UXA31" t="e">
        <v>#N/A</v>
      </c>
      <c r="UXB31" t="e">
        <v>#N/A</v>
      </c>
      <c r="UXC31" t="e">
        <v>#N/A</v>
      </c>
      <c r="UXD31" t="e">
        <v>#N/A</v>
      </c>
      <c r="UXE31" t="e">
        <v>#N/A</v>
      </c>
      <c r="UXF31" t="e">
        <v>#N/A</v>
      </c>
      <c r="UXG31" t="e">
        <v>#N/A</v>
      </c>
      <c r="UXH31" t="e">
        <v>#N/A</v>
      </c>
      <c r="UXI31" t="e">
        <v>#N/A</v>
      </c>
      <c r="UXJ31" t="e">
        <v>#N/A</v>
      </c>
      <c r="UXK31" t="e">
        <v>#N/A</v>
      </c>
      <c r="UXL31" t="e">
        <v>#N/A</v>
      </c>
      <c r="UXM31" t="e">
        <v>#N/A</v>
      </c>
      <c r="UXN31" t="e">
        <v>#N/A</v>
      </c>
      <c r="UXO31" t="e">
        <v>#N/A</v>
      </c>
      <c r="UXP31" t="e">
        <v>#N/A</v>
      </c>
      <c r="UXQ31" t="e">
        <v>#N/A</v>
      </c>
      <c r="UXR31" t="e">
        <v>#N/A</v>
      </c>
      <c r="UXS31" t="e">
        <v>#N/A</v>
      </c>
      <c r="UXT31" t="e">
        <v>#N/A</v>
      </c>
      <c r="UXU31" t="e">
        <v>#N/A</v>
      </c>
      <c r="UXV31" t="e">
        <v>#N/A</v>
      </c>
      <c r="UXW31" t="e">
        <v>#N/A</v>
      </c>
      <c r="UXX31" t="e">
        <v>#N/A</v>
      </c>
      <c r="UXY31" t="e">
        <v>#N/A</v>
      </c>
      <c r="UXZ31" t="e">
        <v>#N/A</v>
      </c>
      <c r="UYA31" t="e">
        <v>#N/A</v>
      </c>
      <c r="UYB31" t="e">
        <v>#N/A</v>
      </c>
      <c r="UYC31" t="e">
        <v>#N/A</v>
      </c>
      <c r="UYD31" t="e">
        <v>#N/A</v>
      </c>
      <c r="UYE31" t="e">
        <v>#N/A</v>
      </c>
      <c r="UYF31" t="e">
        <v>#N/A</v>
      </c>
      <c r="UYG31" t="e">
        <v>#N/A</v>
      </c>
      <c r="UYH31" t="e">
        <v>#N/A</v>
      </c>
      <c r="UYI31" t="e">
        <v>#N/A</v>
      </c>
      <c r="UYJ31" t="e">
        <v>#N/A</v>
      </c>
      <c r="UYK31" t="e">
        <v>#N/A</v>
      </c>
      <c r="UYL31" t="e">
        <v>#N/A</v>
      </c>
      <c r="UYM31" t="e">
        <v>#N/A</v>
      </c>
      <c r="UYN31" t="e">
        <v>#N/A</v>
      </c>
      <c r="UYO31" t="e">
        <v>#N/A</v>
      </c>
      <c r="UYP31" t="e">
        <v>#N/A</v>
      </c>
      <c r="UYQ31" t="e">
        <v>#N/A</v>
      </c>
      <c r="UYR31" t="e">
        <v>#N/A</v>
      </c>
      <c r="UYS31" t="e">
        <v>#N/A</v>
      </c>
      <c r="UYT31" t="e">
        <v>#N/A</v>
      </c>
      <c r="UYU31" t="e">
        <v>#N/A</v>
      </c>
      <c r="UYV31" t="e">
        <v>#N/A</v>
      </c>
      <c r="UYW31" t="e">
        <v>#N/A</v>
      </c>
      <c r="UYX31" t="e">
        <v>#N/A</v>
      </c>
      <c r="UYY31" t="e">
        <v>#N/A</v>
      </c>
      <c r="UYZ31" t="e">
        <v>#N/A</v>
      </c>
      <c r="UZA31" t="e">
        <v>#N/A</v>
      </c>
      <c r="UZB31" t="e">
        <v>#N/A</v>
      </c>
      <c r="UZC31" t="e">
        <v>#N/A</v>
      </c>
      <c r="UZD31" t="e">
        <v>#N/A</v>
      </c>
      <c r="UZE31" t="e">
        <v>#N/A</v>
      </c>
      <c r="UZF31" t="e">
        <v>#N/A</v>
      </c>
      <c r="UZG31" t="e">
        <v>#N/A</v>
      </c>
      <c r="UZH31" t="e">
        <v>#N/A</v>
      </c>
      <c r="UZI31" t="e">
        <v>#N/A</v>
      </c>
      <c r="UZJ31" t="e">
        <v>#N/A</v>
      </c>
      <c r="UZK31" t="e">
        <v>#N/A</v>
      </c>
      <c r="UZL31" t="e">
        <v>#N/A</v>
      </c>
      <c r="UZM31" t="e">
        <v>#N/A</v>
      </c>
      <c r="UZN31" t="e">
        <v>#N/A</v>
      </c>
      <c r="UZO31" t="e">
        <v>#N/A</v>
      </c>
      <c r="UZP31" t="e">
        <v>#N/A</v>
      </c>
      <c r="UZQ31" t="e">
        <v>#N/A</v>
      </c>
      <c r="UZR31" t="e">
        <v>#N/A</v>
      </c>
      <c r="UZS31" t="e">
        <v>#N/A</v>
      </c>
      <c r="UZT31" t="e">
        <v>#N/A</v>
      </c>
      <c r="UZU31" t="e">
        <v>#N/A</v>
      </c>
      <c r="UZV31" t="e">
        <v>#N/A</v>
      </c>
      <c r="UZW31" t="e">
        <v>#N/A</v>
      </c>
      <c r="UZX31" t="e">
        <v>#N/A</v>
      </c>
      <c r="UZY31" t="e">
        <v>#N/A</v>
      </c>
      <c r="UZZ31" t="e">
        <v>#N/A</v>
      </c>
      <c r="VAA31" t="e">
        <v>#N/A</v>
      </c>
      <c r="VAB31" t="e">
        <v>#N/A</v>
      </c>
      <c r="VAC31" t="e">
        <v>#N/A</v>
      </c>
      <c r="VAD31" t="e">
        <v>#N/A</v>
      </c>
      <c r="VAE31" t="e">
        <v>#N/A</v>
      </c>
      <c r="VAF31" t="e">
        <v>#N/A</v>
      </c>
      <c r="VAG31" t="e">
        <v>#N/A</v>
      </c>
      <c r="VAH31" t="e">
        <v>#N/A</v>
      </c>
      <c r="VAI31" t="e">
        <v>#N/A</v>
      </c>
      <c r="VAJ31" t="e">
        <v>#N/A</v>
      </c>
      <c r="VAK31" t="e">
        <v>#N/A</v>
      </c>
      <c r="VAL31" t="e">
        <v>#N/A</v>
      </c>
      <c r="VAM31" t="e">
        <v>#N/A</v>
      </c>
      <c r="VAN31" t="e">
        <v>#N/A</v>
      </c>
      <c r="VAO31" t="e">
        <v>#N/A</v>
      </c>
      <c r="VAP31" t="e">
        <v>#N/A</v>
      </c>
      <c r="VAQ31" t="e">
        <v>#N/A</v>
      </c>
      <c r="VAR31" t="e">
        <v>#N/A</v>
      </c>
      <c r="VAS31" t="e">
        <v>#N/A</v>
      </c>
      <c r="VAT31" t="e">
        <v>#N/A</v>
      </c>
      <c r="VAU31" t="e">
        <v>#N/A</v>
      </c>
      <c r="VAV31" t="e">
        <v>#N/A</v>
      </c>
      <c r="VAW31" t="e">
        <v>#N/A</v>
      </c>
      <c r="VAX31" t="e">
        <v>#N/A</v>
      </c>
      <c r="VAY31" t="e">
        <v>#N/A</v>
      </c>
      <c r="VAZ31" t="e">
        <v>#N/A</v>
      </c>
      <c r="VBA31" t="e">
        <v>#N/A</v>
      </c>
      <c r="VBB31" t="e">
        <v>#N/A</v>
      </c>
      <c r="VBC31" t="e">
        <v>#N/A</v>
      </c>
      <c r="VBD31" t="e">
        <v>#N/A</v>
      </c>
      <c r="VBE31" t="e">
        <v>#N/A</v>
      </c>
      <c r="VBF31" t="e">
        <v>#N/A</v>
      </c>
      <c r="VBG31" t="e">
        <v>#N/A</v>
      </c>
      <c r="VBH31" t="e">
        <v>#N/A</v>
      </c>
      <c r="VBI31" t="e">
        <v>#N/A</v>
      </c>
      <c r="VBJ31" t="e">
        <v>#N/A</v>
      </c>
      <c r="VBK31" t="e">
        <v>#N/A</v>
      </c>
      <c r="VBL31" t="e">
        <v>#N/A</v>
      </c>
      <c r="VBM31" t="e">
        <v>#N/A</v>
      </c>
      <c r="VBN31" t="e">
        <v>#N/A</v>
      </c>
      <c r="VBO31" t="e">
        <v>#N/A</v>
      </c>
      <c r="VBP31" t="e">
        <v>#N/A</v>
      </c>
      <c r="VBQ31" t="e">
        <v>#N/A</v>
      </c>
      <c r="VBR31" t="e">
        <v>#N/A</v>
      </c>
      <c r="VBS31" t="e">
        <v>#N/A</v>
      </c>
      <c r="VBT31" t="e">
        <v>#N/A</v>
      </c>
      <c r="VBU31" t="e">
        <v>#N/A</v>
      </c>
      <c r="VBV31" t="e">
        <v>#N/A</v>
      </c>
      <c r="VBW31" t="e">
        <v>#N/A</v>
      </c>
      <c r="VBX31" t="e">
        <v>#N/A</v>
      </c>
      <c r="VBY31" t="e">
        <v>#N/A</v>
      </c>
      <c r="VBZ31" t="e">
        <v>#N/A</v>
      </c>
      <c r="VCA31" t="e">
        <v>#N/A</v>
      </c>
      <c r="VCB31" t="e">
        <v>#N/A</v>
      </c>
      <c r="VCC31" t="e">
        <v>#N/A</v>
      </c>
      <c r="VCD31" t="e">
        <v>#N/A</v>
      </c>
      <c r="VCE31" t="e">
        <v>#N/A</v>
      </c>
      <c r="VCF31" t="e">
        <v>#N/A</v>
      </c>
      <c r="VCG31" t="e">
        <v>#N/A</v>
      </c>
      <c r="VCH31" t="e">
        <v>#N/A</v>
      </c>
      <c r="VCI31" t="e">
        <v>#N/A</v>
      </c>
      <c r="VCJ31" t="e">
        <v>#N/A</v>
      </c>
      <c r="VCK31" t="e">
        <v>#N/A</v>
      </c>
      <c r="VCL31" t="e">
        <v>#N/A</v>
      </c>
      <c r="VCM31" t="e">
        <v>#N/A</v>
      </c>
      <c r="VCN31" t="e">
        <v>#N/A</v>
      </c>
      <c r="VCO31" t="e">
        <v>#N/A</v>
      </c>
      <c r="VCP31" t="e">
        <v>#N/A</v>
      </c>
      <c r="VCQ31" t="e">
        <v>#N/A</v>
      </c>
      <c r="VCR31" t="e">
        <v>#N/A</v>
      </c>
      <c r="VCS31" t="e">
        <v>#N/A</v>
      </c>
      <c r="VCT31" t="e">
        <v>#N/A</v>
      </c>
      <c r="VCU31" t="e">
        <v>#N/A</v>
      </c>
      <c r="VCV31" t="e">
        <v>#N/A</v>
      </c>
      <c r="VCW31" t="e">
        <v>#N/A</v>
      </c>
      <c r="VCX31" t="e">
        <v>#N/A</v>
      </c>
      <c r="VCY31" t="e">
        <v>#N/A</v>
      </c>
      <c r="VCZ31" t="e">
        <v>#N/A</v>
      </c>
      <c r="VDA31" t="e">
        <v>#N/A</v>
      </c>
      <c r="VDB31" t="e">
        <v>#N/A</v>
      </c>
      <c r="VDC31" t="e">
        <v>#N/A</v>
      </c>
      <c r="VDD31" t="e">
        <v>#N/A</v>
      </c>
      <c r="VDE31" t="e">
        <v>#N/A</v>
      </c>
      <c r="VDF31" t="e">
        <v>#N/A</v>
      </c>
      <c r="VDG31" t="e">
        <v>#N/A</v>
      </c>
      <c r="VDH31" t="e">
        <v>#N/A</v>
      </c>
      <c r="VDI31" t="e">
        <v>#N/A</v>
      </c>
      <c r="VDJ31" t="e">
        <v>#N/A</v>
      </c>
      <c r="VDK31" t="e">
        <v>#N/A</v>
      </c>
      <c r="VDL31" t="e">
        <v>#N/A</v>
      </c>
      <c r="VDM31" t="e">
        <v>#N/A</v>
      </c>
      <c r="VDN31" t="e">
        <v>#N/A</v>
      </c>
      <c r="VDO31" t="e">
        <v>#N/A</v>
      </c>
      <c r="VDP31" t="e">
        <v>#N/A</v>
      </c>
      <c r="VDQ31" t="e">
        <v>#N/A</v>
      </c>
      <c r="VDR31" t="e">
        <v>#N/A</v>
      </c>
      <c r="VDS31" t="e">
        <v>#N/A</v>
      </c>
      <c r="VDT31" t="e">
        <v>#N/A</v>
      </c>
      <c r="VDU31" t="e">
        <v>#N/A</v>
      </c>
      <c r="VDV31" t="e">
        <v>#N/A</v>
      </c>
      <c r="VDW31" t="e">
        <v>#N/A</v>
      </c>
      <c r="VDX31" t="e">
        <v>#N/A</v>
      </c>
      <c r="VDY31" t="e">
        <v>#N/A</v>
      </c>
      <c r="VDZ31" t="e">
        <v>#N/A</v>
      </c>
      <c r="VEA31" t="e">
        <v>#N/A</v>
      </c>
      <c r="VEB31" t="e">
        <v>#N/A</v>
      </c>
      <c r="VEC31" t="e">
        <v>#N/A</v>
      </c>
      <c r="VED31" t="e">
        <v>#N/A</v>
      </c>
      <c r="VEE31" t="e">
        <v>#N/A</v>
      </c>
      <c r="VEF31" t="e">
        <v>#N/A</v>
      </c>
      <c r="VEG31" t="e">
        <v>#N/A</v>
      </c>
      <c r="VEH31" t="e">
        <v>#N/A</v>
      </c>
      <c r="VEI31" t="e">
        <v>#N/A</v>
      </c>
      <c r="VEJ31" t="e">
        <v>#N/A</v>
      </c>
      <c r="VEK31" t="e">
        <v>#N/A</v>
      </c>
      <c r="VEL31" t="e">
        <v>#N/A</v>
      </c>
      <c r="VEM31" t="e">
        <v>#N/A</v>
      </c>
      <c r="VEN31" t="e">
        <v>#N/A</v>
      </c>
      <c r="VEO31" t="e">
        <v>#N/A</v>
      </c>
      <c r="VEP31" t="e">
        <v>#N/A</v>
      </c>
      <c r="VEQ31" t="e">
        <v>#N/A</v>
      </c>
      <c r="VER31" t="e">
        <v>#N/A</v>
      </c>
      <c r="VES31" t="e">
        <v>#N/A</v>
      </c>
      <c r="VET31" t="e">
        <v>#N/A</v>
      </c>
      <c r="VEU31" t="e">
        <v>#N/A</v>
      </c>
      <c r="VEV31" t="e">
        <v>#N/A</v>
      </c>
      <c r="VEW31" t="e">
        <v>#N/A</v>
      </c>
      <c r="VEX31" t="e">
        <v>#N/A</v>
      </c>
      <c r="VEY31" t="e">
        <v>#N/A</v>
      </c>
      <c r="VEZ31" t="e">
        <v>#N/A</v>
      </c>
      <c r="VFA31" t="e">
        <v>#N/A</v>
      </c>
      <c r="VFB31" t="e">
        <v>#N/A</v>
      </c>
      <c r="VFC31" t="e">
        <v>#N/A</v>
      </c>
      <c r="VFD31" t="e">
        <v>#N/A</v>
      </c>
      <c r="VFE31" t="e">
        <v>#N/A</v>
      </c>
      <c r="VFF31" t="e">
        <v>#N/A</v>
      </c>
      <c r="VFG31" t="e">
        <v>#N/A</v>
      </c>
      <c r="VFH31" t="e">
        <v>#N/A</v>
      </c>
      <c r="VFI31" t="e">
        <v>#N/A</v>
      </c>
      <c r="VFJ31" t="e">
        <v>#N/A</v>
      </c>
      <c r="VFK31" t="e">
        <v>#N/A</v>
      </c>
      <c r="VFL31" t="e">
        <v>#N/A</v>
      </c>
      <c r="VFM31" t="e">
        <v>#N/A</v>
      </c>
      <c r="VFN31" t="e">
        <v>#N/A</v>
      </c>
      <c r="VFO31" t="e">
        <v>#N/A</v>
      </c>
      <c r="VFP31" t="e">
        <v>#N/A</v>
      </c>
      <c r="VFQ31" t="e">
        <v>#N/A</v>
      </c>
      <c r="VFR31" t="e">
        <v>#N/A</v>
      </c>
      <c r="VFS31" t="e">
        <v>#N/A</v>
      </c>
      <c r="VFT31" t="e">
        <v>#N/A</v>
      </c>
      <c r="VFU31" t="e">
        <v>#N/A</v>
      </c>
      <c r="VFV31" t="e">
        <v>#N/A</v>
      </c>
      <c r="VFW31" t="e">
        <v>#N/A</v>
      </c>
      <c r="VFX31" t="e">
        <v>#N/A</v>
      </c>
      <c r="VFY31" t="e">
        <v>#N/A</v>
      </c>
      <c r="VFZ31" t="e">
        <v>#N/A</v>
      </c>
      <c r="VGA31" t="e">
        <v>#N/A</v>
      </c>
      <c r="VGB31" t="e">
        <v>#N/A</v>
      </c>
      <c r="VGC31" t="e">
        <v>#N/A</v>
      </c>
      <c r="VGD31" t="e">
        <v>#N/A</v>
      </c>
      <c r="VGE31" t="e">
        <v>#N/A</v>
      </c>
      <c r="VGF31" t="e">
        <v>#N/A</v>
      </c>
      <c r="VGG31" t="e">
        <v>#N/A</v>
      </c>
      <c r="VGH31" t="e">
        <v>#N/A</v>
      </c>
      <c r="VGI31" t="e">
        <v>#N/A</v>
      </c>
      <c r="VGJ31" t="e">
        <v>#N/A</v>
      </c>
      <c r="VGK31" t="e">
        <v>#N/A</v>
      </c>
      <c r="VGL31" t="e">
        <v>#N/A</v>
      </c>
      <c r="VGM31" t="e">
        <v>#N/A</v>
      </c>
      <c r="VGN31" t="e">
        <v>#N/A</v>
      </c>
      <c r="VGO31" t="e">
        <v>#N/A</v>
      </c>
      <c r="VGP31" t="e">
        <v>#N/A</v>
      </c>
      <c r="VGQ31" t="e">
        <v>#N/A</v>
      </c>
      <c r="VGR31" t="e">
        <v>#N/A</v>
      </c>
      <c r="VGS31" t="e">
        <v>#N/A</v>
      </c>
      <c r="VGT31" t="e">
        <v>#N/A</v>
      </c>
      <c r="VGU31" t="e">
        <v>#N/A</v>
      </c>
      <c r="VGV31" t="e">
        <v>#N/A</v>
      </c>
      <c r="VGW31" t="e">
        <v>#N/A</v>
      </c>
      <c r="VGX31" t="e">
        <v>#N/A</v>
      </c>
      <c r="VGY31" t="e">
        <v>#N/A</v>
      </c>
      <c r="VGZ31" t="e">
        <v>#N/A</v>
      </c>
      <c r="VHA31" t="e">
        <v>#N/A</v>
      </c>
      <c r="VHB31" t="e">
        <v>#N/A</v>
      </c>
      <c r="VHC31" t="e">
        <v>#N/A</v>
      </c>
      <c r="VHD31" t="e">
        <v>#N/A</v>
      </c>
      <c r="VHE31" t="e">
        <v>#N/A</v>
      </c>
      <c r="VHF31" t="e">
        <v>#N/A</v>
      </c>
      <c r="VHG31" t="e">
        <v>#N/A</v>
      </c>
      <c r="VHH31" t="e">
        <v>#N/A</v>
      </c>
      <c r="VHI31" t="e">
        <v>#N/A</v>
      </c>
      <c r="VHJ31" t="e">
        <v>#N/A</v>
      </c>
      <c r="VHK31" t="e">
        <v>#N/A</v>
      </c>
      <c r="VHL31" t="e">
        <v>#N/A</v>
      </c>
      <c r="VHM31" t="e">
        <v>#N/A</v>
      </c>
      <c r="VHN31" t="e">
        <v>#N/A</v>
      </c>
      <c r="VHO31" t="e">
        <v>#N/A</v>
      </c>
      <c r="VHP31" t="e">
        <v>#N/A</v>
      </c>
      <c r="VHQ31" t="e">
        <v>#N/A</v>
      </c>
      <c r="VHR31" t="e">
        <v>#N/A</v>
      </c>
      <c r="VHS31" t="e">
        <v>#N/A</v>
      </c>
      <c r="VHT31" t="e">
        <v>#N/A</v>
      </c>
      <c r="VHU31" t="e">
        <v>#N/A</v>
      </c>
      <c r="VHV31" t="e">
        <v>#N/A</v>
      </c>
      <c r="VHW31" t="e">
        <v>#N/A</v>
      </c>
      <c r="VHX31" t="e">
        <v>#N/A</v>
      </c>
      <c r="VHY31" t="e">
        <v>#N/A</v>
      </c>
      <c r="VHZ31" t="e">
        <v>#N/A</v>
      </c>
      <c r="VIA31" t="e">
        <v>#N/A</v>
      </c>
      <c r="VIB31" t="e">
        <v>#N/A</v>
      </c>
      <c r="VIC31" t="e">
        <v>#N/A</v>
      </c>
      <c r="VID31" t="e">
        <v>#N/A</v>
      </c>
      <c r="VIE31" t="e">
        <v>#N/A</v>
      </c>
      <c r="VIF31" t="e">
        <v>#N/A</v>
      </c>
      <c r="VIG31" t="e">
        <v>#N/A</v>
      </c>
      <c r="VIH31" t="e">
        <v>#N/A</v>
      </c>
      <c r="VII31" t="e">
        <v>#N/A</v>
      </c>
      <c r="VIJ31" t="e">
        <v>#N/A</v>
      </c>
      <c r="VIK31" t="e">
        <v>#N/A</v>
      </c>
      <c r="VIL31" t="e">
        <v>#N/A</v>
      </c>
      <c r="VIM31" t="e">
        <v>#N/A</v>
      </c>
      <c r="VIN31" t="e">
        <v>#N/A</v>
      </c>
      <c r="VIO31" t="e">
        <v>#N/A</v>
      </c>
      <c r="VIP31" t="e">
        <v>#N/A</v>
      </c>
      <c r="VIQ31" t="e">
        <v>#N/A</v>
      </c>
      <c r="VIR31" t="e">
        <v>#N/A</v>
      </c>
      <c r="VIS31" t="e">
        <v>#N/A</v>
      </c>
      <c r="VIT31" t="e">
        <v>#N/A</v>
      </c>
      <c r="VIU31" t="e">
        <v>#N/A</v>
      </c>
      <c r="VIV31" t="e">
        <v>#N/A</v>
      </c>
      <c r="VIW31" t="e">
        <v>#N/A</v>
      </c>
      <c r="VIX31" t="e">
        <v>#N/A</v>
      </c>
      <c r="VIY31" t="e">
        <v>#N/A</v>
      </c>
      <c r="VIZ31" t="e">
        <v>#N/A</v>
      </c>
      <c r="VJA31" t="e">
        <v>#N/A</v>
      </c>
      <c r="VJB31" t="e">
        <v>#N/A</v>
      </c>
      <c r="VJC31" t="e">
        <v>#N/A</v>
      </c>
      <c r="VJD31" t="e">
        <v>#N/A</v>
      </c>
      <c r="VJE31" t="e">
        <v>#N/A</v>
      </c>
      <c r="VJF31" t="e">
        <v>#N/A</v>
      </c>
      <c r="VJG31" t="e">
        <v>#N/A</v>
      </c>
      <c r="VJH31" t="e">
        <v>#N/A</v>
      </c>
      <c r="VJI31" t="e">
        <v>#N/A</v>
      </c>
      <c r="VJJ31" t="e">
        <v>#N/A</v>
      </c>
      <c r="VJK31" t="e">
        <v>#N/A</v>
      </c>
      <c r="VJL31" t="e">
        <v>#N/A</v>
      </c>
      <c r="VJM31" t="e">
        <v>#N/A</v>
      </c>
      <c r="VJN31" t="e">
        <v>#N/A</v>
      </c>
      <c r="VJO31" t="e">
        <v>#N/A</v>
      </c>
      <c r="VJP31" t="e">
        <v>#N/A</v>
      </c>
      <c r="VJQ31" t="e">
        <v>#N/A</v>
      </c>
      <c r="VJR31" t="e">
        <v>#N/A</v>
      </c>
      <c r="VJS31" t="e">
        <v>#N/A</v>
      </c>
      <c r="VJT31" t="e">
        <v>#N/A</v>
      </c>
      <c r="VJU31" t="e">
        <v>#N/A</v>
      </c>
      <c r="VJV31" t="e">
        <v>#N/A</v>
      </c>
      <c r="VJW31" t="e">
        <v>#N/A</v>
      </c>
      <c r="VJX31" t="e">
        <v>#N/A</v>
      </c>
      <c r="VJY31" t="e">
        <v>#N/A</v>
      </c>
      <c r="VJZ31" t="e">
        <v>#N/A</v>
      </c>
      <c r="VKA31" t="e">
        <v>#N/A</v>
      </c>
      <c r="VKB31" t="e">
        <v>#N/A</v>
      </c>
      <c r="VKC31" t="e">
        <v>#N/A</v>
      </c>
      <c r="VKD31" t="e">
        <v>#N/A</v>
      </c>
      <c r="VKE31" t="e">
        <v>#N/A</v>
      </c>
      <c r="VKF31" t="e">
        <v>#N/A</v>
      </c>
      <c r="VKG31" t="e">
        <v>#N/A</v>
      </c>
      <c r="VKH31" t="e">
        <v>#N/A</v>
      </c>
      <c r="VKI31" t="e">
        <v>#N/A</v>
      </c>
      <c r="VKJ31" t="e">
        <v>#N/A</v>
      </c>
      <c r="VKK31" t="e">
        <v>#N/A</v>
      </c>
      <c r="VKL31" t="e">
        <v>#N/A</v>
      </c>
      <c r="VKM31" t="e">
        <v>#N/A</v>
      </c>
      <c r="VKN31" t="e">
        <v>#N/A</v>
      </c>
      <c r="VKO31" t="e">
        <v>#N/A</v>
      </c>
      <c r="VKP31" t="e">
        <v>#N/A</v>
      </c>
      <c r="VKQ31" t="e">
        <v>#N/A</v>
      </c>
      <c r="VKR31" t="e">
        <v>#N/A</v>
      </c>
      <c r="VKS31" t="e">
        <v>#N/A</v>
      </c>
      <c r="VKT31" t="e">
        <v>#N/A</v>
      </c>
      <c r="VKU31" t="e">
        <v>#N/A</v>
      </c>
      <c r="VKV31" t="e">
        <v>#N/A</v>
      </c>
      <c r="VKW31" t="e">
        <v>#N/A</v>
      </c>
      <c r="VKX31" t="e">
        <v>#N/A</v>
      </c>
      <c r="VKY31" t="e">
        <v>#N/A</v>
      </c>
      <c r="VKZ31" t="e">
        <v>#N/A</v>
      </c>
      <c r="VLA31" t="e">
        <v>#N/A</v>
      </c>
      <c r="VLB31" t="e">
        <v>#N/A</v>
      </c>
      <c r="VLC31" t="e">
        <v>#N/A</v>
      </c>
      <c r="VLD31" t="e">
        <v>#N/A</v>
      </c>
      <c r="VLE31" t="e">
        <v>#N/A</v>
      </c>
      <c r="VLF31" t="e">
        <v>#N/A</v>
      </c>
      <c r="VLG31" t="e">
        <v>#N/A</v>
      </c>
      <c r="VLH31" t="e">
        <v>#N/A</v>
      </c>
      <c r="VLI31" t="e">
        <v>#N/A</v>
      </c>
      <c r="VLJ31" t="e">
        <v>#N/A</v>
      </c>
      <c r="VLK31" t="e">
        <v>#N/A</v>
      </c>
      <c r="VLL31" t="e">
        <v>#N/A</v>
      </c>
      <c r="VLM31" t="e">
        <v>#N/A</v>
      </c>
      <c r="VLN31" t="e">
        <v>#N/A</v>
      </c>
      <c r="VLO31" t="e">
        <v>#N/A</v>
      </c>
      <c r="VLP31" t="e">
        <v>#N/A</v>
      </c>
      <c r="VLQ31" t="e">
        <v>#N/A</v>
      </c>
      <c r="VLR31" t="e">
        <v>#N/A</v>
      </c>
      <c r="VLS31" t="e">
        <v>#N/A</v>
      </c>
      <c r="VLT31" t="e">
        <v>#N/A</v>
      </c>
      <c r="VLU31" t="e">
        <v>#N/A</v>
      </c>
      <c r="VLV31" t="e">
        <v>#N/A</v>
      </c>
      <c r="VLW31" t="e">
        <v>#N/A</v>
      </c>
      <c r="VLX31" t="e">
        <v>#N/A</v>
      </c>
      <c r="VLY31" t="e">
        <v>#N/A</v>
      </c>
      <c r="VLZ31" t="e">
        <v>#N/A</v>
      </c>
      <c r="VMA31" t="e">
        <v>#N/A</v>
      </c>
      <c r="VMB31" t="e">
        <v>#N/A</v>
      </c>
      <c r="VMC31" t="e">
        <v>#N/A</v>
      </c>
      <c r="VMD31" t="e">
        <v>#N/A</v>
      </c>
      <c r="VME31" t="e">
        <v>#N/A</v>
      </c>
      <c r="VMF31" t="e">
        <v>#N/A</v>
      </c>
      <c r="VMG31" t="e">
        <v>#N/A</v>
      </c>
      <c r="VMH31" t="e">
        <v>#N/A</v>
      </c>
      <c r="VMI31" t="e">
        <v>#N/A</v>
      </c>
      <c r="VMJ31" t="e">
        <v>#N/A</v>
      </c>
      <c r="VMK31" t="e">
        <v>#N/A</v>
      </c>
      <c r="VML31" t="e">
        <v>#N/A</v>
      </c>
      <c r="VMM31" t="e">
        <v>#N/A</v>
      </c>
      <c r="VMN31" t="e">
        <v>#N/A</v>
      </c>
      <c r="VMO31" t="e">
        <v>#N/A</v>
      </c>
      <c r="VMP31" t="e">
        <v>#N/A</v>
      </c>
      <c r="VMQ31" t="e">
        <v>#N/A</v>
      </c>
      <c r="VMR31" t="e">
        <v>#N/A</v>
      </c>
      <c r="VMS31" t="e">
        <v>#N/A</v>
      </c>
      <c r="VMT31" t="e">
        <v>#N/A</v>
      </c>
      <c r="VMU31" t="e">
        <v>#N/A</v>
      </c>
      <c r="VMV31" t="e">
        <v>#N/A</v>
      </c>
      <c r="VMW31" t="e">
        <v>#N/A</v>
      </c>
      <c r="VMX31" t="e">
        <v>#N/A</v>
      </c>
      <c r="VMY31" t="e">
        <v>#N/A</v>
      </c>
      <c r="VMZ31" t="e">
        <v>#N/A</v>
      </c>
      <c r="VNA31" t="e">
        <v>#N/A</v>
      </c>
      <c r="VNB31" t="e">
        <v>#N/A</v>
      </c>
      <c r="VNC31" t="e">
        <v>#N/A</v>
      </c>
      <c r="VND31" t="e">
        <v>#N/A</v>
      </c>
      <c r="VNE31" t="e">
        <v>#N/A</v>
      </c>
      <c r="VNF31" t="e">
        <v>#N/A</v>
      </c>
      <c r="VNG31" t="e">
        <v>#N/A</v>
      </c>
      <c r="VNH31" t="e">
        <v>#N/A</v>
      </c>
      <c r="VNI31" t="e">
        <v>#N/A</v>
      </c>
      <c r="VNJ31" t="e">
        <v>#N/A</v>
      </c>
      <c r="VNK31" t="e">
        <v>#N/A</v>
      </c>
      <c r="VNL31" t="e">
        <v>#N/A</v>
      </c>
      <c r="VNM31" t="e">
        <v>#N/A</v>
      </c>
      <c r="VNN31" t="e">
        <v>#N/A</v>
      </c>
      <c r="VNO31" t="e">
        <v>#N/A</v>
      </c>
      <c r="VNP31" t="e">
        <v>#N/A</v>
      </c>
      <c r="VNQ31" t="e">
        <v>#N/A</v>
      </c>
      <c r="VNR31" t="e">
        <v>#N/A</v>
      </c>
      <c r="VNS31" t="e">
        <v>#N/A</v>
      </c>
      <c r="VNT31" t="e">
        <v>#N/A</v>
      </c>
      <c r="VNU31" t="e">
        <v>#N/A</v>
      </c>
      <c r="VNV31" t="e">
        <v>#N/A</v>
      </c>
      <c r="VNW31" t="e">
        <v>#N/A</v>
      </c>
      <c r="VNX31" t="e">
        <v>#N/A</v>
      </c>
      <c r="VNY31" t="e">
        <v>#N/A</v>
      </c>
      <c r="VNZ31" t="e">
        <v>#N/A</v>
      </c>
      <c r="VOA31" t="e">
        <v>#N/A</v>
      </c>
      <c r="VOB31" t="e">
        <v>#N/A</v>
      </c>
      <c r="VOC31" t="e">
        <v>#N/A</v>
      </c>
      <c r="VOD31" t="e">
        <v>#N/A</v>
      </c>
      <c r="VOE31" t="e">
        <v>#N/A</v>
      </c>
      <c r="VOF31" t="e">
        <v>#N/A</v>
      </c>
      <c r="VOG31" t="e">
        <v>#N/A</v>
      </c>
      <c r="VOH31" t="e">
        <v>#N/A</v>
      </c>
      <c r="VOI31" t="e">
        <v>#N/A</v>
      </c>
      <c r="VOJ31" t="e">
        <v>#N/A</v>
      </c>
      <c r="VOK31" t="e">
        <v>#N/A</v>
      </c>
      <c r="VOL31" t="e">
        <v>#N/A</v>
      </c>
      <c r="VOM31" t="e">
        <v>#N/A</v>
      </c>
      <c r="VON31" t="e">
        <v>#N/A</v>
      </c>
      <c r="VOO31" t="e">
        <v>#N/A</v>
      </c>
      <c r="VOP31" t="e">
        <v>#N/A</v>
      </c>
      <c r="VOQ31" t="e">
        <v>#N/A</v>
      </c>
      <c r="VOR31" t="e">
        <v>#N/A</v>
      </c>
      <c r="VOS31" t="e">
        <v>#N/A</v>
      </c>
      <c r="VOT31" t="e">
        <v>#N/A</v>
      </c>
      <c r="VOU31" t="e">
        <v>#N/A</v>
      </c>
      <c r="VOV31" t="e">
        <v>#N/A</v>
      </c>
      <c r="VOW31" t="e">
        <v>#N/A</v>
      </c>
      <c r="VOX31" t="e">
        <v>#N/A</v>
      </c>
      <c r="VOY31" t="e">
        <v>#N/A</v>
      </c>
      <c r="VOZ31" t="e">
        <v>#N/A</v>
      </c>
      <c r="VPA31" t="e">
        <v>#N/A</v>
      </c>
      <c r="VPB31" t="e">
        <v>#N/A</v>
      </c>
      <c r="VPC31" t="e">
        <v>#N/A</v>
      </c>
      <c r="VPD31" t="e">
        <v>#N/A</v>
      </c>
      <c r="VPE31" t="e">
        <v>#N/A</v>
      </c>
      <c r="VPF31" t="e">
        <v>#N/A</v>
      </c>
      <c r="VPG31" t="e">
        <v>#N/A</v>
      </c>
      <c r="VPH31" t="e">
        <v>#N/A</v>
      </c>
      <c r="VPI31" t="e">
        <v>#N/A</v>
      </c>
      <c r="VPJ31" t="e">
        <v>#N/A</v>
      </c>
      <c r="VPK31" t="e">
        <v>#N/A</v>
      </c>
      <c r="VPL31" t="e">
        <v>#N/A</v>
      </c>
      <c r="VPM31" t="e">
        <v>#N/A</v>
      </c>
      <c r="VPN31" t="e">
        <v>#N/A</v>
      </c>
      <c r="VPO31" t="e">
        <v>#N/A</v>
      </c>
      <c r="VPP31" t="e">
        <v>#N/A</v>
      </c>
      <c r="VPQ31" t="e">
        <v>#N/A</v>
      </c>
      <c r="VPR31" t="e">
        <v>#N/A</v>
      </c>
      <c r="VPS31" t="e">
        <v>#N/A</v>
      </c>
      <c r="VPT31" t="e">
        <v>#N/A</v>
      </c>
      <c r="VPU31" t="e">
        <v>#N/A</v>
      </c>
      <c r="VPV31" t="e">
        <v>#N/A</v>
      </c>
      <c r="VPW31" t="e">
        <v>#N/A</v>
      </c>
      <c r="VPX31" t="e">
        <v>#N/A</v>
      </c>
      <c r="VPY31" t="e">
        <v>#N/A</v>
      </c>
      <c r="VPZ31" t="e">
        <v>#N/A</v>
      </c>
      <c r="VQA31" t="e">
        <v>#N/A</v>
      </c>
      <c r="VQB31" t="e">
        <v>#N/A</v>
      </c>
      <c r="VQC31" t="e">
        <v>#N/A</v>
      </c>
      <c r="VQD31" t="e">
        <v>#N/A</v>
      </c>
      <c r="VQE31" t="e">
        <v>#N/A</v>
      </c>
      <c r="VQF31" t="e">
        <v>#N/A</v>
      </c>
      <c r="VQG31" t="e">
        <v>#N/A</v>
      </c>
      <c r="VQH31" t="e">
        <v>#N/A</v>
      </c>
      <c r="VQI31" t="e">
        <v>#N/A</v>
      </c>
      <c r="VQJ31" t="e">
        <v>#N/A</v>
      </c>
      <c r="VQK31" t="e">
        <v>#N/A</v>
      </c>
      <c r="VQL31" t="e">
        <v>#N/A</v>
      </c>
      <c r="VQM31" t="e">
        <v>#N/A</v>
      </c>
      <c r="VQN31" t="e">
        <v>#N/A</v>
      </c>
      <c r="VQO31" t="e">
        <v>#N/A</v>
      </c>
      <c r="VQP31" t="e">
        <v>#N/A</v>
      </c>
      <c r="VQQ31" t="e">
        <v>#N/A</v>
      </c>
      <c r="VQR31" t="e">
        <v>#N/A</v>
      </c>
      <c r="VQS31" t="e">
        <v>#N/A</v>
      </c>
      <c r="VQT31" t="e">
        <v>#N/A</v>
      </c>
      <c r="VQU31" t="e">
        <v>#N/A</v>
      </c>
      <c r="VQV31" t="e">
        <v>#N/A</v>
      </c>
      <c r="VQW31" t="e">
        <v>#N/A</v>
      </c>
      <c r="VQX31" t="e">
        <v>#N/A</v>
      </c>
      <c r="VQY31" t="e">
        <v>#N/A</v>
      </c>
      <c r="VQZ31" t="e">
        <v>#N/A</v>
      </c>
      <c r="VRA31" t="e">
        <v>#N/A</v>
      </c>
      <c r="VRB31" t="e">
        <v>#N/A</v>
      </c>
      <c r="VRC31" t="e">
        <v>#N/A</v>
      </c>
      <c r="VRD31" t="e">
        <v>#N/A</v>
      </c>
      <c r="VRE31" t="e">
        <v>#N/A</v>
      </c>
      <c r="VRF31" t="e">
        <v>#N/A</v>
      </c>
      <c r="VRG31" t="e">
        <v>#N/A</v>
      </c>
      <c r="VRH31" t="e">
        <v>#N/A</v>
      </c>
      <c r="VRI31" t="e">
        <v>#N/A</v>
      </c>
      <c r="VRJ31" t="e">
        <v>#N/A</v>
      </c>
      <c r="VRK31" t="e">
        <v>#N/A</v>
      </c>
      <c r="VRL31" t="e">
        <v>#N/A</v>
      </c>
      <c r="VRM31" t="e">
        <v>#N/A</v>
      </c>
      <c r="VRN31" t="e">
        <v>#N/A</v>
      </c>
      <c r="VRO31" t="e">
        <v>#N/A</v>
      </c>
      <c r="VRP31" t="e">
        <v>#N/A</v>
      </c>
      <c r="VRQ31" t="e">
        <v>#N/A</v>
      </c>
      <c r="VRR31" t="e">
        <v>#N/A</v>
      </c>
      <c r="VRS31" t="e">
        <v>#N/A</v>
      </c>
      <c r="VRT31" t="e">
        <v>#N/A</v>
      </c>
      <c r="VRU31" t="e">
        <v>#N/A</v>
      </c>
      <c r="VRV31" t="e">
        <v>#N/A</v>
      </c>
      <c r="VRW31" t="e">
        <v>#N/A</v>
      </c>
      <c r="VRX31" t="e">
        <v>#N/A</v>
      </c>
      <c r="VRY31" t="e">
        <v>#N/A</v>
      </c>
      <c r="VRZ31" t="e">
        <v>#N/A</v>
      </c>
      <c r="VSA31" t="e">
        <v>#N/A</v>
      </c>
      <c r="VSB31" t="e">
        <v>#N/A</v>
      </c>
      <c r="VSC31" t="e">
        <v>#N/A</v>
      </c>
      <c r="VSD31" t="e">
        <v>#N/A</v>
      </c>
      <c r="VSE31" t="e">
        <v>#N/A</v>
      </c>
      <c r="VSF31" t="e">
        <v>#N/A</v>
      </c>
      <c r="VSG31" t="e">
        <v>#N/A</v>
      </c>
      <c r="VSH31" t="e">
        <v>#N/A</v>
      </c>
      <c r="VSI31" t="e">
        <v>#N/A</v>
      </c>
      <c r="VSJ31" t="e">
        <v>#N/A</v>
      </c>
      <c r="VSK31" t="e">
        <v>#N/A</v>
      </c>
      <c r="VSL31" t="e">
        <v>#N/A</v>
      </c>
      <c r="VSM31" t="e">
        <v>#N/A</v>
      </c>
      <c r="VSN31" t="e">
        <v>#N/A</v>
      </c>
      <c r="VSO31" t="e">
        <v>#N/A</v>
      </c>
      <c r="VSP31" t="e">
        <v>#N/A</v>
      </c>
      <c r="VSQ31" t="e">
        <v>#N/A</v>
      </c>
      <c r="VSR31" t="e">
        <v>#N/A</v>
      </c>
      <c r="VSS31" t="e">
        <v>#N/A</v>
      </c>
      <c r="VST31" t="e">
        <v>#N/A</v>
      </c>
      <c r="VSU31" t="e">
        <v>#N/A</v>
      </c>
      <c r="VSV31" t="e">
        <v>#N/A</v>
      </c>
      <c r="VSW31" t="e">
        <v>#N/A</v>
      </c>
      <c r="VSX31" t="e">
        <v>#N/A</v>
      </c>
      <c r="VSY31" t="e">
        <v>#N/A</v>
      </c>
      <c r="VSZ31" t="e">
        <v>#N/A</v>
      </c>
      <c r="VTA31" t="e">
        <v>#N/A</v>
      </c>
      <c r="VTB31" t="e">
        <v>#N/A</v>
      </c>
      <c r="VTC31" t="e">
        <v>#N/A</v>
      </c>
      <c r="VTD31" t="e">
        <v>#N/A</v>
      </c>
      <c r="VTE31" t="e">
        <v>#N/A</v>
      </c>
      <c r="VTF31" t="e">
        <v>#N/A</v>
      </c>
      <c r="VTG31" t="e">
        <v>#N/A</v>
      </c>
      <c r="VTH31" t="e">
        <v>#N/A</v>
      </c>
      <c r="VTI31" t="e">
        <v>#N/A</v>
      </c>
      <c r="VTJ31" t="e">
        <v>#N/A</v>
      </c>
      <c r="VTK31" t="e">
        <v>#N/A</v>
      </c>
      <c r="VTL31" t="e">
        <v>#N/A</v>
      </c>
      <c r="VTM31" t="e">
        <v>#N/A</v>
      </c>
      <c r="VTN31" t="e">
        <v>#N/A</v>
      </c>
      <c r="VTO31" t="e">
        <v>#N/A</v>
      </c>
      <c r="VTP31" t="e">
        <v>#N/A</v>
      </c>
      <c r="VTQ31" t="e">
        <v>#N/A</v>
      </c>
      <c r="VTR31" t="e">
        <v>#N/A</v>
      </c>
      <c r="VTS31" t="e">
        <v>#N/A</v>
      </c>
      <c r="VTT31" t="e">
        <v>#N/A</v>
      </c>
      <c r="VTU31" t="e">
        <v>#N/A</v>
      </c>
      <c r="VTV31" t="e">
        <v>#N/A</v>
      </c>
      <c r="VTW31" t="e">
        <v>#N/A</v>
      </c>
      <c r="VTX31" t="e">
        <v>#N/A</v>
      </c>
      <c r="VTY31" t="e">
        <v>#N/A</v>
      </c>
      <c r="VTZ31" t="e">
        <v>#N/A</v>
      </c>
      <c r="VUA31" t="e">
        <v>#N/A</v>
      </c>
      <c r="VUB31" t="e">
        <v>#N/A</v>
      </c>
      <c r="VUC31" t="e">
        <v>#N/A</v>
      </c>
      <c r="VUD31" t="e">
        <v>#N/A</v>
      </c>
      <c r="VUE31" t="e">
        <v>#N/A</v>
      </c>
      <c r="VUF31" t="e">
        <v>#N/A</v>
      </c>
      <c r="VUG31" t="e">
        <v>#N/A</v>
      </c>
      <c r="VUH31" t="e">
        <v>#N/A</v>
      </c>
      <c r="VUI31" t="e">
        <v>#N/A</v>
      </c>
      <c r="VUJ31" t="e">
        <v>#N/A</v>
      </c>
      <c r="VUK31" t="e">
        <v>#N/A</v>
      </c>
      <c r="VUL31" t="e">
        <v>#N/A</v>
      </c>
      <c r="VUM31" t="e">
        <v>#N/A</v>
      </c>
      <c r="VUN31" t="e">
        <v>#N/A</v>
      </c>
      <c r="VUO31" t="e">
        <v>#N/A</v>
      </c>
      <c r="VUP31" t="e">
        <v>#N/A</v>
      </c>
      <c r="VUQ31" t="e">
        <v>#N/A</v>
      </c>
      <c r="VUR31" t="e">
        <v>#N/A</v>
      </c>
      <c r="VUS31" t="e">
        <v>#N/A</v>
      </c>
      <c r="VUT31" t="e">
        <v>#N/A</v>
      </c>
      <c r="VUU31" t="e">
        <v>#N/A</v>
      </c>
      <c r="VUV31" t="e">
        <v>#N/A</v>
      </c>
      <c r="VUW31" t="e">
        <v>#N/A</v>
      </c>
      <c r="VUX31" t="e">
        <v>#N/A</v>
      </c>
      <c r="VUY31" t="e">
        <v>#N/A</v>
      </c>
      <c r="VUZ31" t="e">
        <v>#N/A</v>
      </c>
      <c r="VVA31" t="e">
        <v>#N/A</v>
      </c>
      <c r="VVB31" t="e">
        <v>#N/A</v>
      </c>
      <c r="VVC31" t="e">
        <v>#N/A</v>
      </c>
      <c r="VVD31" t="e">
        <v>#N/A</v>
      </c>
      <c r="VVE31" t="e">
        <v>#N/A</v>
      </c>
      <c r="VVF31" t="e">
        <v>#N/A</v>
      </c>
      <c r="VVG31" t="e">
        <v>#N/A</v>
      </c>
      <c r="VVH31" t="e">
        <v>#N/A</v>
      </c>
      <c r="VVI31" t="e">
        <v>#N/A</v>
      </c>
      <c r="VVJ31" t="e">
        <v>#N/A</v>
      </c>
      <c r="VVK31" t="e">
        <v>#N/A</v>
      </c>
      <c r="VVL31" t="e">
        <v>#N/A</v>
      </c>
      <c r="VVM31" t="e">
        <v>#N/A</v>
      </c>
      <c r="VVN31" t="e">
        <v>#N/A</v>
      </c>
      <c r="VVO31" t="e">
        <v>#N/A</v>
      </c>
      <c r="VVP31" t="e">
        <v>#N/A</v>
      </c>
      <c r="VVQ31" t="e">
        <v>#N/A</v>
      </c>
      <c r="VVR31" t="e">
        <v>#N/A</v>
      </c>
      <c r="VVS31" t="e">
        <v>#N/A</v>
      </c>
      <c r="VVT31" t="e">
        <v>#N/A</v>
      </c>
      <c r="VVU31" t="e">
        <v>#N/A</v>
      </c>
      <c r="VVV31" t="e">
        <v>#N/A</v>
      </c>
      <c r="VVW31" t="e">
        <v>#N/A</v>
      </c>
      <c r="VVX31" t="e">
        <v>#N/A</v>
      </c>
      <c r="VVY31" t="e">
        <v>#N/A</v>
      </c>
      <c r="VVZ31" t="e">
        <v>#N/A</v>
      </c>
      <c r="VWA31" t="e">
        <v>#N/A</v>
      </c>
      <c r="VWB31" t="e">
        <v>#N/A</v>
      </c>
      <c r="VWC31" t="e">
        <v>#N/A</v>
      </c>
      <c r="VWD31" t="e">
        <v>#N/A</v>
      </c>
      <c r="VWE31" t="e">
        <v>#N/A</v>
      </c>
      <c r="VWF31" t="e">
        <v>#N/A</v>
      </c>
      <c r="VWG31" t="e">
        <v>#N/A</v>
      </c>
      <c r="VWH31" t="e">
        <v>#N/A</v>
      </c>
      <c r="VWI31" t="e">
        <v>#N/A</v>
      </c>
      <c r="VWJ31" t="e">
        <v>#N/A</v>
      </c>
      <c r="VWK31" t="e">
        <v>#N/A</v>
      </c>
      <c r="VWL31" t="e">
        <v>#N/A</v>
      </c>
      <c r="VWM31" t="e">
        <v>#N/A</v>
      </c>
      <c r="VWN31" t="e">
        <v>#N/A</v>
      </c>
      <c r="VWO31" t="e">
        <v>#N/A</v>
      </c>
      <c r="VWP31" t="e">
        <v>#N/A</v>
      </c>
      <c r="VWQ31" t="e">
        <v>#N/A</v>
      </c>
      <c r="VWR31" t="e">
        <v>#N/A</v>
      </c>
      <c r="VWS31" t="e">
        <v>#N/A</v>
      </c>
      <c r="VWT31" t="e">
        <v>#N/A</v>
      </c>
      <c r="VWU31" t="e">
        <v>#N/A</v>
      </c>
      <c r="VWV31" t="e">
        <v>#N/A</v>
      </c>
      <c r="VWW31" t="e">
        <v>#N/A</v>
      </c>
      <c r="VWX31" t="e">
        <v>#N/A</v>
      </c>
      <c r="VWY31" t="e">
        <v>#N/A</v>
      </c>
      <c r="VWZ31" t="e">
        <v>#N/A</v>
      </c>
      <c r="VXA31" t="e">
        <v>#N/A</v>
      </c>
      <c r="VXB31" t="e">
        <v>#N/A</v>
      </c>
      <c r="VXC31" t="e">
        <v>#N/A</v>
      </c>
      <c r="VXD31" t="e">
        <v>#N/A</v>
      </c>
      <c r="VXE31" t="e">
        <v>#N/A</v>
      </c>
      <c r="VXF31" t="e">
        <v>#N/A</v>
      </c>
      <c r="VXG31" t="e">
        <v>#N/A</v>
      </c>
      <c r="VXH31" t="e">
        <v>#N/A</v>
      </c>
      <c r="VXI31" t="e">
        <v>#N/A</v>
      </c>
      <c r="VXJ31" t="e">
        <v>#N/A</v>
      </c>
      <c r="VXK31" t="e">
        <v>#N/A</v>
      </c>
      <c r="VXL31" t="e">
        <v>#N/A</v>
      </c>
      <c r="VXM31" t="e">
        <v>#N/A</v>
      </c>
      <c r="VXN31" t="e">
        <v>#N/A</v>
      </c>
      <c r="VXO31" t="e">
        <v>#N/A</v>
      </c>
      <c r="VXP31" t="e">
        <v>#N/A</v>
      </c>
      <c r="VXQ31" t="e">
        <v>#N/A</v>
      </c>
      <c r="VXR31" t="e">
        <v>#N/A</v>
      </c>
      <c r="VXS31" t="e">
        <v>#N/A</v>
      </c>
      <c r="VXT31" t="e">
        <v>#N/A</v>
      </c>
      <c r="VXU31" t="e">
        <v>#N/A</v>
      </c>
      <c r="VXV31" t="e">
        <v>#N/A</v>
      </c>
      <c r="VXW31" t="e">
        <v>#N/A</v>
      </c>
      <c r="VXX31" t="e">
        <v>#N/A</v>
      </c>
      <c r="VXY31" t="e">
        <v>#N/A</v>
      </c>
      <c r="VXZ31" t="e">
        <v>#N/A</v>
      </c>
      <c r="VYA31" t="e">
        <v>#N/A</v>
      </c>
      <c r="VYB31" t="e">
        <v>#N/A</v>
      </c>
      <c r="VYC31" t="e">
        <v>#N/A</v>
      </c>
      <c r="VYD31" t="e">
        <v>#N/A</v>
      </c>
      <c r="VYE31" t="e">
        <v>#N/A</v>
      </c>
      <c r="VYF31" t="e">
        <v>#N/A</v>
      </c>
      <c r="VYG31" t="e">
        <v>#N/A</v>
      </c>
      <c r="VYH31" t="e">
        <v>#N/A</v>
      </c>
      <c r="VYI31" t="e">
        <v>#N/A</v>
      </c>
      <c r="VYJ31" t="e">
        <v>#N/A</v>
      </c>
      <c r="VYK31" t="e">
        <v>#N/A</v>
      </c>
      <c r="VYL31" t="e">
        <v>#N/A</v>
      </c>
      <c r="VYM31" t="e">
        <v>#N/A</v>
      </c>
      <c r="VYN31" t="e">
        <v>#N/A</v>
      </c>
      <c r="VYO31" t="e">
        <v>#N/A</v>
      </c>
      <c r="VYP31" t="e">
        <v>#N/A</v>
      </c>
      <c r="VYQ31" t="e">
        <v>#N/A</v>
      </c>
      <c r="VYR31" t="e">
        <v>#N/A</v>
      </c>
      <c r="VYS31" t="e">
        <v>#N/A</v>
      </c>
      <c r="VYT31" t="e">
        <v>#N/A</v>
      </c>
      <c r="VYU31" t="e">
        <v>#N/A</v>
      </c>
      <c r="VYV31" t="e">
        <v>#N/A</v>
      </c>
      <c r="VYW31" t="e">
        <v>#N/A</v>
      </c>
      <c r="VYX31" t="e">
        <v>#N/A</v>
      </c>
      <c r="VYY31" t="e">
        <v>#N/A</v>
      </c>
      <c r="VYZ31" t="e">
        <v>#N/A</v>
      </c>
      <c r="VZA31" t="e">
        <v>#N/A</v>
      </c>
      <c r="VZB31" t="e">
        <v>#N/A</v>
      </c>
      <c r="VZC31" t="e">
        <v>#N/A</v>
      </c>
      <c r="VZD31" t="e">
        <v>#N/A</v>
      </c>
      <c r="VZE31" t="e">
        <v>#N/A</v>
      </c>
      <c r="VZF31" t="e">
        <v>#N/A</v>
      </c>
      <c r="VZG31" t="e">
        <v>#N/A</v>
      </c>
      <c r="VZH31" t="e">
        <v>#N/A</v>
      </c>
      <c r="VZI31" t="e">
        <v>#N/A</v>
      </c>
      <c r="VZJ31" t="e">
        <v>#N/A</v>
      </c>
      <c r="VZK31" t="e">
        <v>#N/A</v>
      </c>
      <c r="VZL31" t="e">
        <v>#N/A</v>
      </c>
      <c r="VZM31" t="e">
        <v>#N/A</v>
      </c>
      <c r="VZN31" t="e">
        <v>#N/A</v>
      </c>
      <c r="VZO31" t="e">
        <v>#N/A</v>
      </c>
      <c r="VZP31" t="e">
        <v>#N/A</v>
      </c>
      <c r="VZQ31" t="e">
        <v>#N/A</v>
      </c>
      <c r="VZR31" t="e">
        <v>#N/A</v>
      </c>
      <c r="VZS31" t="e">
        <v>#N/A</v>
      </c>
      <c r="VZT31" t="e">
        <v>#N/A</v>
      </c>
      <c r="VZU31" t="e">
        <v>#N/A</v>
      </c>
      <c r="VZV31" t="e">
        <v>#N/A</v>
      </c>
      <c r="VZW31" t="e">
        <v>#N/A</v>
      </c>
      <c r="VZX31" t="e">
        <v>#N/A</v>
      </c>
      <c r="VZY31" t="e">
        <v>#N/A</v>
      </c>
      <c r="VZZ31" t="e">
        <v>#N/A</v>
      </c>
      <c r="WAA31" t="e">
        <v>#N/A</v>
      </c>
      <c r="WAB31" t="e">
        <v>#N/A</v>
      </c>
      <c r="WAC31" t="e">
        <v>#N/A</v>
      </c>
      <c r="WAD31" t="e">
        <v>#N/A</v>
      </c>
      <c r="WAE31" t="e">
        <v>#N/A</v>
      </c>
      <c r="WAF31" t="e">
        <v>#N/A</v>
      </c>
      <c r="WAG31" t="e">
        <v>#N/A</v>
      </c>
      <c r="WAH31" t="e">
        <v>#N/A</v>
      </c>
      <c r="WAI31" t="e">
        <v>#N/A</v>
      </c>
      <c r="WAJ31" t="e">
        <v>#N/A</v>
      </c>
      <c r="WAK31" t="e">
        <v>#N/A</v>
      </c>
      <c r="WAL31" t="e">
        <v>#N/A</v>
      </c>
      <c r="WAM31" t="e">
        <v>#N/A</v>
      </c>
      <c r="WAN31" t="e">
        <v>#N/A</v>
      </c>
      <c r="WAO31" t="e">
        <v>#N/A</v>
      </c>
      <c r="WAP31" t="e">
        <v>#N/A</v>
      </c>
      <c r="WAQ31" t="e">
        <v>#N/A</v>
      </c>
      <c r="WAR31" t="e">
        <v>#N/A</v>
      </c>
      <c r="WAS31" t="e">
        <v>#N/A</v>
      </c>
      <c r="WAT31" t="e">
        <v>#N/A</v>
      </c>
      <c r="WAU31" t="e">
        <v>#N/A</v>
      </c>
      <c r="WAV31" t="e">
        <v>#N/A</v>
      </c>
      <c r="WAW31" t="e">
        <v>#N/A</v>
      </c>
      <c r="WAX31" t="e">
        <v>#N/A</v>
      </c>
      <c r="WAY31" t="e">
        <v>#N/A</v>
      </c>
      <c r="WAZ31" t="e">
        <v>#N/A</v>
      </c>
      <c r="WBA31" t="e">
        <v>#N/A</v>
      </c>
      <c r="WBB31" t="e">
        <v>#N/A</v>
      </c>
      <c r="WBC31" t="e">
        <v>#N/A</v>
      </c>
      <c r="WBD31" t="e">
        <v>#N/A</v>
      </c>
      <c r="WBE31" t="e">
        <v>#N/A</v>
      </c>
      <c r="WBF31" t="e">
        <v>#N/A</v>
      </c>
      <c r="WBG31" t="e">
        <v>#N/A</v>
      </c>
      <c r="WBH31" t="e">
        <v>#N/A</v>
      </c>
      <c r="WBI31" t="e">
        <v>#N/A</v>
      </c>
      <c r="WBJ31" t="e">
        <v>#N/A</v>
      </c>
      <c r="WBK31" t="e">
        <v>#N/A</v>
      </c>
      <c r="WBL31" t="e">
        <v>#N/A</v>
      </c>
      <c r="WBM31" t="e">
        <v>#N/A</v>
      </c>
      <c r="WBN31" t="e">
        <v>#N/A</v>
      </c>
      <c r="WBO31" t="e">
        <v>#N/A</v>
      </c>
      <c r="WBP31" t="e">
        <v>#N/A</v>
      </c>
      <c r="WBQ31" t="e">
        <v>#N/A</v>
      </c>
      <c r="WBR31" t="e">
        <v>#N/A</v>
      </c>
      <c r="WBS31" t="e">
        <v>#N/A</v>
      </c>
      <c r="WBT31" t="e">
        <v>#N/A</v>
      </c>
      <c r="WBU31" t="e">
        <v>#N/A</v>
      </c>
      <c r="WBV31" t="e">
        <v>#N/A</v>
      </c>
      <c r="WBW31" t="e">
        <v>#N/A</v>
      </c>
      <c r="WBX31" t="e">
        <v>#N/A</v>
      </c>
      <c r="WBY31" t="e">
        <v>#N/A</v>
      </c>
      <c r="WBZ31" t="e">
        <v>#N/A</v>
      </c>
      <c r="WCA31" t="e">
        <v>#N/A</v>
      </c>
      <c r="WCB31" t="e">
        <v>#N/A</v>
      </c>
      <c r="WCC31" t="e">
        <v>#N/A</v>
      </c>
      <c r="WCD31" t="e">
        <v>#N/A</v>
      </c>
      <c r="WCE31" t="e">
        <v>#N/A</v>
      </c>
      <c r="WCF31" t="e">
        <v>#N/A</v>
      </c>
      <c r="WCG31" t="e">
        <v>#N/A</v>
      </c>
      <c r="WCH31" t="e">
        <v>#N/A</v>
      </c>
      <c r="WCI31" t="e">
        <v>#N/A</v>
      </c>
      <c r="WCJ31" t="e">
        <v>#N/A</v>
      </c>
      <c r="WCK31" t="e">
        <v>#N/A</v>
      </c>
      <c r="WCL31" t="e">
        <v>#N/A</v>
      </c>
      <c r="WCM31" t="e">
        <v>#N/A</v>
      </c>
      <c r="WCN31" t="e">
        <v>#N/A</v>
      </c>
      <c r="WCO31" t="e">
        <v>#N/A</v>
      </c>
      <c r="WCP31" t="e">
        <v>#N/A</v>
      </c>
      <c r="WCQ31" t="e">
        <v>#N/A</v>
      </c>
      <c r="WCR31" t="e">
        <v>#N/A</v>
      </c>
      <c r="WCS31" t="e">
        <v>#N/A</v>
      </c>
      <c r="WCT31" t="e">
        <v>#N/A</v>
      </c>
      <c r="WCU31" t="e">
        <v>#N/A</v>
      </c>
      <c r="WCV31" t="e">
        <v>#N/A</v>
      </c>
      <c r="WCW31" t="e">
        <v>#N/A</v>
      </c>
      <c r="WCX31" t="e">
        <v>#N/A</v>
      </c>
      <c r="WCY31" t="e">
        <v>#N/A</v>
      </c>
      <c r="WCZ31" t="e">
        <v>#N/A</v>
      </c>
      <c r="WDA31" t="e">
        <v>#N/A</v>
      </c>
      <c r="WDB31" t="e">
        <v>#N/A</v>
      </c>
      <c r="WDC31" t="e">
        <v>#N/A</v>
      </c>
      <c r="WDD31" t="e">
        <v>#N/A</v>
      </c>
      <c r="WDE31" t="e">
        <v>#N/A</v>
      </c>
      <c r="WDF31" t="e">
        <v>#N/A</v>
      </c>
      <c r="WDG31" t="e">
        <v>#N/A</v>
      </c>
      <c r="WDH31" t="e">
        <v>#N/A</v>
      </c>
      <c r="WDI31" t="e">
        <v>#N/A</v>
      </c>
      <c r="WDJ31" t="e">
        <v>#N/A</v>
      </c>
      <c r="WDK31" t="e">
        <v>#N/A</v>
      </c>
      <c r="WDL31" t="e">
        <v>#N/A</v>
      </c>
      <c r="WDM31" t="e">
        <v>#N/A</v>
      </c>
      <c r="WDN31" t="e">
        <v>#N/A</v>
      </c>
      <c r="WDO31" t="e">
        <v>#N/A</v>
      </c>
      <c r="WDP31" t="e">
        <v>#N/A</v>
      </c>
      <c r="WDQ31" t="e">
        <v>#N/A</v>
      </c>
      <c r="WDR31" t="e">
        <v>#N/A</v>
      </c>
      <c r="WDS31" t="e">
        <v>#N/A</v>
      </c>
      <c r="WDT31" t="e">
        <v>#N/A</v>
      </c>
      <c r="WDU31" t="e">
        <v>#N/A</v>
      </c>
      <c r="WDV31" t="e">
        <v>#N/A</v>
      </c>
      <c r="WDW31" t="e">
        <v>#N/A</v>
      </c>
      <c r="WDX31" t="e">
        <v>#N/A</v>
      </c>
      <c r="WDY31" t="e">
        <v>#N/A</v>
      </c>
      <c r="WDZ31" t="e">
        <v>#N/A</v>
      </c>
      <c r="WEA31" t="e">
        <v>#N/A</v>
      </c>
      <c r="WEB31" t="e">
        <v>#N/A</v>
      </c>
      <c r="WEC31" t="e">
        <v>#N/A</v>
      </c>
      <c r="WED31" t="e">
        <v>#N/A</v>
      </c>
      <c r="WEE31" t="e">
        <v>#N/A</v>
      </c>
      <c r="WEF31" t="e">
        <v>#N/A</v>
      </c>
      <c r="WEG31" t="e">
        <v>#N/A</v>
      </c>
      <c r="WEH31" t="e">
        <v>#N/A</v>
      </c>
      <c r="WEI31" t="e">
        <v>#N/A</v>
      </c>
      <c r="WEJ31" t="e">
        <v>#N/A</v>
      </c>
      <c r="WEK31" t="e">
        <v>#N/A</v>
      </c>
      <c r="WEL31" t="e">
        <v>#N/A</v>
      </c>
      <c r="WEM31" t="e">
        <v>#N/A</v>
      </c>
      <c r="WEN31" t="e">
        <v>#N/A</v>
      </c>
      <c r="WEO31" t="e">
        <v>#N/A</v>
      </c>
      <c r="WEP31" t="e">
        <v>#N/A</v>
      </c>
      <c r="WEQ31" t="e">
        <v>#N/A</v>
      </c>
      <c r="WER31" t="e">
        <v>#N/A</v>
      </c>
      <c r="WES31" t="e">
        <v>#N/A</v>
      </c>
      <c r="WET31" t="e">
        <v>#N/A</v>
      </c>
      <c r="WEU31" t="e">
        <v>#N/A</v>
      </c>
      <c r="WEV31" t="e">
        <v>#N/A</v>
      </c>
      <c r="WEW31" t="e">
        <v>#N/A</v>
      </c>
      <c r="WEX31" t="e">
        <v>#N/A</v>
      </c>
      <c r="WEY31" t="e">
        <v>#N/A</v>
      </c>
      <c r="WEZ31" t="e">
        <v>#N/A</v>
      </c>
      <c r="WFA31" t="e">
        <v>#N/A</v>
      </c>
      <c r="WFB31" t="e">
        <v>#N/A</v>
      </c>
      <c r="WFC31" t="e">
        <v>#N/A</v>
      </c>
      <c r="WFD31" t="e">
        <v>#N/A</v>
      </c>
      <c r="WFE31" t="e">
        <v>#N/A</v>
      </c>
      <c r="WFF31" t="e">
        <v>#N/A</v>
      </c>
      <c r="WFG31" t="e">
        <v>#N/A</v>
      </c>
      <c r="WFH31" t="e">
        <v>#N/A</v>
      </c>
      <c r="WFI31" t="e">
        <v>#N/A</v>
      </c>
      <c r="WFJ31" t="e">
        <v>#N/A</v>
      </c>
      <c r="WFK31" t="e">
        <v>#N/A</v>
      </c>
      <c r="WFL31" t="e">
        <v>#N/A</v>
      </c>
      <c r="WFM31" t="e">
        <v>#N/A</v>
      </c>
      <c r="WFN31" t="e">
        <v>#N/A</v>
      </c>
      <c r="WFO31" t="e">
        <v>#N/A</v>
      </c>
      <c r="WFP31" t="e">
        <v>#N/A</v>
      </c>
      <c r="WFQ31" t="e">
        <v>#N/A</v>
      </c>
      <c r="WFR31" t="e">
        <v>#N/A</v>
      </c>
      <c r="WFS31" t="e">
        <v>#N/A</v>
      </c>
      <c r="WFT31" t="e">
        <v>#N/A</v>
      </c>
      <c r="WFU31" t="e">
        <v>#N/A</v>
      </c>
      <c r="WFV31" t="e">
        <v>#N/A</v>
      </c>
      <c r="WFW31" t="e">
        <v>#N/A</v>
      </c>
      <c r="WFX31" t="e">
        <v>#N/A</v>
      </c>
      <c r="WFY31" t="e">
        <v>#N/A</v>
      </c>
      <c r="WFZ31" t="e">
        <v>#N/A</v>
      </c>
      <c r="WGA31" t="e">
        <v>#N/A</v>
      </c>
      <c r="WGB31" t="e">
        <v>#N/A</v>
      </c>
      <c r="WGC31" t="e">
        <v>#N/A</v>
      </c>
      <c r="WGD31" t="e">
        <v>#N/A</v>
      </c>
      <c r="WGE31" t="e">
        <v>#N/A</v>
      </c>
      <c r="WGF31" t="e">
        <v>#N/A</v>
      </c>
      <c r="WGG31" t="e">
        <v>#N/A</v>
      </c>
      <c r="WGH31" t="e">
        <v>#N/A</v>
      </c>
      <c r="WGI31" t="e">
        <v>#N/A</v>
      </c>
      <c r="WGJ31" t="e">
        <v>#N/A</v>
      </c>
      <c r="WGK31" t="e">
        <v>#N/A</v>
      </c>
      <c r="WGL31" t="e">
        <v>#N/A</v>
      </c>
      <c r="WGM31" t="e">
        <v>#N/A</v>
      </c>
      <c r="WGN31" t="e">
        <v>#N/A</v>
      </c>
      <c r="WGO31" t="e">
        <v>#N/A</v>
      </c>
      <c r="WGP31" t="e">
        <v>#N/A</v>
      </c>
      <c r="WGQ31" t="e">
        <v>#N/A</v>
      </c>
      <c r="WGR31" t="e">
        <v>#N/A</v>
      </c>
      <c r="WGS31" t="e">
        <v>#N/A</v>
      </c>
      <c r="WGT31" t="e">
        <v>#N/A</v>
      </c>
      <c r="WGU31" t="e">
        <v>#N/A</v>
      </c>
      <c r="WGV31" t="e">
        <v>#N/A</v>
      </c>
      <c r="WGW31" t="e">
        <v>#N/A</v>
      </c>
      <c r="WGX31" t="e">
        <v>#N/A</v>
      </c>
      <c r="WGY31" t="e">
        <v>#N/A</v>
      </c>
      <c r="WGZ31" t="e">
        <v>#N/A</v>
      </c>
      <c r="WHA31" t="e">
        <v>#N/A</v>
      </c>
      <c r="WHB31" t="e">
        <v>#N/A</v>
      </c>
      <c r="WHC31" t="e">
        <v>#N/A</v>
      </c>
      <c r="WHD31" t="e">
        <v>#N/A</v>
      </c>
      <c r="WHE31" t="e">
        <v>#N/A</v>
      </c>
      <c r="WHF31" t="e">
        <v>#N/A</v>
      </c>
      <c r="WHG31" t="e">
        <v>#N/A</v>
      </c>
      <c r="WHH31" t="e">
        <v>#N/A</v>
      </c>
      <c r="WHI31" t="e">
        <v>#N/A</v>
      </c>
      <c r="WHJ31" t="e">
        <v>#N/A</v>
      </c>
      <c r="WHK31" t="e">
        <v>#N/A</v>
      </c>
      <c r="WHL31" t="e">
        <v>#N/A</v>
      </c>
      <c r="WHM31" t="e">
        <v>#N/A</v>
      </c>
      <c r="WHN31" t="e">
        <v>#N/A</v>
      </c>
      <c r="WHO31" t="e">
        <v>#N/A</v>
      </c>
      <c r="WHP31" t="e">
        <v>#N/A</v>
      </c>
      <c r="WHQ31" t="e">
        <v>#N/A</v>
      </c>
      <c r="WHR31" t="e">
        <v>#N/A</v>
      </c>
      <c r="WHS31" t="e">
        <v>#N/A</v>
      </c>
      <c r="WHT31" t="e">
        <v>#N/A</v>
      </c>
      <c r="WHU31" t="e">
        <v>#N/A</v>
      </c>
      <c r="WHV31" t="e">
        <v>#N/A</v>
      </c>
      <c r="WHW31" t="e">
        <v>#N/A</v>
      </c>
      <c r="WHX31" t="e">
        <v>#N/A</v>
      </c>
      <c r="WHY31" t="e">
        <v>#N/A</v>
      </c>
      <c r="WHZ31" t="e">
        <v>#N/A</v>
      </c>
      <c r="WIA31" t="e">
        <v>#N/A</v>
      </c>
      <c r="WIB31" t="e">
        <v>#N/A</v>
      </c>
      <c r="WIC31" t="e">
        <v>#N/A</v>
      </c>
      <c r="WID31" t="e">
        <v>#N/A</v>
      </c>
      <c r="WIE31" t="e">
        <v>#N/A</v>
      </c>
      <c r="WIF31" t="e">
        <v>#N/A</v>
      </c>
      <c r="WIG31" t="e">
        <v>#N/A</v>
      </c>
      <c r="WIH31" t="e">
        <v>#N/A</v>
      </c>
      <c r="WII31" t="e">
        <v>#N/A</v>
      </c>
      <c r="WIJ31" t="e">
        <v>#N/A</v>
      </c>
      <c r="WIK31" t="e">
        <v>#N/A</v>
      </c>
      <c r="WIL31" t="e">
        <v>#N/A</v>
      </c>
      <c r="WIM31" t="e">
        <v>#N/A</v>
      </c>
      <c r="WIN31" t="e">
        <v>#N/A</v>
      </c>
      <c r="WIO31" t="e">
        <v>#N/A</v>
      </c>
      <c r="WIP31" t="e">
        <v>#N/A</v>
      </c>
      <c r="WIQ31" t="e">
        <v>#N/A</v>
      </c>
      <c r="WIR31" t="e">
        <v>#N/A</v>
      </c>
      <c r="WIS31" t="e">
        <v>#N/A</v>
      </c>
      <c r="WIT31" t="e">
        <v>#N/A</v>
      </c>
      <c r="WIU31" t="e">
        <v>#N/A</v>
      </c>
      <c r="WIV31" t="e">
        <v>#N/A</v>
      </c>
      <c r="WIW31" t="e">
        <v>#N/A</v>
      </c>
      <c r="WIX31" t="e">
        <v>#N/A</v>
      </c>
      <c r="WIY31" t="e">
        <v>#N/A</v>
      </c>
      <c r="WIZ31" t="e">
        <v>#N/A</v>
      </c>
      <c r="WJA31" t="e">
        <v>#N/A</v>
      </c>
      <c r="WJB31" t="e">
        <v>#N/A</v>
      </c>
      <c r="WJC31" t="e">
        <v>#N/A</v>
      </c>
      <c r="WJD31" t="e">
        <v>#N/A</v>
      </c>
      <c r="WJE31" t="e">
        <v>#N/A</v>
      </c>
      <c r="WJF31" t="e">
        <v>#N/A</v>
      </c>
      <c r="WJG31" t="e">
        <v>#N/A</v>
      </c>
      <c r="WJH31" t="e">
        <v>#N/A</v>
      </c>
      <c r="WJI31" t="e">
        <v>#N/A</v>
      </c>
      <c r="WJJ31" t="e">
        <v>#N/A</v>
      </c>
      <c r="WJK31" t="e">
        <v>#N/A</v>
      </c>
      <c r="WJL31" t="e">
        <v>#N/A</v>
      </c>
      <c r="WJM31" t="e">
        <v>#N/A</v>
      </c>
      <c r="WJN31" t="e">
        <v>#N/A</v>
      </c>
      <c r="WJO31" t="e">
        <v>#N/A</v>
      </c>
      <c r="WJP31" t="e">
        <v>#N/A</v>
      </c>
      <c r="WJQ31" t="e">
        <v>#N/A</v>
      </c>
      <c r="WJR31" t="e">
        <v>#N/A</v>
      </c>
      <c r="WJS31" t="e">
        <v>#N/A</v>
      </c>
      <c r="WJT31" t="e">
        <v>#N/A</v>
      </c>
      <c r="WJU31" t="e">
        <v>#N/A</v>
      </c>
      <c r="WJV31" t="e">
        <v>#N/A</v>
      </c>
      <c r="WJW31" t="e">
        <v>#N/A</v>
      </c>
      <c r="WJX31" t="e">
        <v>#N/A</v>
      </c>
      <c r="WJY31" t="e">
        <v>#N/A</v>
      </c>
      <c r="WJZ31" t="e">
        <v>#N/A</v>
      </c>
      <c r="WKA31" t="e">
        <v>#N/A</v>
      </c>
      <c r="WKB31" t="e">
        <v>#N/A</v>
      </c>
      <c r="WKC31" t="e">
        <v>#N/A</v>
      </c>
      <c r="WKD31" t="e">
        <v>#N/A</v>
      </c>
      <c r="WKE31" t="e">
        <v>#N/A</v>
      </c>
      <c r="WKF31" t="e">
        <v>#N/A</v>
      </c>
      <c r="WKG31" t="e">
        <v>#N/A</v>
      </c>
      <c r="WKH31" t="e">
        <v>#N/A</v>
      </c>
      <c r="WKI31" t="e">
        <v>#N/A</v>
      </c>
      <c r="WKJ31" t="e">
        <v>#N/A</v>
      </c>
      <c r="WKK31" t="e">
        <v>#N/A</v>
      </c>
      <c r="WKL31" t="e">
        <v>#N/A</v>
      </c>
      <c r="WKM31" t="e">
        <v>#N/A</v>
      </c>
      <c r="WKN31" t="e">
        <v>#N/A</v>
      </c>
      <c r="WKO31" t="e">
        <v>#N/A</v>
      </c>
      <c r="WKP31" t="e">
        <v>#N/A</v>
      </c>
      <c r="WKQ31" t="e">
        <v>#N/A</v>
      </c>
      <c r="WKR31" t="e">
        <v>#N/A</v>
      </c>
      <c r="WKS31" t="e">
        <v>#N/A</v>
      </c>
      <c r="WKT31" t="e">
        <v>#N/A</v>
      </c>
      <c r="WKU31" t="e">
        <v>#N/A</v>
      </c>
      <c r="WKV31" t="e">
        <v>#N/A</v>
      </c>
      <c r="WKW31" t="e">
        <v>#N/A</v>
      </c>
      <c r="WKX31" t="e">
        <v>#N/A</v>
      </c>
      <c r="WKY31" t="e">
        <v>#N/A</v>
      </c>
      <c r="WKZ31" t="e">
        <v>#N/A</v>
      </c>
      <c r="WLA31" t="e">
        <v>#N/A</v>
      </c>
      <c r="WLB31" t="e">
        <v>#N/A</v>
      </c>
      <c r="WLC31" t="e">
        <v>#N/A</v>
      </c>
      <c r="WLD31" t="e">
        <v>#N/A</v>
      </c>
      <c r="WLE31" t="e">
        <v>#N/A</v>
      </c>
      <c r="WLF31" t="e">
        <v>#N/A</v>
      </c>
      <c r="WLG31" t="e">
        <v>#N/A</v>
      </c>
      <c r="WLH31" t="e">
        <v>#N/A</v>
      </c>
      <c r="WLI31" t="e">
        <v>#N/A</v>
      </c>
      <c r="WLJ31" t="e">
        <v>#N/A</v>
      </c>
      <c r="WLK31" t="e">
        <v>#N/A</v>
      </c>
      <c r="WLL31" t="e">
        <v>#N/A</v>
      </c>
      <c r="WLM31" t="e">
        <v>#N/A</v>
      </c>
      <c r="WLN31" t="e">
        <v>#N/A</v>
      </c>
      <c r="WLO31" t="e">
        <v>#N/A</v>
      </c>
      <c r="WLP31" t="e">
        <v>#N/A</v>
      </c>
      <c r="WLQ31" t="e">
        <v>#N/A</v>
      </c>
      <c r="WLR31" t="e">
        <v>#N/A</v>
      </c>
      <c r="WLS31" t="e">
        <v>#N/A</v>
      </c>
      <c r="WLT31" t="e">
        <v>#N/A</v>
      </c>
      <c r="WLU31" t="e">
        <v>#N/A</v>
      </c>
      <c r="WLV31" t="e">
        <v>#N/A</v>
      </c>
      <c r="WLW31" t="e">
        <v>#N/A</v>
      </c>
      <c r="WLX31" t="e">
        <v>#N/A</v>
      </c>
      <c r="WLY31" t="e">
        <v>#N/A</v>
      </c>
      <c r="WLZ31" t="e">
        <v>#N/A</v>
      </c>
      <c r="WMA31" t="e">
        <v>#N/A</v>
      </c>
      <c r="WMB31" t="e">
        <v>#N/A</v>
      </c>
      <c r="WMC31" t="e">
        <v>#N/A</v>
      </c>
      <c r="WMD31" t="e">
        <v>#N/A</v>
      </c>
      <c r="WME31" t="e">
        <v>#N/A</v>
      </c>
      <c r="WMF31" t="e">
        <v>#N/A</v>
      </c>
      <c r="WMG31" t="e">
        <v>#N/A</v>
      </c>
      <c r="WMH31" t="e">
        <v>#N/A</v>
      </c>
      <c r="WMI31" t="e">
        <v>#N/A</v>
      </c>
      <c r="WMJ31" t="e">
        <v>#N/A</v>
      </c>
      <c r="WMK31" t="e">
        <v>#N/A</v>
      </c>
      <c r="WML31" t="e">
        <v>#N/A</v>
      </c>
      <c r="WMM31" t="e">
        <v>#N/A</v>
      </c>
      <c r="WMN31" t="e">
        <v>#N/A</v>
      </c>
      <c r="WMO31" t="e">
        <v>#N/A</v>
      </c>
      <c r="WMP31" t="e">
        <v>#N/A</v>
      </c>
      <c r="WMQ31" t="e">
        <v>#N/A</v>
      </c>
      <c r="WMR31" t="e">
        <v>#N/A</v>
      </c>
      <c r="WMS31" t="e">
        <v>#N/A</v>
      </c>
      <c r="WMT31" t="e">
        <v>#N/A</v>
      </c>
      <c r="WMU31" t="e">
        <v>#N/A</v>
      </c>
      <c r="WMV31" t="e">
        <v>#N/A</v>
      </c>
      <c r="WMW31" t="e">
        <v>#N/A</v>
      </c>
      <c r="WMX31" t="e">
        <v>#N/A</v>
      </c>
      <c r="WMY31" t="e">
        <v>#N/A</v>
      </c>
      <c r="WMZ31" t="e">
        <v>#N/A</v>
      </c>
      <c r="WNA31" t="e">
        <v>#N/A</v>
      </c>
      <c r="WNB31" t="e">
        <v>#N/A</v>
      </c>
      <c r="WNC31" t="e">
        <v>#N/A</v>
      </c>
      <c r="WND31" t="e">
        <v>#N/A</v>
      </c>
      <c r="WNE31" t="e">
        <v>#N/A</v>
      </c>
      <c r="WNF31" t="e">
        <v>#N/A</v>
      </c>
      <c r="WNG31" t="e">
        <v>#N/A</v>
      </c>
      <c r="WNH31" t="e">
        <v>#N/A</v>
      </c>
      <c r="WNI31" t="e">
        <v>#N/A</v>
      </c>
      <c r="WNJ31" t="e">
        <v>#N/A</v>
      </c>
      <c r="WNK31" t="e">
        <v>#N/A</v>
      </c>
      <c r="WNL31" t="e">
        <v>#N/A</v>
      </c>
      <c r="WNM31" t="e">
        <v>#N/A</v>
      </c>
      <c r="WNN31" t="e">
        <v>#N/A</v>
      </c>
      <c r="WNO31" t="e">
        <v>#N/A</v>
      </c>
      <c r="WNP31" t="e">
        <v>#N/A</v>
      </c>
      <c r="WNQ31" t="e">
        <v>#N/A</v>
      </c>
      <c r="WNR31" t="e">
        <v>#N/A</v>
      </c>
      <c r="WNS31" t="e">
        <v>#N/A</v>
      </c>
      <c r="WNT31" t="e">
        <v>#N/A</v>
      </c>
      <c r="WNU31" t="e">
        <v>#N/A</v>
      </c>
      <c r="WNV31" t="e">
        <v>#N/A</v>
      </c>
      <c r="WNW31" t="e">
        <v>#N/A</v>
      </c>
      <c r="WNX31" t="e">
        <v>#N/A</v>
      </c>
      <c r="WNY31" t="e">
        <v>#N/A</v>
      </c>
      <c r="WNZ31" t="e">
        <v>#N/A</v>
      </c>
      <c r="WOA31" t="e">
        <v>#N/A</v>
      </c>
      <c r="WOB31" t="e">
        <v>#N/A</v>
      </c>
      <c r="WOC31" t="e">
        <v>#N/A</v>
      </c>
      <c r="WOD31" t="e">
        <v>#N/A</v>
      </c>
      <c r="WOE31" t="e">
        <v>#N/A</v>
      </c>
      <c r="WOF31" t="e">
        <v>#N/A</v>
      </c>
      <c r="WOG31" t="e">
        <v>#N/A</v>
      </c>
      <c r="WOH31" t="e">
        <v>#N/A</v>
      </c>
      <c r="WOI31" t="e">
        <v>#N/A</v>
      </c>
      <c r="WOJ31" t="e">
        <v>#N/A</v>
      </c>
      <c r="WOK31" t="e">
        <v>#N/A</v>
      </c>
      <c r="WOL31" t="e">
        <v>#N/A</v>
      </c>
      <c r="WOM31" t="e">
        <v>#N/A</v>
      </c>
      <c r="WON31" t="e">
        <v>#N/A</v>
      </c>
      <c r="WOO31" t="e">
        <v>#N/A</v>
      </c>
      <c r="WOP31" t="e">
        <v>#N/A</v>
      </c>
      <c r="WOQ31" t="e">
        <v>#N/A</v>
      </c>
      <c r="WOR31" t="e">
        <v>#N/A</v>
      </c>
      <c r="WOS31" t="e">
        <v>#N/A</v>
      </c>
      <c r="WOT31" t="e">
        <v>#N/A</v>
      </c>
      <c r="WOU31" t="e">
        <v>#N/A</v>
      </c>
      <c r="WOV31" t="e">
        <v>#N/A</v>
      </c>
      <c r="WOW31" t="e">
        <v>#N/A</v>
      </c>
      <c r="WOX31" t="e">
        <v>#N/A</v>
      </c>
      <c r="WOY31" t="e">
        <v>#N/A</v>
      </c>
      <c r="WOZ31" t="e">
        <v>#N/A</v>
      </c>
      <c r="WPA31" t="e">
        <v>#N/A</v>
      </c>
      <c r="WPB31" t="e">
        <v>#N/A</v>
      </c>
      <c r="WPC31" t="e">
        <v>#N/A</v>
      </c>
      <c r="WPD31" t="e">
        <v>#N/A</v>
      </c>
      <c r="WPE31" t="e">
        <v>#N/A</v>
      </c>
      <c r="WPF31" t="e">
        <v>#N/A</v>
      </c>
      <c r="WPG31" t="e">
        <v>#N/A</v>
      </c>
      <c r="WPH31" t="e">
        <v>#N/A</v>
      </c>
      <c r="WPI31" t="e">
        <v>#N/A</v>
      </c>
      <c r="WPJ31" t="e">
        <v>#N/A</v>
      </c>
      <c r="WPK31" t="e">
        <v>#N/A</v>
      </c>
      <c r="WPL31" t="e">
        <v>#N/A</v>
      </c>
      <c r="WPM31" t="e">
        <v>#N/A</v>
      </c>
      <c r="WPN31" t="e">
        <v>#N/A</v>
      </c>
      <c r="WPO31" t="e">
        <v>#N/A</v>
      </c>
      <c r="WPP31" t="e">
        <v>#N/A</v>
      </c>
      <c r="WPQ31" t="e">
        <v>#N/A</v>
      </c>
      <c r="WPR31" t="e">
        <v>#N/A</v>
      </c>
      <c r="WPS31" t="e">
        <v>#N/A</v>
      </c>
      <c r="WPT31" t="e">
        <v>#N/A</v>
      </c>
      <c r="WPU31" t="e">
        <v>#N/A</v>
      </c>
      <c r="WPV31" t="e">
        <v>#N/A</v>
      </c>
      <c r="WPW31" t="e">
        <v>#N/A</v>
      </c>
      <c r="WPX31" t="e">
        <v>#N/A</v>
      </c>
      <c r="WPY31" t="e">
        <v>#N/A</v>
      </c>
      <c r="WPZ31" t="e">
        <v>#N/A</v>
      </c>
      <c r="WQA31" t="e">
        <v>#N/A</v>
      </c>
      <c r="WQB31" t="e">
        <v>#N/A</v>
      </c>
      <c r="WQC31" t="e">
        <v>#N/A</v>
      </c>
      <c r="WQD31" t="e">
        <v>#N/A</v>
      </c>
      <c r="WQE31" t="e">
        <v>#N/A</v>
      </c>
      <c r="WQF31" t="e">
        <v>#N/A</v>
      </c>
      <c r="WQG31" t="e">
        <v>#N/A</v>
      </c>
      <c r="WQH31" t="e">
        <v>#N/A</v>
      </c>
      <c r="WQI31" t="e">
        <v>#N/A</v>
      </c>
      <c r="WQJ31" t="e">
        <v>#N/A</v>
      </c>
      <c r="WQK31" t="e">
        <v>#N/A</v>
      </c>
      <c r="WQL31" t="e">
        <v>#N/A</v>
      </c>
      <c r="WQM31" t="e">
        <v>#N/A</v>
      </c>
      <c r="WQN31" t="e">
        <v>#N/A</v>
      </c>
      <c r="WQO31" t="e">
        <v>#N/A</v>
      </c>
      <c r="WQP31" t="e">
        <v>#N/A</v>
      </c>
      <c r="WQQ31" t="e">
        <v>#N/A</v>
      </c>
      <c r="WQR31" t="e">
        <v>#N/A</v>
      </c>
      <c r="WQS31" t="e">
        <v>#N/A</v>
      </c>
      <c r="WQT31" t="e">
        <v>#N/A</v>
      </c>
      <c r="WQU31" t="e">
        <v>#N/A</v>
      </c>
      <c r="WQV31" t="e">
        <v>#N/A</v>
      </c>
      <c r="WQW31" t="e">
        <v>#N/A</v>
      </c>
      <c r="WQX31" t="e">
        <v>#N/A</v>
      </c>
      <c r="WQY31" t="e">
        <v>#N/A</v>
      </c>
      <c r="WQZ31" t="e">
        <v>#N/A</v>
      </c>
      <c r="WRA31" t="e">
        <v>#N/A</v>
      </c>
      <c r="WRB31" t="e">
        <v>#N/A</v>
      </c>
      <c r="WRC31" t="e">
        <v>#N/A</v>
      </c>
      <c r="WRD31" t="e">
        <v>#N/A</v>
      </c>
      <c r="WRE31" t="e">
        <v>#N/A</v>
      </c>
      <c r="WRF31" t="e">
        <v>#N/A</v>
      </c>
      <c r="WRG31" t="e">
        <v>#N/A</v>
      </c>
      <c r="WRH31" t="e">
        <v>#N/A</v>
      </c>
      <c r="WRI31" t="e">
        <v>#N/A</v>
      </c>
      <c r="WRJ31" t="e">
        <v>#N/A</v>
      </c>
      <c r="WRK31" t="e">
        <v>#N/A</v>
      </c>
      <c r="WRL31" t="e">
        <v>#N/A</v>
      </c>
      <c r="WRM31" t="e">
        <v>#N/A</v>
      </c>
      <c r="WRN31" t="e">
        <v>#N/A</v>
      </c>
      <c r="WRO31" t="e">
        <v>#N/A</v>
      </c>
      <c r="WRP31" t="e">
        <v>#N/A</v>
      </c>
      <c r="WRQ31" t="e">
        <v>#N/A</v>
      </c>
      <c r="WRR31" t="e">
        <v>#N/A</v>
      </c>
      <c r="WRS31" t="e">
        <v>#N/A</v>
      </c>
      <c r="WRT31" t="e">
        <v>#N/A</v>
      </c>
      <c r="WRU31" t="e">
        <v>#N/A</v>
      </c>
      <c r="WRV31" t="e">
        <v>#N/A</v>
      </c>
      <c r="WRW31" t="e">
        <v>#N/A</v>
      </c>
      <c r="WRX31" t="e">
        <v>#N/A</v>
      </c>
      <c r="WRY31" t="e">
        <v>#N/A</v>
      </c>
      <c r="WRZ31" t="e">
        <v>#N/A</v>
      </c>
      <c r="WSA31" t="e">
        <v>#N/A</v>
      </c>
      <c r="WSB31" t="e">
        <v>#N/A</v>
      </c>
      <c r="WSC31" t="e">
        <v>#N/A</v>
      </c>
      <c r="WSD31" t="e">
        <v>#N/A</v>
      </c>
      <c r="WSE31" t="e">
        <v>#N/A</v>
      </c>
      <c r="WSF31" t="e">
        <v>#N/A</v>
      </c>
      <c r="WSG31" t="e">
        <v>#N/A</v>
      </c>
      <c r="WSH31" t="e">
        <v>#N/A</v>
      </c>
      <c r="WSI31" t="e">
        <v>#N/A</v>
      </c>
      <c r="WSJ31" t="e">
        <v>#N/A</v>
      </c>
      <c r="WSK31" t="e">
        <v>#N/A</v>
      </c>
      <c r="WSL31" t="e">
        <v>#N/A</v>
      </c>
      <c r="WSM31" t="e">
        <v>#N/A</v>
      </c>
      <c r="WSN31" t="e">
        <v>#N/A</v>
      </c>
      <c r="WSO31" t="e">
        <v>#N/A</v>
      </c>
      <c r="WSP31" t="e">
        <v>#N/A</v>
      </c>
      <c r="WSQ31" t="e">
        <v>#N/A</v>
      </c>
      <c r="WSR31" t="e">
        <v>#N/A</v>
      </c>
      <c r="WSS31" t="e">
        <v>#N/A</v>
      </c>
      <c r="WST31" t="e">
        <v>#N/A</v>
      </c>
      <c r="WSU31" t="e">
        <v>#N/A</v>
      </c>
      <c r="WSV31" t="e">
        <v>#N/A</v>
      </c>
      <c r="WSW31" t="e">
        <v>#N/A</v>
      </c>
      <c r="WSX31" t="e">
        <v>#N/A</v>
      </c>
      <c r="WSY31" t="e">
        <v>#N/A</v>
      </c>
      <c r="WSZ31" t="e">
        <v>#N/A</v>
      </c>
      <c r="WTA31" t="e">
        <v>#N/A</v>
      </c>
      <c r="WTB31" t="e">
        <v>#N/A</v>
      </c>
      <c r="WTC31" t="e">
        <v>#N/A</v>
      </c>
      <c r="WTD31" t="e">
        <v>#N/A</v>
      </c>
      <c r="WTE31" t="e">
        <v>#N/A</v>
      </c>
      <c r="WTF31" t="e">
        <v>#N/A</v>
      </c>
      <c r="WTG31" t="e">
        <v>#N/A</v>
      </c>
      <c r="WTH31" t="e">
        <v>#N/A</v>
      </c>
      <c r="WTI31" t="e">
        <v>#N/A</v>
      </c>
      <c r="WTJ31" t="e">
        <v>#N/A</v>
      </c>
      <c r="WTK31" t="e">
        <v>#N/A</v>
      </c>
      <c r="WTL31" t="e">
        <v>#N/A</v>
      </c>
      <c r="WTM31" t="e">
        <v>#N/A</v>
      </c>
      <c r="WTN31" t="e">
        <v>#N/A</v>
      </c>
      <c r="WTO31" t="e">
        <v>#N/A</v>
      </c>
      <c r="WTP31" t="e">
        <v>#N/A</v>
      </c>
      <c r="WTQ31" t="e">
        <v>#N/A</v>
      </c>
      <c r="WTR31" t="e">
        <v>#N/A</v>
      </c>
      <c r="WTS31" t="e">
        <v>#N/A</v>
      </c>
      <c r="WTT31" t="e">
        <v>#N/A</v>
      </c>
      <c r="WTU31" t="e">
        <v>#N/A</v>
      </c>
      <c r="WTV31" t="e">
        <v>#N/A</v>
      </c>
      <c r="WTW31" t="e">
        <v>#N/A</v>
      </c>
      <c r="WTX31" t="e">
        <v>#N/A</v>
      </c>
      <c r="WTY31" t="e">
        <v>#N/A</v>
      </c>
      <c r="WTZ31" t="e">
        <v>#N/A</v>
      </c>
      <c r="WUA31" t="e">
        <v>#N/A</v>
      </c>
      <c r="WUB31" t="e">
        <v>#N/A</v>
      </c>
      <c r="WUC31" t="e">
        <v>#N/A</v>
      </c>
      <c r="WUD31" t="e">
        <v>#N/A</v>
      </c>
      <c r="WUE31" t="e">
        <v>#N/A</v>
      </c>
      <c r="WUF31" t="e">
        <v>#N/A</v>
      </c>
      <c r="WUG31" t="e">
        <v>#N/A</v>
      </c>
      <c r="WUH31" t="e">
        <v>#N/A</v>
      </c>
      <c r="WUI31" t="e">
        <v>#N/A</v>
      </c>
      <c r="WUJ31" t="e">
        <v>#N/A</v>
      </c>
      <c r="WUK31" t="e">
        <v>#N/A</v>
      </c>
      <c r="WUL31" t="e">
        <v>#N/A</v>
      </c>
      <c r="WUM31" t="e">
        <v>#N/A</v>
      </c>
      <c r="WUN31" t="e">
        <v>#N/A</v>
      </c>
      <c r="WUO31" t="e">
        <v>#N/A</v>
      </c>
      <c r="WUP31" t="e">
        <v>#N/A</v>
      </c>
      <c r="WUQ31" t="e">
        <v>#N/A</v>
      </c>
      <c r="WUR31" t="e">
        <v>#N/A</v>
      </c>
      <c r="WUS31" t="e">
        <v>#N/A</v>
      </c>
      <c r="WUT31" t="e">
        <v>#N/A</v>
      </c>
      <c r="WUU31" t="e">
        <v>#N/A</v>
      </c>
      <c r="WUV31" t="e">
        <v>#N/A</v>
      </c>
      <c r="WUW31" t="e">
        <v>#N/A</v>
      </c>
      <c r="WUX31" t="e">
        <v>#N/A</v>
      </c>
      <c r="WUY31" t="e">
        <v>#N/A</v>
      </c>
      <c r="WUZ31" t="e">
        <v>#N/A</v>
      </c>
      <c r="WVA31" t="e">
        <v>#N/A</v>
      </c>
      <c r="WVB31" t="e">
        <v>#N/A</v>
      </c>
      <c r="WVC31" t="e">
        <v>#N/A</v>
      </c>
      <c r="WVD31" t="e">
        <v>#N/A</v>
      </c>
      <c r="WVE31" t="e">
        <v>#N/A</v>
      </c>
      <c r="WVF31" t="e">
        <v>#N/A</v>
      </c>
      <c r="WVG31" t="e">
        <v>#N/A</v>
      </c>
      <c r="WVH31" t="e">
        <v>#N/A</v>
      </c>
      <c r="WVI31" t="e">
        <v>#N/A</v>
      </c>
      <c r="WVJ31" t="e">
        <v>#N/A</v>
      </c>
      <c r="WVK31" t="e">
        <v>#N/A</v>
      </c>
      <c r="WVL31" t="e">
        <v>#N/A</v>
      </c>
      <c r="WVM31" t="e">
        <v>#N/A</v>
      </c>
      <c r="WVN31" t="e">
        <v>#N/A</v>
      </c>
      <c r="WVO31" t="e">
        <v>#N/A</v>
      </c>
      <c r="WVP31" t="e">
        <v>#N/A</v>
      </c>
      <c r="WVQ31" t="e">
        <v>#N/A</v>
      </c>
      <c r="WVR31" t="e">
        <v>#N/A</v>
      </c>
      <c r="WVS31" t="e">
        <v>#N/A</v>
      </c>
      <c r="WVT31" t="e">
        <v>#N/A</v>
      </c>
      <c r="WVU31" t="e">
        <v>#N/A</v>
      </c>
      <c r="WVV31" t="e">
        <v>#N/A</v>
      </c>
      <c r="WVW31" t="e">
        <v>#N/A</v>
      </c>
      <c r="WVX31" t="e">
        <v>#N/A</v>
      </c>
      <c r="WVY31" t="e">
        <v>#N/A</v>
      </c>
      <c r="WVZ31" t="e">
        <v>#N/A</v>
      </c>
      <c r="WWA31" t="e">
        <v>#N/A</v>
      </c>
      <c r="WWB31" t="e">
        <v>#N/A</v>
      </c>
      <c r="WWC31" t="e">
        <v>#N/A</v>
      </c>
      <c r="WWD31" t="e">
        <v>#N/A</v>
      </c>
      <c r="WWE31" t="e">
        <v>#N/A</v>
      </c>
      <c r="WWF31" t="e">
        <v>#N/A</v>
      </c>
      <c r="WWG31" t="e">
        <v>#N/A</v>
      </c>
      <c r="WWH31" t="e">
        <v>#N/A</v>
      </c>
      <c r="WWI31" t="e">
        <v>#N/A</v>
      </c>
      <c r="WWJ31" t="e">
        <v>#N/A</v>
      </c>
      <c r="WWK31" t="e">
        <v>#N/A</v>
      </c>
      <c r="WWL31" t="e">
        <v>#N/A</v>
      </c>
      <c r="WWM31" t="e">
        <v>#N/A</v>
      </c>
      <c r="WWN31" t="e">
        <v>#N/A</v>
      </c>
      <c r="WWO31" t="e">
        <v>#N/A</v>
      </c>
      <c r="WWP31" t="e">
        <v>#N/A</v>
      </c>
      <c r="WWQ31" t="e">
        <v>#N/A</v>
      </c>
      <c r="WWR31" t="e">
        <v>#N/A</v>
      </c>
      <c r="WWS31" t="e">
        <v>#N/A</v>
      </c>
      <c r="WWT31" t="e">
        <v>#N/A</v>
      </c>
      <c r="WWU31" t="e">
        <v>#N/A</v>
      </c>
      <c r="WWV31" t="e">
        <v>#N/A</v>
      </c>
      <c r="WWW31" t="e">
        <v>#N/A</v>
      </c>
      <c r="WWX31" t="e">
        <v>#N/A</v>
      </c>
      <c r="WWY31" t="e">
        <v>#N/A</v>
      </c>
      <c r="WWZ31" t="e">
        <v>#N/A</v>
      </c>
      <c r="WXA31" t="e">
        <v>#N/A</v>
      </c>
      <c r="WXB31" t="e">
        <v>#N/A</v>
      </c>
      <c r="WXC31" t="e">
        <v>#N/A</v>
      </c>
      <c r="WXD31" t="e">
        <v>#N/A</v>
      </c>
      <c r="WXE31" t="e">
        <v>#N/A</v>
      </c>
      <c r="WXF31" t="e">
        <v>#N/A</v>
      </c>
      <c r="WXG31" t="e">
        <v>#N/A</v>
      </c>
      <c r="WXH31" t="e">
        <v>#N/A</v>
      </c>
      <c r="WXI31" t="e">
        <v>#N/A</v>
      </c>
      <c r="WXJ31" t="e">
        <v>#N/A</v>
      </c>
      <c r="WXK31" t="e">
        <v>#N/A</v>
      </c>
      <c r="WXL31" t="e">
        <v>#N/A</v>
      </c>
      <c r="WXM31" t="e">
        <v>#N/A</v>
      </c>
      <c r="WXN31" t="e">
        <v>#N/A</v>
      </c>
      <c r="WXO31" t="e">
        <v>#N/A</v>
      </c>
      <c r="WXP31" t="e">
        <v>#N/A</v>
      </c>
      <c r="WXQ31" t="e">
        <v>#N/A</v>
      </c>
      <c r="WXR31" t="e">
        <v>#N/A</v>
      </c>
      <c r="WXS31" t="e">
        <v>#N/A</v>
      </c>
      <c r="WXT31" t="e">
        <v>#N/A</v>
      </c>
      <c r="WXU31" t="e">
        <v>#N/A</v>
      </c>
      <c r="WXV31" t="e">
        <v>#N/A</v>
      </c>
      <c r="WXW31" t="e">
        <v>#N/A</v>
      </c>
      <c r="WXX31" t="e">
        <v>#N/A</v>
      </c>
      <c r="WXY31" t="e">
        <v>#N/A</v>
      </c>
      <c r="WXZ31" t="e">
        <v>#N/A</v>
      </c>
      <c r="WYA31" t="e">
        <v>#N/A</v>
      </c>
      <c r="WYB31" t="e">
        <v>#N/A</v>
      </c>
      <c r="WYC31" t="e">
        <v>#N/A</v>
      </c>
      <c r="WYD31" t="e">
        <v>#N/A</v>
      </c>
      <c r="WYE31" t="e">
        <v>#N/A</v>
      </c>
      <c r="WYF31" t="e">
        <v>#N/A</v>
      </c>
      <c r="WYG31" t="e">
        <v>#N/A</v>
      </c>
      <c r="WYH31" t="e">
        <v>#N/A</v>
      </c>
      <c r="WYI31" t="e">
        <v>#N/A</v>
      </c>
      <c r="WYJ31" t="e">
        <v>#N/A</v>
      </c>
      <c r="WYK31" t="e">
        <v>#N/A</v>
      </c>
      <c r="WYL31" t="e">
        <v>#N/A</v>
      </c>
      <c r="WYM31" t="e">
        <v>#N/A</v>
      </c>
      <c r="WYN31" t="e">
        <v>#N/A</v>
      </c>
      <c r="WYO31" t="e">
        <v>#N/A</v>
      </c>
      <c r="WYP31" t="e">
        <v>#N/A</v>
      </c>
      <c r="WYQ31" t="e">
        <v>#N/A</v>
      </c>
      <c r="WYR31" t="e">
        <v>#N/A</v>
      </c>
      <c r="WYS31" t="e">
        <v>#N/A</v>
      </c>
      <c r="WYT31" t="e">
        <v>#N/A</v>
      </c>
      <c r="WYU31" t="e">
        <v>#N/A</v>
      </c>
      <c r="WYV31" t="e">
        <v>#N/A</v>
      </c>
      <c r="WYW31" t="e">
        <v>#N/A</v>
      </c>
      <c r="WYX31" t="e">
        <v>#N/A</v>
      </c>
      <c r="WYY31" t="e">
        <v>#N/A</v>
      </c>
      <c r="WYZ31" t="e">
        <v>#N/A</v>
      </c>
      <c r="WZA31" t="e">
        <v>#N/A</v>
      </c>
      <c r="WZB31" t="e">
        <v>#N/A</v>
      </c>
      <c r="WZC31" t="e">
        <v>#N/A</v>
      </c>
      <c r="WZD31" t="e">
        <v>#N/A</v>
      </c>
      <c r="WZE31" t="e">
        <v>#N/A</v>
      </c>
      <c r="WZF31" t="e">
        <v>#N/A</v>
      </c>
      <c r="WZG31" t="e">
        <v>#N/A</v>
      </c>
      <c r="WZH31" t="e">
        <v>#N/A</v>
      </c>
      <c r="WZI31" t="e">
        <v>#N/A</v>
      </c>
      <c r="WZJ31" t="e">
        <v>#N/A</v>
      </c>
      <c r="WZK31" t="e">
        <v>#N/A</v>
      </c>
      <c r="WZL31" t="e">
        <v>#N/A</v>
      </c>
      <c r="WZM31" t="e">
        <v>#N/A</v>
      </c>
      <c r="WZN31" t="e">
        <v>#N/A</v>
      </c>
      <c r="WZO31" t="e">
        <v>#N/A</v>
      </c>
      <c r="WZP31" t="e">
        <v>#N/A</v>
      </c>
      <c r="WZQ31" t="e">
        <v>#N/A</v>
      </c>
      <c r="WZR31" t="e">
        <v>#N/A</v>
      </c>
      <c r="WZS31" t="e">
        <v>#N/A</v>
      </c>
      <c r="WZT31" t="e">
        <v>#N/A</v>
      </c>
      <c r="WZU31" t="e">
        <v>#N/A</v>
      </c>
      <c r="WZV31" t="e">
        <v>#N/A</v>
      </c>
      <c r="WZW31" t="e">
        <v>#N/A</v>
      </c>
      <c r="WZX31" t="e">
        <v>#N/A</v>
      </c>
      <c r="WZY31" t="e">
        <v>#N/A</v>
      </c>
      <c r="WZZ31" t="e">
        <v>#N/A</v>
      </c>
      <c r="XAA31" t="e">
        <v>#N/A</v>
      </c>
      <c r="XAB31" t="e">
        <v>#N/A</v>
      </c>
      <c r="XAC31" t="e">
        <v>#N/A</v>
      </c>
      <c r="XAD31" t="e">
        <v>#N/A</v>
      </c>
      <c r="XAE31" t="e">
        <v>#N/A</v>
      </c>
      <c r="XAF31" t="e">
        <v>#N/A</v>
      </c>
      <c r="XAG31" t="e">
        <v>#N/A</v>
      </c>
      <c r="XAH31" t="e">
        <v>#N/A</v>
      </c>
      <c r="XAI31" t="e">
        <v>#N/A</v>
      </c>
      <c r="XAJ31" t="e">
        <v>#N/A</v>
      </c>
      <c r="XAK31" t="e">
        <v>#N/A</v>
      </c>
      <c r="XAL31" t="e">
        <v>#N/A</v>
      </c>
      <c r="XAM31" t="e">
        <v>#N/A</v>
      </c>
      <c r="XAN31" t="e">
        <v>#N/A</v>
      </c>
      <c r="XAO31" t="e">
        <v>#N/A</v>
      </c>
      <c r="XAP31" t="e">
        <v>#N/A</v>
      </c>
      <c r="XAQ31" t="e">
        <v>#N/A</v>
      </c>
      <c r="XAR31" t="e">
        <v>#N/A</v>
      </c>
      <c r="XAS31" t="e">
        <v>#N/A</v>
      </c>
      <c r="XAT31" t="e">
        <v>#N/A</v>
      </c>
      <c r="XAU31" t="e">
        <v>#N/A</v>
      </c>
      <c r="XAV31" t="e">
        <v>#N/A</v>
      </c>
      <c r="XAW31" t="e">
        <v>#N/A</v>
      </c>
      <c r="XAX31" t="e">
        <v>#N/A</v>
      </c>
      <c r="XAY31" t="e">
        <v>#N/A</v>
      </c>
      <c r="XAZ31" t="e">
        <v>#N/A</v>
      </c>
      <c r="XBA31" t="e">
        <v>#N/A</v>
      </c>
      <c r="XBB31" t="e">
        <v>#N/A</v>
      </c>
      <c r="XBC31" t="e">
        <v>#N/A</v>
      </c>
      <c r="XBD31" t="e">
        <v>#N/A</v>
      </c>
      <c r="XBE31" t="e">
        <v>#N/A</v>
      </c>
      <c r="XBF31" t="e">
        <v>#N/A</v>
      </c>
      <c r="XBG31" t="e">
        <v>#N/A</v>
      </c>
      <c r="XBH31" t="e">
        <v>#N/A</v>
      </c>
      <c r="XBI31" t="e">
        <v>#N/A</v>
      </c>
      <c r="XBJ31" t="e">
        <v>#N/A</v>
      </c>
      <c r="XBK31" t="e">
        <v>#N/A</v>
      </c>
      <c r="XBL31" t="e">
        <v>#N/A</v>
      </c>
      <c r="XBM31" t="e">
        <v>#N/A</v>
      </c>
      <c r="XBN31" t="e">
        <v>#N/A</v>
      </c>
      <c r="XBO31" t="e">
        <v>#N/A</v>
      </c>
      <c r="XBP31" t="e">
        <v>#N/A</v>
      </c>
      <c r="XBQ31" t="e">
        <v>#N/A</v>
      </c>
      <c r="XBR31" t="e">
        <v>#N/A</v>
      </c>
      <c r="XBS31" t="e">
        <v>#N/A</v>
      </c>
      <c r="XBT31" t="e">
        <v>#N/A</v>
      </c>
      <c r="XBU31" t="e">
        <v>#N/A</v>
      </c>
      <c r="XBV31" t="e">
        <v>#N/A</v>
      </c>
      <c r="XBW31" t="e">
        <v>#N/A</v>
      </c>
      <c r="XBX31" t="e">
        <v>#N/A</v>
      </c>
      <c r="XBY31" t="e">
        <v>#N/A</v>
      </c>
      <c r="XBZ31" t="e">
        <v>#N/A</v>
      </c>
      <c r="XCA31" t="e">
        <v>#N/A</v>
      </c>
      <c r="XCB31" t="e">
        <v>#N/A</v>
      </c>
      <c r="XCC31" t="e">
        <v>#N/A</v>
      </c>
      <c r="XCD31" t="e">
        <v>#N/A</v>
      </c>
      <c r="XCE31" t="e">
        <v>#N/A</v>
      </c>
      <c r="XCF31" t="e">
        <v>#N/A</v>
      </c>
      <c r="XCG31" t="e">
        <v>#N/A</v>
      </c>
      <c r="XCH31" t="e">
        <v>#N/A</v>
      </c>
      <c r="XCI31" t="e">
        <v>#N/A</v>
      </c>
      <c r="XCJ31" t="e">
        <v>#N/A</v>
      </c>
      <c r="XCK31" t="e">
        <v>#N/A</v>
      </c>
      <c r="XCL31" t="e">
        <v>#N/A</v>
      </c>
      <c r="XCM31" t="e">
        <v>#N/A</v>
      </c>
      <c r="XCN31" t="e">
        <v>#N/A</v>
      </c>
      <c r="XCO31" t="e">
        <v>#N/A</v>
      </c>
      <c r="XCP31" t="e">
        <v>#N/A</v>
      </c>
      <c r="XCQ31" t="e">
        <v>#N/A</v>
      </c>
      <c r="XCR31" t="e">
        <v>#N/A</v>
      </c>
      <c r="XCS31" t="e">
        <v>#N/A</v>
      </c>
      <c r="XCT31" t="e">
        <v>#N/A</v>
      </c>
      <c r="XCU31" t="e">
        <v>#N/A</v>
      </c>
      <c r="XCV31" t="e">
        <v>#N/A</v>
      </c>
      <c r="XCW31" t="e">
        <v>#N/A</v>
      </c>
      <c r="XCX31" t="e">
        <v>#N/A</v>
      </c>
      <c r="XCY31" t="e">
        <v>#N/A</v>
      </c>
      <c r="XCZ31" t="e">
        <v>#N/A</v>
      </c>
      <c r="XDA31" t="e">
        <v>#N/A</v>
      </c>
      <c r="XDB31" t="e">
        <v>#N/A</v>
      </c>
      <c r="XDC31" t="e">
        <v>#N/A</v>
      </c>
      <c r="XDD31" t="e">
        <v>#N/A</v>
      </c>
      <c r="XDE31" t="e">
        <v>#N/A</v>
      </c>
      <c r="XDF31" t="e">
        <v>#N/A</v>
      </c>
      <c r="XDG31" t="e">
        <v>#N/A</v>
      </c>
      <c r="XDH31" t="e">
        <v>#N/A</v>
      </c>
      <c r="XDI31" t="e">
        <v>#N/A</v>
      </c>
      <c r="XDJ31" t="e">
        <v>#N/A</v>
      </c>
      <c r="XDK31" t="e">
        <v>#N/A</v>
      </c>
      <c r="XDL31" t="e">
        <v>#N/A</v>
      </c>
      <c r="XDM31" t="e">
        <v>#N/A</v>
      </c>
      <c r="XDN31" t="e">
        <v>#N/A</v>
      </c>
      <c r="XDO31" t="e">
        <v>#N/A</v>
      </c>
      <c r="XDP31" t="e">
        <v>#N/A</v>
      </c>
      <c r="XDQ31" t="e">
        <v>#N/A</v>
      </c>
      <c r="XDR31" t="e">
        <v>#N/A</v>
      </c>
      <c r="XDS31" t="e">
        <v>#N/A</v>
      </c>
      <c r="XDT31" t="e">
        <v>#N/A</v>
      </c>
      <c r="XDU31" t="e">
        <v>#N/A</v>
      </c>
      <c r="XDV31" t="e">
        <v>#N/A</v>
      </c>
      <c r="XDW31" t="e">
        <v>#N/A</v>
      </c>
      <c r="XDX31" t="e">
        <v>#N/A</v>
      </c>
      <c r="XDY31" t="e">
        <v>#N/A</v>
      </c>
      <c r="XDZ31" t="e">
        <v>#N/A</v>
      </c>
      <c r="XEA31" t="e">
        <v>#N/A</v>
      </c>
      <c r="XEB31" t="e">
        <v>#N/A</v>
      </c>
      <c r="XEC31" t="e">
        <v>#N/A</v>
      </c>
      <c r="XED31" t="e">
        <v>#N/A</v>
      </c>
      <c r="XEE31" t="e">
        <v>#N/A</v>
      </c>
      <c r="XEF31" t="e">
        <v>#N/A</v>
      </c>
      <c r="XEG31" t="e">
        <v>#N/A</v>
      </c>
      <c r="XEH31" t="e">
        <v>#N/A</v>
      </c>
      <c r="XEI31" t="e">
        <v>#N/A</v>
      </c>
      <c r="XEJ31" t="e">
        <v>#N/A</v>
      </c>
      <c r="XEK31" t="e">
        <v>#N/A</v>
      </c>
      <c r="XEL31" t="e">
        <v>#N/A</v>
      </c>
      <c r="XEM31" t="e">
        <v>#N/A</v>
      </c>
      <c r="XEN31" t="e">
        <v>#N/A</v>
      </c>
      <c r="XEO31" t="e">
        <v>#N/A</v>
      </c>
      <c r="XEP31" t="e">
        <v>#N/A</v>
      </c>
      <c r="XEQ31" t="e">
        <v>#N/A</v>
      </c>
      <c r="XER31" t="e">
        <v>#N/A</v>
      </c>
      <c r="XES31" t="e">
        <v>#N/A</v>
      </c>
      <c r="XET31" t="e">
        <v>#N/A</v>
      </c>
      <c r="XEU31" t="e">
        <v>#N/A</v>
      </c>
      <c r="XEV31" t="e">
        <v>#N/A</v>
      </c>
      <c r="XEW31" t="e">
        <v>#N/A</v>
      </c>
      <c r="XEX31" t="e">
        <v>#N/A</v>
      </c>
      <c r="XEY31" t="e">
        <v>#N/A</v>
      </c>
      <c r="XEZ31" t="e">
        <v>#N/A</v>
      </c>
      <c r="XFA31" t="e">
        <v>#N/A</v>
      </c>
      <c r="XFB31" t="e">
        <v>#N/A</v>
      </c>
      <c r="XFC31" t="e">
        <v>#N/A</v>
      </c>
      <c r="XFD31" t="e">
        <v>#N/A</v>
      </c>
    </row>
    <row r="32" spans="1:16384" ht="19.5" customHeight="1" x14ac:dyDescent="0.25"/>
    <row r="33" ht="19.5" customHeight="1" x14ac:dyDescent="0.25"/>
    <row r="34" ht="19.5" customHeight="1" x14ac:dyDescent="0.25"/>
    <row r="35" ht="19.5" customHeight="1" x14ac:dyDescent="0.25"/>
    <row r="36" ht="19.5" customHeight="1" x14ac:dyDescent="0.25"/>
    <row r="37" ht="19.5" customHeight="1" x14ac:dyDescent="0.25"/>
    <row r="38" ht="19.5" customHeight="1" x14ac:dyDescent="0.25"/>
  </sheetData>
  <mergeCells count="1">
    <mergeCell ref="A1:I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J162"/>
  <sheetViews>
    <sheetView topLeftCell="C1" workbookViewId="0">
      <selection activeCell="F1" sqref="F1"/>
    </sheetView>
  </sheetViews>
  <sheetFormatPr defaultRowHeight="15" x14ac:dyDescent="0.25"/>
  <cols>
    <col min="1" max="1" width="12.28515625" customWidth="1"/>
    <col min="2" max="2" width="36" customWidth="1"/>
    <col min="3" max="3" width="20.28515625" customWidth="1"/>
    <col min="4" max="5" width="22.5703125" customWidth="1"/>
    <col min="6" max="6" width="32.140625" customWidth="1"/>
    <col min="7" max="7" width="14.85546875" bestFit="1" customWidth="1"/>
    <col min="8" max="8" width="24" customWidth="1"/>
    <col min="9" max="9" width="19" customWidth="1"/>
    <col min="10" max="10" width="17" customWidth="1"/>
    <col min="11" max="11" width="19" customWidth="1"/>
    <col min="12" max="12" width="17" customWidth="1"/>
    <col min="13" max="13" width="19" bestFit="1" customWidth="1"/>
    <col min="14" max="14" width="17" customWidth="1"/>
    <col min="15" max="15" width="13.7109375" bestFit="1" customWidth="1"/>
    <col min="16" max="17" width="9.140625" customWidth="1"/>
  </cols>
  <sheetData>
    <row r="2" spans="1:10" x14ac:dyDescent="0.25">
      <c r="A2">
        <v>10442918</v>
      </c>
      <c r="B2" t="s">
        <v>131</v>
      </c>
      <c r="C2" t="s">
        <v>132</v>
      </c>
      <c r="D2">
        <v>499</v>
      </c>
      <c r="E2">
        <v>981811161</v>
      </c>
      <c r="F2" t="s">
        <v>116</v>
      </c>
      <c r="G2" s="230">
        <v>43584.248773148145</v>
      </c>
      <c r="H2">
        <v>3000</v>
      </c>
      <c r="I2">
        <v>3000</v>
      </c>
      <c r="J2">
        <v>6.9101793030100506E+17</v>
      </c>
    </row>
    <row r="3" spans="1:10" x14ac:dyDescent="0.25">
      <c r="A3">
        <v>10442918</v>
      </c>
      <c r="B3" t="s">
        <v>131</v>
      </c>
      <c r="C3" t="s">
        <v>133</v>
      </c>
      <c r="D3">
        <v>503</v>
      </c>
      <c r="E3">
        <v>981811968</v>
      </c>
      <c r="F3" t="s">
        <v>116</v>
      </c>
      <c r="G3" s="230">
        <v>43584.251666666663</v>
      </c>
      <c r="H3">
        <v>3000</v>
      </c>
      <c r="I3">
        <v>3000</v>
      </c>
      <c r="J3">
        <v>45833748</v>
      </c>
    </row>
    <row r="4" spans="1:10" x14ac:dyDescent="0.25">
      <c r="A4">
        <v>10442918</v>
      </c>
      <c r="B4" t="s">
        <v>131</v>
      </c>
      <c r="C4" t="s">
        <v>134</v>
      </c>
      <c r="D4">
        <v>505</v>
      </c>
      <c r="E4">
        <v>981812241</v>
      </c>
      <c r="F4" t="s">
        <v>135</v>
      </c>
      <c r="G4" s="230">
        <v>43584.252465277779</v>
      </c>
      <c r="H4">
        <v>10000</v>
      </c>
      <c r="I4">
        <v>0</v>
      </c>
      <c r="J4">
        <v>1010101010</v>
      </c>
    </row>
    <row r="5" spans="1:10" x14ac:dyDescent="0.25">
      <c r="A5">
        <v>10442918</v>
      </c>
      <c r="B5" t="s">
        <v>131</v>
      </c>
      <c r="C5" t="s">
        <v>136</v>
      </c>
      <c r="D5">
        <v>507</v>
      </c>
      <c r="E5">
        <v>981834370</v>
      </c>
      <c r="F5" t="s">
        <v>116</v>
      </c>
      <c r="G5" s="230">
        <v>43584.287604166668</v>
      </c>
      <c r="H5">
        <v>4000</v>
      </c>
      <c r="I5">
        <v>4000</v>
      </c>
      <c r="J5">
        <v>17403243</v>
      </c>
    </row>
    <row r="6" spans="1:10" x14ac:dyDescent="0.25">
      <c r="A6">
        <v>10442918</v>
      </c>
      <c r="B6" t="s">
        <v>131</v>
      </c>
      <c r="C6" t="s">
        <v>137</v>
      </c>
      <c r="D6">
        <v>513</v>
      </c>
      <c r="E6">
        <v>981838747</v>
      </c>
      <c r="F6" t="s">
        <v>116</v>
      </c>
      <c r="G6" s="230">
        <v>43584.292685185188</v>
      </c>
      <c r="H6">
        <v>20000</v>
      </c>
      <c r="I6">
        <v>20000</v>
      </c>
      <c r="J6">
        <v>49667330</v>
      </c>
    </row>
    <row r="7" spans="1:10" x14ac:dyDescent="0.25">
      <c r="A7">
        <v>10442918</v>
      </c>
      <c r="B7" t="s">
        <v>131</v>
      </c>
      <c r="C7" t="s">
        <v>137</v>
      </c>
      <c r="D7">
        <v>514</v>
      </c>
      <c r="E7">
        <v>981839432</v>
      </c>
      <c r="F7" t="s">
        <v>116</v>
      </c>
      <c r="G7" s="230">
        <v>43584.293402777781</v>
      </c>
      <c r="H7">
        <v>20000</v>
      </c>
      <c r="I7">
        <v>20000</v>
      </c>
      <c r="J7">
        <v>49667330</v>
      </c>
    </row>
    <row r="8" spans="1:10" x14ac:dyDescent="0.25">
      <c r="A8">
        <v>10442918</v>
      </c>
      <c r="B8" t="s">
        <v>131</v>
      </c>
      <c r="C8" t="s">
        <v>138</v>
      </c>
      <c r="D8">
        <v>516</v>
      </c>
      <c r="E8">
        <v>981848358</v>
      </c>
      <c r="F8" t="s">
        <v>116</v>
      </c>
      <c r="G8" s="230">
        <v>43584.301805555559</v>
      </c>
      <c r="H8">
        <v>20000</v>
      </c>
      <c r="I8">
        <v>20000</v>
      </c>
      <c r="J8">
        <v>9201182305</v>
      </c>
    </row>
    <row r="9" spans="1:10" x14ac:dyDescent="0.25">
      <c r="A9">
        <v>10442918</v>
      </c>
      <c r="B9" t="s">
        <v>131</v>
      </c>
      <c r="C9" t="s">
        <v>138</v>
      </c>
      <c r="D9">
        <v>517</v>
      </c>
      <c r="E9">
        <v>981849079</v>
      </c>
      <c r="F9" t="s">
        <v>116</v>
      </c>
      <c r="G9" s="230">
        <v>43584.302488425928</v>
      </c>
      <c r="H9">
        <v>20000</v>
      </c>
      <c r="I9">
        <v>20000</v>
      </c>
      <c r="J9">
        <v>9201182305</v>
      </c>
    </row>
    <row r="10" spans="1:10" x14ac:dyDescent="0.25">
      <c r="A10">
        <v>10442918</v>
      </c>
      <c r="B10" t="s">
        <v>131</v>
      </c>
      <c r="C10" t="s">
        <v>139</v>
      </c>
      <c r="D10">
        <v>519</v>
      </c>
      <c r="E10">
        <v>981850659</v>
      </c>
      <c r="F10" t="s">
        <v>116</v>
      </c>
      <c r="G10" s="230">
        <v>43584.303969907407</v>
      </c>
      <c r="H10">
        <v>9000</v>
      </c>
      <c r="I10">
        <v>9000</v>
      </c>
      <c r="J10">
        <v>693700924</v>
      </c>
    </row>
    <row r="11" spans="1:10" x14ac:dyDescent="0.25">
      <c r="A11">
        <v>10442918</v>
      </c>
      <c r="B11" t="s">
        <v>131</v>
      </c>
      <c r="C11" t="s">
        <v>140</v>
      </c>
      <c r="D11">
        <v>522</v>
      </c>
      <c r="E11">
        <v>981861251</v>
      </c>
      <c r="F11" t="s">
        <v>116</v>
      </c>
      <c r="G11" s="230">
        <v>43584.312696759262</v>
      </c>
      <c r="H11">
        <v>2000</v>
      </c>
      <c r="I11">
        <v>2000</v>
      </c>
      <c r="J11">
        <v>3.2704922100100499E+17</v>
      </c>
    </row>
    <row r="12" spans="1:10" x14ac:dyDescent="0.25">
      <c r="A12">
        <v>10442918</v>
      </c>
      <c r="B12" t="s">
        <v>131</v>
      </c>
      <c r="C12" t="s">
        <v>119</v>
      </c>
      <c r="D12">
        <v>525</v>
      </c>
      <c r="E12">
        <v>981864775</v>
      </c>
      <c r="F12" t="s">
        <v>116</v>
      </c>
      <c r="G12" s="230">
        <v>43584.315439814818</v>
      </c>
      <c r="H12">
        <v>20000</v>
      </c>
      <c r="I12">
        <v>20000</v>
      </c>
      <c r="J12">
        <v>65248887</v>
      </c>
    </row>
    <row r="13" spans="1:10" x14ac:dyDescent="0.25">
      <c r="A13">
        <v>10442918</v>
      </c>
      <c r="B13" t="s">
        <v>131</v>
      </c>
      <c r="C13" t="s">
        <v>119</v>
      </c>
      <c r="D13">
        <v>526</v>
      </c>
      <c r="E13">
        <v>981865502</v>
      </c>
      <c r="F13" t="s">
        <v>116</v>
      </c>
      <c r="G13" s="230">
        <v>43584.315972222219</v>
      </c>
      <c r="H13">
        <v>20000</v>
      </c>
      <c r="I13">
        <v>20000</v>
      </c>
      <c r="J13">
        <v>65248887</v>
      </c>
    </row>
    <row r="14" spans="1:10" x14ac:dyDescent="0.25">
      <c r="A14">
        <v>10442918</v>
      </c>
      <c r="B14" t="s">
        <v>131</v>
      </c>
      <c r="C14" t="s">
        <v>119</v>
      </c>
      <c r="D14">
        <v>527</v>
      </c>
      <c r="E14">
        <v>981866328</v>
      </c>
      <c r="F14" t="s">
        <v>116</v>
      </c>
      <c r="G14" s="230">
        <v>43584.316608796296</v>
      </c>
      <c r="H14">
        <v>20000</v>
      </c>
      <c r="I14">
        <v>20000</v>
      </c>
      <c r="J14">
        <v>65248887</v>
      </c>
    </row>
    <row r="15" spans="1:10" x14ac:dyDescent="0.25">
      <c r="A15">
        <v>10442918</v>
      </c>
      <c r="B15" t="s">
        <v>131</v>
      </c>
      <c r="C15" t="s">
        <v>119</v>
      </c>
      <c r="D15">
        <v>529</v>
      </c>
      <c r="E15">
        <v>981868297</v>
      </c>
      <c r="F15" t="s">
        <v>116</v>
      </c>
      <c r="G15" s="230">
        <v>43584.317696759259</v>
      </c>
      <c r="H15">
        <v>20000</v>
      </c>
      <c r="I15">
        <v>20000</v>
      </c>
      <c r="J15">
        <v>65248887</v>
      </c>
    </row>
    <row r="16" spans="1:10" x14ac:dyDescent="0.25">
      <c r="A16">
        <v>10442918</v>
      </c>
      <c r="B16" t="s">
        <v>131</v>
      </c>
      <c r="C16" t="s">
        <v>119</v>
      </c>
      <c r="D16">
        <v>530</v>
      </c>
      <c r="E16">
        <v>981869207</v>
      </c>
      <c r="F16" t="s">
        <v>116</v>
      </c>
      <c r="G16" s="230">
        <v>43584.318368055552</v>
      </c>
      <c r="H16">
        <v>20000</v>
      </c>
      <c r="I16">
        <v>20000</v>
      </c>
      <c r="J16">
        <v>65248887</v>
      </c>
    </row>
    <row r="17" spans="1:10" x14ac:dyDescent="0.25">
      <c r="A17">
        <v>10442918</v>
      </c>
      <c r="B17" t="s">
        <v>131</v>
      </c>
      <c r="C17" t="s">
        <v>141</v>
      </c>
      <c r="D17">
        <v>534</v>
      </c>
      <c r="E17">
        <v>981891766</v>
      </c>
      <c r="F17" t="s">
        <v>116</v>
      </c>
      <c r="G17" s="230">
        <v>43584.333715277775</v>
      </c>
      <c r="H17">
        <v>1000</v>
      </c>
      <c r="I17">
        <v>1000</v>
      </c>
      <c r="J17">
        <v>92952655</v>
      </c>
    </row>
    <row r="18" spans="1:10" x14ac:dyDescent="0.25">
      <c r="A18">
        <v>10442918</v>
      </c>
      <c r="B18" t="s">
        <v>131</v>
      </c>
      <c r="C18" t="s">
        <v>142</v>
      </c>
      <c r="D18">
        <v>536</v>
      </c>
      <c r="E18">
        <v>981900412</v>
      </c>
      <c r="F18" t="s">
        <v>118</v>
      </c>
      <c r="G18" s="230">
        <v>43584.338553240741</v>
      </c>
      <c r="H18">
        <v>15000</v>
      </c>
      <c r="I18">
        <v>0</v>
      </c>
      <c r="J18">
        <v>5468971</v>
      </c>
    </row>
    <row r="19" spans="1:10" x14ac:dyDescent="0.25">
      <c r="A19">
        <v>10442918</v>
      </c>
      <c r="B19" t="s">
        <v>131</v>
      </c>
      <c r="C19" t="s">
        <v>143</v>
      </c>
      <c r="D19">
        <v>538</v>
      </c>
      <c r="E19">
        <v>981902086</v>
      </c>
      <c r="F19" t="s">
        <v>116</v>
      </c>
      <c r="G19" s="230">
        <v>43584.339548611111</v>
      </c>
      <c r="H19">
        <v>17000</v>
      </c>
      <c r="I19">
        <v>17000</v>
      </c>
      <c r="J19">
        <v>784449826</v>
      </c>
    </row>
    <row r="20" spans="1:10" x14ac:dyDescent="0.25">
      <c r="A20">
        <v>10442918</v>
      </c>
      <c r="B20" t="s">
        <v>131</v>
      </c>
      <c r="C20" t="s">
        <v>144</v>
      </c>
      <c r="D20">
        <v>540</v>
      </c>
      <c r="E20">
        <v>981916867</v>
      </c>
      <c r="F20" t="s">
        <v>116</v>
      </c>
      <c r="G20" s="230">
        <v>43584.347743055558</v>
      </c>
      <c r="H20">
        <v>1000</v>
      </c>
      <c r="I20">
        <v>1000</v>
      </c>
      <c r="J20">
        <v>2101065441</v>
      </c>
    </row>
    <row r="21" spans="1:10" x14ac:dyDescent="0.25">
      <c r="A21">
        <v>10442918</v>
      </c>
      <c r="B21" t="s">
        <v>131</v>
      </c>
      <c r="C21" t="s">
        <v>145</v>
      </c>
      <c r="D21">
        <v>544</v>
      </c>
      <c r="E21">
        <v>981924195</v>
      </c>
      <c r="F21" t="s">
        <v>117</v>
      </c>
      <c r="G21" s="230">
        <v>43584.351215277777</v>
      </c>
      <c r="H21">
        <v>20000</v>
      </c>
      <c r="I21">
        <v>0</v>
      </c>
      <c r="J21">
        <v>3.9703361590100499E+17</v>
      </c>
    </row>
    <row r="22" spans="1:10" x14ac:dyDescent="0.25">
      <c r="A22">
        <v>10442918</v>
      </c>
      <c r="B22" t="s">
        <v>131</v>
      </c>
      <c r="C22" t="s">
        <v>146</v>
      </c>
      <c r="D22">
        <v>547</v>
      </c>
      <c r="E22">
        <v>981937383</v>
      </c>
      <c r="F22" t="s">
        <v>116</v>
      </c>
      <c r="G22" s="230">
        <v>43584.357604166667</v>
      </c>
      <c r="H22">
        <v>2000</v>
      </c>
      <c r="I22">
        <v>2000</v>
      </c>
      <c r="J22">
        <v>725172611</v>
      </c>
    </row>
    <row r="23" spans="1:10" x14ac:dyDescent="0.25">
      <c r="A23">
        <v>10442918</v>
      </c>
      <c r="B23" t="s">
        <v>131</v>
      </c>
      <c r="C23" t="s">
        <v>147</v>
      </c>
      <c r="D23">
        <v>550</v>
      </c>
      <c r="E23">
        <v>981943114</v>
      </c>
      <c r="F23" t="s">
        <v>116</v>
      </c>
      <c r="G23" s="230">
        <v>43584.36005787037</v>
      </c>
      <c r="H23">
        <v>10000</v>
      </c>
      <c r="I23">
        <v>10000</v>
      </c>
      <c r="J23">
        <v>3361025780</v>
      </c>
    </row>
    <row r="24" spans="1:10" x14ac:dyDescent="0.25">
      <c r="A24">
        <v>10442918</v>
      </c>
      <c r="B24" t="s">
        <v>131</v>
      </c>
      <c r="C24" t="s">
        <v>148</v>
      </c>
      <c r="D24">
        <v>552</v>
      </c>
      <c r="E24">
        <v>981954786</v>
      </c>
      <c r="F24" t="s">
        <v>116</v>
      </c>
      <c r="G24" s="230">
        <v>43584.365324074075</v>
      </c>
      <c r="H24">
        <v>20000</v>
      </c>
      <c r="I24">
        <v>20000</v>
      </c>
      <c r="J24">
        <v>777323034</v>
      </c>
    </row>
    <row r="25" spans="1:10" x14ac:dyDescent="0.25">
      <c r="A25">
        <v>10442918</v>
      </c>
      <c r="B25" t="s">
        <v>131</v>
      </c>
      <c r="C25" t="s">
        <v>148</v>
      </c>
      <c r="D25">
        <v>552</v>
      </c>
      <c r="E25">
        <v>981954786</v>
      </c>
      <c r="F25" t="s">
        <v>116</v>
      </c>
      <c r="G25" s="230">
        <v>43584.365543981483</v>
      </c>
      <c r="H25">
        <v>0</v>
      </c>
      <c r="I25">
        <v>0</v>
      </c>
      <c r="J25">
        <v>777323034</v>
      </c>
    </row>
    <row r="26" spans="1:10" x14ac:dyDescent="0.25">
      <c r="A26">
        <v>10442918</v>
      </c>
      <c r="B26" t="s">
        <v>131</v>
      </c>
      <c r="C26" t="s">
        <v>149</v>
      </c>
      <c r="D26">
        <v>577</v>
      </c>
      <c r="E26">
        <v>982208472</v>
      </c>
      <c r="F26" t="s">
        <v>116</v>
      </c>
      <c r="G26" s="230">
        <v>43584.46025462963</v>
      </c>
      <c r="H26">
        <v>1000</v>
      </c>
      <c r="I26">
        <v>1000</v>
      </c>
      <c r="J26">
        <v>3.9703407980100499E+17</v>
      </c>
    </row>
    <row r="27" spans="1:10" x14ac:dyDescent="0.25">
      <c r="A27">
        <v>10442918</v>
      </c>
      <c r="B27" t="s">
        <v>131</v>
      </c>
      <c r="C27" t="s">
        <v>150</v>
      </c>
      <c r="D27">
        <v>579</v>
      </c>
      <c r="E27">
        <v>982237117</v>
      </c>
      <c r="F27" t="s">
        <v>116</v>
      </c>
      <c r="G27" s="230">
        <v>43584.470393518517</v>
      </c>
      <c r="H27">
        <v>20000</v>
      </c>
      <c r="I27">
        <v>20000</v>
      </c>
      <c r="J27">
        <v>26970245</v>
      </c>
    </row>
    <row r="28" spans="1:10" x14ac:dyDescent="0.25">
      <c r="A28">
        <v>10442918</v>
      </c>
      <c r="B28" t="s">
        <v>131</v>
      </c>
      <c r="C28" t="s">
        <v>150</v>
      </c>
      <c r="D28">
        <v>580</v>
      </c>
      <c r="E28">
        <v>982238997</v>
      </c>
      <c r="F28" t="s">
        <v>116</v>
      </c>
      <c r="G28" s="230">
        <v>43584.471041666664</v>
      </c>
      <c r="H28">
        <v>5000</v>
      </c>
      <c r="I28">
        <v>5000</v>
      </c>
      <c r="J28">
        <v>26970245</v>
      </c>
    </row>
    <row r="29" spans="1:10" x14ac:dyDescent="0.25">
      <c r="A29">
        <v>10442918</v>
      </c>
      <c r="B29" t="s">
        <v>131</v>
      </c>
      <c r="C29" t="s">
        <v>151</v>
      </c>
      <c r="D29">
        <v>582</v>
      </c>
      <c r="E29">
        <v>982241635</v>
      </c>
      <c r="F29" t="s">
        <v>116</v>
      </c>
      <c r="G29" s="230">
        <v>43584.472013888888</v>
      </c>
      <c r="H29">
        <v>9000</v>
      </c>
      <c r="I29">
        <v>9000</v>
      </c>
      <c r="J29">
        <v>9631716</v>
      </c>
    </row>
    <row r="30" spans="1:10" x14ac:dyDescent="0.25">
      <c r="A30">
        <v>10442918</v>
      </c>
      <c r="B30" t="s">
        <v>131</v>
      </c>
      <c r="C30" t="s">
        <v>152</v>
      </c>
      <c r="D30">
        <v>584</v>
      </c>
      <c r="E30">
        <v>982245099</v>
      </c>
      <c r="F30" t="s">
        <v>116</v>
      </c>
      <c r="G30" s="230">
        <v>43584.473240740743</v>
      </c>
      <c r="H30">
        <v>1500</v>
      </c>
      <c r="I30">
        <v>1500</v>
      </c>
      <c r="J30">
        <v>802285098</v>
      </c>
    </row>
    <row r="31" spans="1:10" x14ac:dyDescent="0.25">
      <c r="A31">
        <v>10442918</v>
      </c>
      <c r="B31" t="s">
        <v>131</v>
      </c>
      <c r="C31" t="s">
        <v>153</v>
      </c>
      <c r="D31">
        <v>587</v>
      </c>
      <c r="E31">
        <v>982250011</v>
      </c>
      <c r="F31" t="s">
        <v>116</v>
      </c>
      <c r="G31" s="230">
        <v>43584.474999999999</v>
      </c>
      <c r="H31">
        <v>14000</v>
      </c>
      <c r="I31">
        <v>14000</v>
      </c>
      <c r="J31">
        <v>6018644090</v>
      </c>
    </row>
    <row r="32" spans="1:10" x14ac:dyDescent="0.25">
      <c r="A32">
        <v>10442918</v>
      </c>
      <c r="B32" t="s">
        <v>131</v>
      </c>
      <c r="C32" t="s">
        <v>154</v>
      </c>
      <c r="D32">
        <v>596</v>
      </c>
      <c r="E32">
        <v>982279876</v>
      </c>
      <c r="F32" t="s">
        <v>116</v>
      </c>
      <c r="G32" s="230">
        <v>43584.485555555555</v>
      </c>
      <c r="H32">
        <v>5000</v>
      </c>
      <c r="I32">
        <v>5000</v>
      </c>
      <c r="J32">
        <v>38261545</v>
      </c>
    </row>
    <row r="33" spans="1:10" x14ac:dyDescent="0.25">
      <c r="A33">
        <v>10442918</v>
      </c>
      <c r="B33" t="s">
        <v>131</v>
      </c>
      <c r="C33" t="s">
        <v>155</v>
      </c>
      <c r="D33">
        <v>598</v>
      </c>
      <c r="E33">
        <v>982282150</v>
      </c>
      <c r="F33" t="s">
        <v>116</v>
      </c>
      <c r="G33" s="230">
        <v>43584.486354166664</v>
      </c>
      <c r="H33">
        <v>10000</v>
      </c>
      <c r="I33">
        <v>10000</v>
      </c>
      <c r="J33">
        <v>3.2903308950100499E+17</v>
      </c>
    </row>
    <row r="34" spans="1:10" x14ac:dyDescent="0.25">
      <c r="A34">
        <v>10442918</v>
      </c>
      <c r="B34" t="s">
        <v>131</v>
      </c>
      <c r="C34" t="s">
        <v>156</v>
      </c>
      <c r="D34">
        <v>600</v>
      </c>
      <c r="E34">
        <v>982284818</v>
      </c>
      <c r="F34" t="s">
        <v>116</v>
      </c>
      <c r="G34" s="230">
        <v>43584.487314814818</v>
      </c>
      <c r="H34">
        <v>4000</v>
      </c>
      <c r="I34">
        <v>4000</v>
      </c>
      <c r="J34">
        <v>21088591</v>
      </c>
    </row>
    <row r="35" spans="1:10" x14ac:dyDescent="0.25">
      <c r="A35">
        <v>10442918</v>
      </c>
      <c r="B35" t="s">
        <v>131</v>
      </c>
      <c r="C35" t="s">
        <v>157</v>
      </c>
      <c r="D35">
        <v>602</v>
      </c>
      <c r="E35">
        <v>982291944</v>
      </c>
      <c r="F35" t="s">
        <v>116</v>
      </c>
      <c r="G35" s="230">
        <v>43584.489953703705</v>
      </c>
      <c r="H35">
        <v>10000</v>
      </c>
      <c r="I35">
        <v>10000</v>
      </c>
      <c r="J35">
        <v>1017701049</v>
      </c>
    </row>
    <row r="36" spans="1:10" x14ac:dyDescent="0.25">
      <c r="A36">
        <v>10442918</v>
      </c>
      <c r="B36" t="s">
        <v>131</v>
      </c>
      <c r="C36" t="s">
        <v>158</v>
      </c>
      <c r="D36">
        <v>604</v>
      </c>
      <c r="E36">
        <v>982294421</v>
      </c>
      <c r="F36" t="s">
        <v>116</v>
      </c>
      <c r="G36" s="230">
        <v>43584.490879629629</v>
      </c>
      <c r="H36">
        <v>20000</v>
      </c>
      <c r="I36">
        <v>20000</v>
      </c>
      <c r="J36">
        <v>13757464</v>
      </c>
    </row>
    <row r="37" spans="1:10" x14ac:dyDescent="0.25">
      <c r="A37">
        <v>10442918</v>
      </c>
      <c r="B37" t="s">
        <v>131</v>
      </c>
      <c r="C37" t="s">
        <v>158</v>
      </c>
      <c r="D37">
        <v>605</v>
      </c>
      <c r="E37">
        <v>982296509</v>
      </c>
      <c r="F37" t="s">
        <v>116</v>
      </c>
      <c r="G37" s="230">
        <v>43584.491712962961</v>
      </c>
      <c r="H37">
        <v>10000</v>
      </c>
      <c r="I37">
        <v>10000</v>
      </c>
      <c r="J37">
        <v>13757464</v>
      </c>
    </row>
    <row r="38" spans="1:10" x14ac:dyDescent="0.25">
      <c r="A38">
        <v>10442918</v>
      </c>
      <c r="B38" t="s">
        <v>131</v>
      </c>
      <c r="C38" t="s">
        <v>158</v>
      </c>
      <c r="D38">
        <v>606</v>
      </c>
      <c r="E38">
        <v>982298223</v>
      </c>
      <c r="F38" t="s">
        <v>116</v>
      </c>
      <c r="G38" s="230">
        <v>43584.492349537039</v>
      </c>
      <c r="H38">
        <v>500</v>
      </c>
      <c r="I38">
        <v>500</v>
      </c>
      <c r="J38">
        <v>13757464</v>
      </c>
    </row>
    <row r="39" spans="1:10" x14ac:dyDescent="0.25">
      <c r="A39">
        <v>10442918</v>
      </c>
      <c r="B39" t="s">
        <v>131</v>
      </c>
      <c r="C39" t="s">
        <v>159</v>
      </c>
      <c r="D39">
        <v>609</v>
      </c>
      <c r="E39">
        <v>982303526</v>
      </c>
      <c r="F39" t="s">
        <v>116</v>
      </c>
      <c r="G39" s="230">
        <v>43584.494317129633</v>
      </c>
      <c r="H39">
        <v>10000</v>
      </c>
      <c r="I39">
        <v>10000</v>
      </c>
      <c r="J39">
        <v>1003019788</v>
      </c>
    </row>
    <row r="40" spans="1:10" x14ac:dyDescent="0.25">
      <c r="A40">
        <v>10442918</v>
      </c>
      <c r="B40" t="s">
        <v>131</v>
      </c>
      <c r="C40" t="s">
        <v>160</v>
      </c>
      <c r="D40">
        <v>612</v>
      </c>
      <c r="E40">
        <v>982306747</v>
      </c>
      <c r="F40" t="s">
        <v>116</v>
      </c>
      <c r="G40" s="230">
        <v>43584.495532407411</v>
      </c>
      <c r="H40">
        <v>9000</v>
      </c>
      <c r="I40">
        <v>9000</v>
      </c>
      <c r="J40">
        <v>56171044</v>
      </c>
    </row>
    <row r="41" spans="1:10" x14ac:dyDescent="0.25">
      <c r="A41">
        <v>10442918</v>
      </c>
      <c r="B41" t="s">
        <v>131</v>
      </c>
      <c r="C41" t="s">
        <v>161</v>
      </c>
      <c r="D41">
        <v>626</v>
      </c>
      <c r="E41">
        <v>982418502</v>
      </c>
      <c r="F41" t="s">
        <v>116</v>
      </c>
      <c r="G41" s="230">
        <v>43584.536053240743</v>
      </c>
      <c r="H41">
        <v>13000</v>
      </c>
      <c r="I41">
        <v>13000</v>
      </c>
      <c r="J41">
        <v>21503777</v>
      </c>
    </row>
    <row r="42" spans="1:10" x14ac:dyDescent="0.25">
      <c r="A42">
        <v>10442918</v>
      </c>
      <c r="B42" t="s">
        <v>131</v>
      </c>
      <c r="C42" t="s">
        <v>161</v>
      </c>
      <c r="D42">
        <v>628</v>
      </c>
      <c r="E42">
        <v>982422572</v>
      </c>
      <c r="F42" t="s">
        <v>116</v>
      </c>
      <c r="G42" s="230">
        <v>43584.537569444445</v>
      </c>
      <c r="H42">
        <v>10000</v>
      </c>
      <c r="I42">
        <v>10000</v>
      </c>
      <c r="J42">
        <v>21503777</v>
      </c>
    </row>
    <row r="43" spans="1:10" x14ac:dyDescent="0.25">
      <c r="A43">
        <v>10442918</v>
      </c>
      <c r="B43" t="s">
        <v>131</v>
      </c>
      <c r="C43" t="s">
        <v>162</v>
      </c>
      <c r="D43">
        <v>632</v>
      </c>
      <c r="E43">
        <v>982476818</v>
      </c>
      <c r="F43" t="s">
        <v>116</v>
      </c>
      <c r="G43" s="230">
        <v>43584.557662037034</v>
      </c>
      <c r="H43">
        <v>15000</v>
      </c>
      <c r="I43">
        <v>15000</v>
      </c>
      <c r="J43">
        <v>21741832</v>
      </c>
    </row>
    <row r="44" spans="1:10" x14ac:dyDescent="0.25">
      <c r="A44">
        <v>10442918</v>
      </c>
      <c r="B44" t="s">
        <v>131</v>
      </c>
      <c r="C44" t="s">
        <v>163</v>
      </c>
      <c r="D44">
        <v>634</v>
      </c>
      <c r="E44">
        <v>982492901</v>
      </c>
      <c r="F44" t="s">
        <v>116</v>
      </c>
      <c r="G44" s="230">
        <v>43584.563460648147</v>
      </c>
      <c r="H44">
        <v>20000</v>
      </c>
      <c r="I44">
        <v>20000</v>
      </c>
      <c r="J44">
        <v>16642384</v>
      </c>
    </row>
    <row r="45" spans="1:10" x14ac:dyDescent="0.25">
      <c r="A45">
        <v>10442918</v>
      </c>
      <c r="B45" t="s">
        <v>131</v>
      </c>
      <c r="C45" t="s">
        <v>164</v>
      </c>
      <c r="D45">
        <v>636</v>
      </c>
      <c r="E45">
        <v>982499276</v>
      </c>
      <c r="F45" t="s">
        <v>116</v>
      </c>
      <c r="G45" s="230">
        <v>43584.56585648148</v>
      </c>
      <c r="H45">
        <v>500</v>
      </c>
      <c r="I45">
        <v>500</v>
      </c>
      <c r="J45">
        <v>53078506</v>
      </c>
    </row>
    <row r="46" spans="1:10" x14ac:dyDescent="0.25">
      <c r="A46">
        <v>10442918</v>
      </c>
      <c r="B46" t="s">
        <v>131</v>
      </c>
      <c r="C46" t="s">
        <v>165</v>
      </c>
      <c r="D46">
        <v>638</v>
      </c>
      <c r="E46">
        <v>982501936</v>
      </c>
      <c r="F46" t="s">
        <v>116</v>
      </c>
      <c r="G46" s="230">
        <v>43584.566840277781</v>
      </c>
      <c r="H46">
        <v>5000</v>
      </c>
      <c r="I46">
        <v>5000</v>
      </c>
      <c r="J46">
        <v>56249138</v>
      </c>
    </row>
    <row r="47" spans="1:10" x14ac:dyDescent="0.25">
      <c r="A47">
        <v>10442918</v>
      </c>
      <c r="B47" t="s">
        <v>131</v>
      </c>
      <c r="C47" t="s">
        <v>166</v>
      </c>
      <c r="D47">
        <v>641</v>
      </c>
      <c r="E47">
        <v>982508409</v>
      </c>
      <c r="F47" t="s">
        <v>116</v>
      </c>
      <c r="G47" s="230">
        <v>43584.569293981483</v>
      </c>
      <c r="H47">
        <v>500</v>
      </c>
      <c r="I47">
        <v>500</v>
      </c>
      <c r="J47">
        <v>90845401</v>
      </c>
    </row>
    <row r="48" spans="1:10" x14ac:dyDescent="0.25">
      <c r="A48">
        <v>10442918</v>
      </c>
      <c r="B48" t="s">
        <v>131</v>
      </c>
      <c r="C48" t="s">
        <v>167</v>
      </c>
      <c r="D48">
        <v>645</v>
      </c>
      <c r="E48">
        <v>982515763</v>
      </c>
      <c r="F48" t="s">
        <v>116</v>
      </c>
      <c r="G48" s="230">
        <v>43584.571909722225</v>
      </c>
      <c r="H48">
        <v>20000</v>
      </c>
      <c r="I48">
        <v>20000</v>
      </c>
      <c r="J48">
        <v>3.6520504860100998E+17</v>
      </c>
    </row>
    <row r="49" spans="1:10" x14ac:dyDescent="0.25">
      <c r="A49">
        <v>10442918</v>
      </c>
      <c r="B49" t="s">
        <v>131</v>
      </c>
      <c r="C49" t="s">
        <v>167</v>
      </c>
      <c r="D49">
        <v>646</v>
      </c>
      <c r="E49">
        <v>982517445</v>
      </c>
      <c r="F49" t="s">
        <v>116</v>
      </c>
      <c r="G49" s="230">
        <v>43584.572546296295</v>
      </c>
      <c r="H49">
        <v>20000</v>
      </c>
      <c r="I49">
        <v>20000</v>
      </c>
      <c r="J49">
        <v>3.6520504860100998E+17</v>
      </c>
    </row>
    <row r="50" spans="1:10" x14ac:dyDescent="0.25">
      <c r="A50">
        <v>10442918</v>
      </c>
      <c r="B50" t="s">
        <v>131</v>
      </c>
      <c r="C50" t="s">
        <v>168</v>
      </c>
      <c r="D50">
        <v>649</v>
      </c>
      <c r="E50">
        <v>982525408</v>
      </c>
      <c r="F50" t="s">
        <v>116</v>
      </c>
      <c r="G50" s="230">
        <v>43584.575462962966</v>
      </c>
      <c r="H50">
        <v>20000</v>
      </c>
      <c r="I50">
        <v>20000</v>
      </c>
    </row>
    <row r="51" spans="1:10" x14ac:dyDescent="0.25">
      <c r="A51">
        <v>10442918</v>
      </c>
      <c r="B51" t="s">
        <v>131</v>
      </c>
      <c r="C51" t="s">
        <v>168</v>
      </c>
      <c r="D51">
        <v>650</v>
      </c>
      <c r="E51">
        <v>982527308</v>
      </c>
      <c r="F51" t="s">
        <v>116</v>
      </c>
      <c r="G51" s="230">
        <v>43584.576215277775</v>
      </c>
      <c r="H51">
        <v>20000</v>
      </c>
      <c r="I51">
        <v>20000</v>
      </c>
    </row>
    <row r="52" spans="1:10" x14ac:dyDescent="0.25">
      <c r="A52">
        <v>10442918</v>
      </c>
      <c r="B52" t="s">
        <v>131</v>
      </c>
      <c r="C52" t="s">
        <v>168</v>
      </c>
      <c r="D52">
        <v>651</v>
      </c>
      <c r="E52">
        <v>982528782</v>
      </c>
      <c r="F52" t="s">
        <v>116</v>
      </c>
      <c r="G52" s="230">
        <v>43584.576793981483</v>
      </c>
      <c r="H52">
        <v>20000</v>
      </c>
      <c r="I52">
        <v>20000</v>
      </c>
    </row>
    <row r="53" spans="1:10" x14ac:dyDescent="0.25">
      <c r="A53">
        <v>10442918</v>
      </c>
      <c r="B53" t="s">
        <v>131</v>
      </c>
      <c r="C53" t="s">
        <v>169</v>
      </c>
      <c r="D53">
        <v>655</v>
      </c>
      <c r="E53">
        <v>982539296</v>
      </c>
      <c r="F53" t="s">
        <v>116</v>
      </c>
      <c r="G53" s="230">
        <v>43584.580752314818</v>
      </c>
      <c r="H53">
        <v>20000</v>
      </c>
      <c r="I53">
        <v>20000</v>
      </c>
      <c r="J53">
        <v>50344275</v>
      </c>
    </row>
    <row r="54" spans="1:10" x14ac:dyDescent="0.25">
      <c r="A54">
        <v>10442918</v>
      </c>
      <c r="B54" t="s">
        <v>131</v>
      </c>
      <c r="C54" t="s">
        <v>169</v>
      </c>
      <c r="D54">
        <v>656</v>
      </c>
      <c r="E54">
        <v>982540874</v>
      </c>
      <c r="F54" t="s">
        <v>116</v>
      </c>
      <c r="G54" s="230">
        <v>43584.581365740742</v>
      </c>
      <c r="H54">
        <v>5000</v>
      </c>
      <c r="I54">
        <v>5000</v>
      </c>
      <c r="J54">
        <v>50344275</v>
      </c>
    </row>
    <row r="55" spans="1:10" x14ac:dyDescent="0.25">
      <c r="A55">
        <v>10442918</v>
      </c>
      <c r="B55" t="s">
        <v>131</v>
      </c>
      <c r="C55" t="s">
        <v>170</v>
      </c>
      <c r="D55">
        <v>658</v>
      </c>
      <c r="E55">
        <v>982543773</v>
      </c>
      <c r="F55" t="s">
        <v>116</v>
      </c>
      <c r="G55" s="230">
        <v>43584.582442129627</v>
      </c>
      <c r="H55">
        <v>9500</v>
      </c>
      <c r="I55">
        <v>9500</v>
      </c>
      <c r="J55">
        <v>1010101010</v>
      </c>
    </row>
    <row r="56" spans="1:10" x14ac:dyDescent="0.25">
      <c r="A56">
        <v>10442918</v>
      </c>
      <c r="B56" t="s">
        <v>131</v>
      </c>
      <c r="C56" t="s">
        <v>171</v>
      </c>
      <c r="D56">
        <v>660</v>
      </c>
      <c r="E56">
        <v>982547115</v>
      </c>
      <c r="F56" t="s">
        <v>116</v>
      </c>
      <c r="G56" s="230">
        <v>43584.583749999998</v>
      </c>
      <c r="H56">
        <v>20000</v>
      </c>
      <c r="I56">
        <v>20000</v>
      </c>
      <c r="J56">
        <v>44448284</v>
      </c>
    </row>
    <row r="57" spans="1:10" x14ac:dyDescent="0.25">
      <c r="A57">
        <v>10442918</v>
      </c>
      <c r="B57" t="s">
        <v>131</v>
      </c>
      <c r="C57" t="s">
        <v>172</v>
      </c>
      <c r="D57">
        <v>666</v>
      </c>
      <c r="E57">
        <v>982581939</v>
      </c>
      <c r="F57" t="s">
        <v>116</v>
      </c>
      <c r="G57" s="230">
        <v>43584.596770833334</v>
      </c>
      <c r="H57">
        <v>2000</v>
      </c>
      <c r="I57">
        <v>2000</v>
      </c>
      <c r="J57">
        <v>783775144</v>
      </c>
    </row>
    <row r="58" spans="1:10" x14ac:dyDescent="0.25">
      <c r="A58">
        <v>10442918</v>
      </c>
      <c r="B58" t="s">
        <v>131</v>
      </c>
      <c r="C58" t="s">
        <v>173</v>
      </c>
      <c r="D58">
        <v>668</v>
      </c>
      <c r="E58">
        <v>982585286</v>
      </c>
      <c r="F58" t="s">
        <v>116</v>
      </c>
      <c r="G58" s="230">
        <v>43584.598009259258</v>
      </c>
      <c r="H58">
        <v>10000</v>
      </c>
      <c r="I58">
        <v>10000</v>
      </c>
      <c r="J58">
        <v>11195590</v>
      </c>
    </row>
    <row r="59" spans="1:10" x14ac:dyDescent="0.25">
      <c r="A59">
        <v>10442918</v>
      </c>
      <c r="B59" t="s">
        <v>131</v>
      </c>
      <c r="C59" t="s">
        <v>174</v>
      </c>
      <c r="D59">
        <v>670</v>
      </c>
      <c r="E59">
        <v>982606267</v>
      </c>
      <c r="F59" t="s">
        <v>116</v>
      </c>
      <c r="G59" s="230">
        <v>43584.605717592596</v>
      </c>
      <c r="H59">
        <v>20000</v>
      </c>
      <c r="I59">
        <v>20000</v>
      </c>
      <c r="J59">
        <v>3.2302711480100499E+17</v>
      </c>
    </row>
    <row r="60" spans="1:10" x14ac:dyDescent="0.25">
      <c r="A60">
        <v>10442918</v>
      </c>
      <c r="B60" t="s">
        <v>131</v>
      </c>
      <c r="C60" t="s">
        <v>174</v>
      </c>
      <c r="D60">
        <v>671</v>
      </c>
      <c r="E60">
        <v>982608190</v>
      </c>
      <c r="F60" t="s">
        <v>116</v>
      </c>
      <c r="G60" s="230">
        <v>43584.606423611112</v>
      </c>
      <c r="H60">
        <v>20000</v>
      </c>
      <c r="I60">
        <v>20000</v>
      </c>
      <c r="J60">
        <v>3.2302711480100499E+17</v>
      </c>
    </row>
    <row r="61" spans="1:10" x14ac:dyDescent="0.25">
      <c r="A61">
        <v>10442918</v>
      </c>
      <c r="B61" t="s">
        <v>131</v>
      </c>
      <c r="C61" t="s">
        <v>174</v>
      </c>
      <c r="D61">
        <v>672</v>
      </c>
      <c r="E61">
        <v>982609906</v>
      </c>
      <c r="F61" t="s">
        <v>116</v>
      </c>
      <c r="G61" s="230">
        <v>43584.607071759259</v>
      </c>
      <c r="H61">
        <v>20000</v>
      </c>
      <c r="I61">
        <v>20000</v>
      </c>
      <c r="J61">
        <v>3.2302711480100499E+17</v>
      </c>
    </row>
    <row r="62" spans="1:10" x14ac:dyDescent="0.25">
      <c r="A62">
        <v>10442918</v>
      </c>
      <c r="B62" t="s">
        <v>131</v>
      </c>
      <c r="C62" t="s">
        <v>174</v>
      </c>
      <c r="D62">
        <v>673</v>
      </c>
      <c r="E62">
        <v>982611627</v>
      </c>
      <c r="F62" t="s">
        <v>116</v>
      </c>
      <c r="G62" s="230">
        <v>43584.60769675926</v>
      </c>
      <c r="H62">
        <v>20000</v>
      </c>
      <c r="I62">
        <v>20000</v>
      </c>
      <c r="J62">
        <v>3.2302711480100499E+17</v>
      </c>
    </row>
    <row r="63" spans="1:10" x14ac:dyDescent="0.25">
      <c r="A63">
        <v>10442918</v>
      </c>
      <c r="B63" t="s">
        <v>131</v>
      </c>
      <c r="C63" t="s">
        <v>174</v>
      </c>
      <c r="D63">
        <v>674</v>
      </c>
      <c r="E63">
        <v>982613374</v>
      </c>
      <c r="F63" t="s">
        <v>116</v>
      </c>
      <c r="G63" s="230">
        <v>43584.608356481483</v>
      </c>
      <c r="H63">
        <v>20000</v>
      </c>
      <c r="I63">
        <v>20000</v>
      </c>
      <c r="J63">
        <v>3.2302711480100499E+17</v>
      </c>
    </row>
    <row r="64" spans="1:10" x14ac:dyDescent="0.25">
      <c r="A64">
        <v>10442918</v>
      </c>
      <c r="B64" t="s">
        <v>131</v>
      </c>
      <c r="C64" t="s">
        <v>174</v>
      </c>
      <c r="D64">
        <v>675</v>
      </c>
      <c r="E64">
        <v>982615168</v>
      </c>
      <c r="F64" t="s">
        <v>116</v>
      </c>
      <c r="G64" s="230">
        <v>43584.60900462963</v>
      </c>
      <c r="H64">
        <v>20000</v>
      </c>
      <c r="I64">
        <v>20000</v>
      </c>
      <c r="J64">
        <v>3.2302711480100499E+17</v>
      </c>
    </row>
    <row r="65" spans="1:10" x14ac:dyDescent="0.25">
      <c r="A65">
        <v>10442918</v>
      </c>
      <c r="B65" t="s">
        <v>131</v>
      </c>
      <c r="C65" t="s">
        <v>174</v>
      </c>
      <c r="D65">
        <v>677</v>
      </c>
      <c r="E65">
        <v>982617823</v>
      </c>
      <c r="F65" t="s">
        <v>121</v>
      </c>
      <c r="G65" s="230">
        <v>43584.610011574077</v>
      </c>
      <c r="H65">
        <v>20000</v>
      </c>
      <c r="I65">
        <v>0</v>
      </c>
      <c r="J65">
        <v>3.2302711480100499E+17</v>
      </c>
    </row>
    <row r="66" spans="1:10" x14ac:dyDescent="0.25">
      <c r="A66">
        <v>10442918</v>
      </c>
      <c r="B66" t="s">
        <v>131</v>
      </c>
      <c r="C66" t="s">
        <v>175</v>
      </c>
      <c r="D66">
        <v>679</v>
      </c>
      <c r="E66">
        <v>982623987</v>
      </c>
      <c r="F66" t="s">
        <v>116</v>
      </c>
      <c r="G66" s="230">
        <v>43584.612291666665</v>
      </c>
      <c r="H66">
        <v>5000</v>
      </c>
      <c r="I66">
        <v>5000</v>
      </c>
      <c r="J66">
        <v>4.2026620540100998E+17</v>
      </c>
    </row>
    <row r="67" spans="1:10" x14ac:dyDescent="0.25">
      <c r="A67">
        <v>10442918</v>
      </c>
      <c r="B67" t="s">
        <v>131</v>
      </c>
      <c r="C67" t="s">
        <v>176</v>
      </c>
      <c r="D67">
        <v>681</v>
      </c>
      <c r="E67">
        <v>982635135</v>
      </c>
      <c r="F67" t="s">
        <v>116</v>
      </c>
      <c r="G67" s="230">
        <v>43584.61650462963</v>
      </c>
      <c r="H67">
        <v>20000</v>
      </c>
      <c r="I67">
        <v>20000</v>
      </c>
      <c r="J67">
        <v>787614937</v>
      </c>
    </row>
    <row r="68" spans="1:10" x14ac:dyDescent="0.25">
      <c r="A68">
        <v>10442918</v>
      </c>
      <c r="B68" t="s">
        <v>131</v>
      </c>
      <c r="C68" t="s">
        <v>176</v>
      </c>
      <c r="D68">
        <v>683</v>
      </c>
      <c r="E68">
        <v>982637817</v>
      </c>
      <c r="F68" t="s">
        <v>116</v>
      </c>
      <c r="G68" s="230">
        <v>43584.617465277777</v>
      </c>
      <c r="H68">
        <v>20000</v>
      </c>
      <c r="I68">
        <v>20000</v>
      </c>
      <c r="J68">
        <v>787614937</v>
      </c>
    </row>
    <row r="69" spans="1:10" x14ac:dyDescent="0.25">
      <c r="A69">
        <v>10442918</v>
      </c>
      <c r="B69" t="s">
        <v>131</v>
      </c>
      <c r="C69" t="s">
        <v>176</v>
      </c>
      <c r="D69">
        <v>684</v>
      </c>
      <c r="E69">
        <v>982639587</v>
      </c>
      <c r="F69" t="s">
        <v>116</v>
      </c>
      <c r="G69" s="230">
        <v>43584.618090277778</v>
      </c>
      <c r="H69">
        <v>20000</v>
      </c>
      <c r="I69">
        <v>20000</v>
      </c>
      <c r="J69">
        <v>787614937</v>
      </c>
    </row>
    <row r="70" spans="1:10" x14ac:dyDescent="0.25">
      <c r="A70">
        <v>10442918</v>
      </c>
      <c r="B70" t="s">
        <v>131</v>
      </c>
      <c r="C70" t="s">
        <v>176</v>
      </c>
      <c r="D70">
        <v>685</v>
      </c>
      <c r="E70">
        <v>982641366</v>
      </c>
      <c r="F70" t="s">
        <v>116</v>
      </c>
      <c r="G70" s="230">
        <v>43584.618761574071</v>
      </c>
      <c r="H70">
        <v>5000</v>
      </c>
      <c r="I70">
        <v>5000</v>
      </c>
      <c r="J70">
        <v>787614937</v>
      </c>
    </row>
    <row r="71" spans="1:10" x14ac:dyDescent="0.25">
      <c r="A71">
        <v>10442918</v>
      </c>
      <c r="B71" t="s">
        <v>131</v>
      </c>
      <c r="C71" t="s">
        <v>177</v>
      </c>
      <c r="D71">
        <v>690</v>
      </c>
      <c r="E71">
        <v>982722246</v>
      </c>
      <c r="F71" t="s">
        <v>116</v>
      </c>
      <c r="G71" s="230">
        <v>43584.649444444447</v>
      </c>
      <c r="H71">
        <v>20000</v>
      </c>
      <c r="I71">
        <v>20000</v>
      </c>
      <c r="J71">
        <v>657207</v>
      </c>
    </row>
    <row r="72" spans="1:10" x14ac:dyDescent="0.25">
      <c r="A72">
        <v>10442918</v>
      </c>
      <c r="B72" t="s">
        <v>131</v>
      </c>
      <c r="C72" t="s">
        <v>177</v>
      </c>
      <c r="D72">
        <v>691</v>
      </c>
      <c r="E72">
        <v>982724356</v>
      </c>
      <c r="F72" t="s">
        <v>116</v>
      </c>
      <c r="G72" s="230">
        <v>43584.650208333333</v>
      </c>
      <c r="H72">
        <v>20000</v>
      </c>
      <c r="I72">
        <v>20000</v>
      </c>
      <c r="J72">
        <v>657207</v>
      </c>
    </row>
    <row r="73" spans="1:10" x14ac:dyDescent="0.25">
      <c r="A73">
        <v>10442918</v>
      </c>
      <c r="B73" t="s">
        <v>131</v>
      </c>
      <c r="C73" t="s">
        <v>178</v>
      </c>
      <c r="D73">
        <v>693</v>
      </c>
      <c r="E73">
        <v>982728375</v>
      </c>
      <c r="F73" t="s">
        <v>117</v>
      </c>
      <c r="G73" s="230">
        <v>43584.651666666665</v>
      </c>
      <c r="H73">
        <v>5000</v>
      </c>
      <c r="I73">
        <v>0</v>
      </c>
    </row>
    <row r="74" spans="1:10" x14ac:dyDescent="0.25">
      <c r="A74">
        <v>10442918</v>
      </c>
      <c r="B74" t="s">
        <v>131</v>
      </c>
      <c r="C74" t="s">
        <v>178</v>
      </c>
      <c r="D74">
        <v>694</v>
      </c>
      <c r="E74">
        <v>982729435</v>
      </c>
      <c r="F74" t="s">
        <v>179</v>
      </c>
      <c r="G74" s="230">
        <v>43584.652094907404</v>
      </c>
      <c r="H74">
        <v>5000</v>
      </c>
      <c r="I74">
        <v>0</v>
      </c>
    </row>
    <row r="75" spans="1:10" x14ac:dyDescent="0.25">
      <c r="A75">
        <v>10442918</v>
      </c>
      <c r="B75" t="s">
        <v>131</v>
      </c>
      <c r="C75" t="s">
        <v>180</v>
      </c>
      <c r="D75">
        <v>696</v>
      </c>
      <c r="E75">
        <v>982739364</v>
      </c>
      <c r="F75" t="s">
        <v>116</v>
      </c>
      <c r="G75" s="230">
        <v>43584.655775462961</v>
      </c>
      <c r="H75">
        <v>3000</v>
      </c>
      <c r="I75">
        <v>3000</v>
      </c>
      <c r="J75">
        <v>3684271017</v>
      </c>
    </row>
    <row r="76" spans="1:10" x14ac:dyDescent="0.25">
      <c r="A76">
        <v>10442918</v>
      </c>
      <c r="B76" t="s">
        <v>131</v>
      </c>
      <c r="C76" t="s">
        <v>181</v>
      </c>
      <c r="D76">
        <v>698</v>
      </c>
      <c r="E76">
        <v>982757927</v>
      </c>
      <c r="F76" t="s">
        <v>116</v>
      </c>
      <c r="G76" s="230">
        <v>43584.662754629629</v>
      </c>
      <c r="H76">
        <v>1000</v>
      </c>
      <c r="I76">
        <v>1000</v>
      </c>
      <c r="J76">
        <v>54517618</v>
      </c>
    </row>
    <row r="77" spans="1:10" x14ac:dyDescent="0.25">
      <c r="A77">
        <v>10442918</v>
      </c>
      <c r="B77" t="s">
        <v>131</v>
      </c>
      <c r="C77" t="s">
        <v>182</v>
      </c>
      <c r="D77">
        <v>700</v>
      </c>
      <c r="E77">
        <v>982760870</v>
      </c>
      <c r="F77" t="s">
        <v>116</v>
      </c>
      <c r="G77" s="230">
        <v>43584.663877314815</v>
      </c>
      <c r="H77">
        <v>500</v>
      </c>
      <c r="I77">
        <v>500</v>
      </c>
      <c r="J77">
        <v>26861747</v>
      </c>
    </row>
    <row r="78" spans="1:10" x14ac:dyDescent="0.25">
      <c r="A78">
        <v>10442918</v>
      </c>
      <c r="B78" t="s">
        <v>131</v>
      </c>
      <c r="C78" t="s">
        <v>183</v>
      </c>
      <c r="D78">
        <v>703</v>
      </c>
      <c r="E78">
        <v>982774136</v>
      </c>
      <c r="F78" t="s">
        <v>116</v>
      </c>
      <c r="G78" s="230">
        <v>43584.669027777774</v>
      </c>
      <c r="H78">
        <v>1000</v>
      </c>
      <c r="I78">
        <v>1000</v>
      </c>
      <c r="J78">
        <v>3.2903531710100499E+17</v>
      </c>
    </row>
    <row r="79" spans="1:10" x14ac:dyDescent="0.25">
      <c r="A79">
        <v>10442918</v>
      </c>
      <c r="B79" t="s">
        <v>131</v>
      </c>
      <c r="C79" t="s">
        <v>184</v>
      </c>
      <c r="D79">
        <v>706</v>
      </c>
      <c r="E79">
        <v>982810656</v>
      </c>
      <c r="F79" t="s">
        <v>116</v>
      </c>
      <c r="G79" s="230">
        <v>43584.682800925926</v>
      </c>
      <c r="H79">
        <v>500</v>
      </c>
      <c r="I79">
        <v>500</v>
      </c>
      <c r="J79">
        <v>2211621007</v>
      </c>
    </row>
    <row r="80" spans="1:10" x14ac:dyDescent="0.25">
      <c r="A80">
        <v>10442918</v>
      </c>
      <c r="B80" t="s">
        <v>131</v>
      </c>
      <c r="C80" t="s">
        <v>185</v>
      </c>
      <c r="D80">
        <v>709</v>
      </c>
      <c r="E80">
        <v>982822559</v>
      </c>
      <c r="F80" t="s">
        <v>116</v>
      </c>
      <c r="G80" s="230">
        <v>43584.687303240738</v>
      </c>
      <c r="H80">
        <v>10000</v>
      </c>
      <c r="I80">
        <v>10000</v>
      </c>
      <c r="J80">
        <v>6337575</v>
      </c>
    </row>
    <row r="81" spans="1:10" x14ac:dyDescent="0.25">
      <c r="A81">
        <v>10442918</v>
      </c>
      <c r="B81" t="s">
        <v>131</v>
      </c>
      <c r="C81" t="s">
        <v>186</v>
      </c>
      <c r="D81">
        <v>711</v>
      </c>
      <c r="E81">
        <v>982826214</v>
      </c>
      <c r="F81" t="s">
        <v>118</v>
      </c>
      <c r="G81" s="230">
        <v>43584.688657407409</v>
      </c>
      <c r="H81">
        <v>1000</v>
      </c>
      <c r="I81">
        <v>0</v>
      </c>
      <c r="J81">
        <v>689505784</v>
      </c>
    </row>
    <row r="82" spans="1:10" x14ac:dyDescent="0.25">
      <c r="A82">
        <v>10442918</v>
      </c>
      <c r="B82" t="s">
        <v>131</v>
      </c>
      <c r="C82" t="s">
        <v>186</v>
      </c>
      <c r="D82">
        <v>714</v>
      </c>
      <c r="E82">
        <v>982832525</v>
      </c>
      <c r="F82" t="s">
        <v>116</v>
      </c>
      <c r="G82" s="230">
        <v>43584.690983796296</v>
      </c>
      <c r="H82">
        <v>500</v>
      </c>
      <c r="I82">
        <v>500</v>
      </c>
      <c r="J82">
        <v>689505784</v>
      </c>
    </row>
    <row r="83" spans="1:10" x14ac:dyDescent="0.25">
      <c r="A83">
        <v>10442918</v>
      </c>
      <c r="B83" t="s">
        <v>131</v>
      </c>
      <c r="C83" t="s">
        <v>187</v>
      </c>
      <c r="D83">
        <v>717</v>
      </c>
      <c r="E83">
        <v>982839317</v>
      </c>
      <c r="F83" t="s">
        <v>116</v>
      </c>
      <c r="G83" s="230">
        <v>43584.693541666667</v>
      </c>
      <c r="H83">
        <v>5000</v>
      </c>
      <c r="I83">
        <v>5000</v>
      </c>
      <c r="J83">
        <v>688897628</v>
      </c>
    </row>
    <row r="84" spans="1:10" x14ac:dyDescent="0.25">
      <c r="A84">
        <v>10442918</v>
      </c>
      <c r="B84" t="s">
        <v>131</v>
      </c>
      <c r="C84" t="s">
        <v>188</v>
      </c>
      <c r="D84">
        <v>719</v>
      </c>
      <c r="E84">
        <v>982844830</v>
      </c>
      <c r="F84" t="s">
        <v>116</v>
      </c>
      <c r="G84" s="230">
        <v>43584.695636574077</v>
      </c>
      <c r="H84">
        <v>20000</v>
      </c>
      <c r="I84">
        <v>20000</v>
      </c>
      <c r="J84">
        <v>2378242</v>
      </c>
    </row>
    <row r="85" spans="1:10" x14ac:dyDescent="0.25">
      <c r="A85">
        <v>10442918</v>
      </c>
      <c r="B85" t="s">
        <v>131</v>
      </c>
      <c r="C85" t="s">
        <v>188</v>
      </c>
      <c r="D85">
        <v>720</v>
      </c>
      <c r="E85">
        <v>982846951</v>
      </c>
      <c r="F85" t="s">
        <v>116</v>
      </c>
      <c r="G85" s="230">
        <v>43584.696458333332</v>
      </c>
      <c r="H85">
        <v>15000</v>
      </c>
      <c r="I85">
        <v>15000</v>
      </c>
      <c r="J85">
        <v>2378242</v>
      </c>
    </row>
    <row r="86" spans="1:10" x14ac:dyDescent="0.25">
      <c r="A86">
        <v>10442918</v>
      </c>
      <c r="B86" t="s">
        <v>131</v>
      </c>
      <c r="C86" t="s">
        <v>188</v>
      </c>
      <c r="D86">
        <v>721</v>
      </c>
      <c r="E86">
        <v>982849143</v>
      </c>
      <c r="F86" t="s">
        <v>116</v>
      </c>
      <c r="G86" s="230">
        <v>43584.697291666664</v>
      </c>
      <c r="H86">
        <v>3000</v>
      </c>
      <c r="I86">
        <v>3000</v>
      </c>
      <c r="J86">
        <v>2378242</v>
      </c>
    </row>
    <row r="87" spans="1:10" x14ac:dyDescent="0.25">
      <c r="A87">
        <v>10442918</v>
      </c>
      <c r="B87" t="s">
        <v>131</v>
      </c>
      <c r="C87" t="s">
        <v>189</v>
      </c>
      <c r="D87">
        <v>724</v>
      </c>
      <c r="E87">
        <v>982861683</v>
      </c>
      <c r="F87" t="s">
        <v>116</v>
      </c>
      <c r="G87" s="230">
        <v>43584.701956018522</v>
      </c>
      <c r="H87">
        <v>5000</v>
      </c>
      <c r="I87">
        <v>5000</v>
      </c>
      <c r="J87">
        <v>5171005035</v>
      </c>
    </row>
    <row r="88" spans="1:10" x14ac:dyDescent="0.25">
      <c r="A88">
        <v>10442918</v>
      </c>
      <c r="B88" t="s">
        <v>131</v>
      </c>
      <c r="C88" t="s">
        <v>189</v>
      </c>
      <c r="D88">
        <v>725</v>
      </c>
      <c r="E88">
        <v>982863489</v>
      </c>
      <c r="F88" t="s">
        <v>116</v>
      </c>
      <c r="G88" s="230">
        <v>43584.702650462961</v>
      </c>
      <c r="H88">
        <v>5000</v>
      </c>
      <c r="I88">
        <v>5000</v>
      </c>
      <c r="J88">
        <v>5171005035</v>
      </c>
    </row>
    <row r="89" spans="1:10" x14ac:dyDescent="0.25">
      <c r="A89">
        <v>10442918</v>
      </c>
      <c r="B89" t="s">
        <v>131</v>
      </c>
      <c r="C89" t="s">
        <v>190</v>
      </c>
      <c r="D89">
        <v>728</v>
      </c>
      <c r="E89">
        <v>982876509</v>
      </c>
      <c r="F89" t="s">
        <v>116</v>
      </c>
      <c r="G89" s="230">
        <v>43584.707488425927</v>
      </c>
      <c r="H89">
        <v>20000</v>
      </c>
      <c r="I89">
        <v>20000</v>
      </c>
      <c r="J89">
        <v>55720043</v>
      </c>
    </row>
    <row r="90" spans="1:10" x14ac:dyDescent="0.25">
      <c r="A90">
        <v>10442918</v>
      </c>
      <c r="B90" t="s">
        <v>131</v>
      </c>
      <c r="C90" t="s">
        <v>190</v>
      </c>
      <c r="D90">
        <v>730</v>
      </c>
      <c r="E90">
        <v>982879465</v>
      </c>
      <c r="F90" t="s">
        <v>116</v>
      </c>
      <c r="G90" s="230">
        <v>43584.708622685182</v>
      </c>
      <c r="H90">
        <v>20000</v>
      </c>
      <c r="I90">
        <v>20000</v>
      </c>
      <c r="J90">
        <v>55720043</v>
      </c>
    </row>
    <row r="91" spans="1:10" x14ac:dyDescent="0.25">
      <c r="A91">
        <v>10442918</v>
      </c>
      <c r="B91" t="s">
        <v>131</v>
      </c>
      <c r="C91" t="s">
        <v>190</v>
      </c>
      <c r="D91">
        <v>731</v>
      </c>
      <c r="E91">
        <v>982881627</v>
      </c>
      <c r="F91" t="s">
        <v>116</v>
      </c>
      <c r="G91" s="230">
        <v>43584.709409722222</v>
      </c>
      <c r="H91">
        <v>20000</v>
      </c>
      <c r="I91">
        <v>20000</v>
      </c>
      <c r="J91">
        <v>55720043</v>
      </c>
    </row>
    <row r="92" spans="1:10" x14ac:dyDescent="0.25">
      <c r="A92">
        <v>10442918</v>
      </c>
      <c r="B92" t="s">
        <v>131</v>
      </c>
      <c r="C92" t="s">
        <v>191</v>
      </c>
      <c r="D92">
        <v>733</v>
      </c>
      <c r="E92">
        <v>982884090</v>
      </c>
      <c r="F92" t="s">
        <v>116</v>
      </c>
      <c r="G92" s="230">
        <v>43584.710347222222</v>
      </c>
      <c r="H92">
        <v>5000</v>
      </c>
      <c r="I92">
        <v>5000</v>
      </c>
      <c r="J92">
        <v>707471163</v>
      </c>
    </row>
    <row r="93" spans="1:10" x14ac:dyDescent="0.25">
      <c r="A93">
        <v>10442918</v>
      </c>
      <c r="B93" t="s">
        <v>131</v>
      </c>
      <c r="C93" t="s">
        <v>192</v>
      </c>
      <c r="D93">
        <v>735</v>
      </c>
      <c r="E93">
        <v>982895714</v>
      </c>
      <c r="F93" t="s">
        <v>116</v>
      </c>
      <c r="G93" s="230">
        <v>43584.714606481481</v>
      </c>
      <c r="H93">
        <v>10000</v>
      </c>
      <c r="I93">
        <v>10000</v>
      </c>
      <c r="J93">
        <v>22921329</v>
      </c>
    </row>
    <row r="94" spans="1:10" x14ac:dyDescent="0.25">
      <c r="A94">
        <v>10442918</v>
      </c>
      <c r="B94" t="s">
        <v>131</v>
      </c>
      <c r="C94" t="s">
        <v>143</v>
      </c>
      <c r="D94">
        <v>737</v>
      </c>
      <c r="E94">
        <v>982919519</v>
      </c>
      <c r="F94" t="s">
        <v>116</v>
      </c>
      <c r="G94" s="230">
        <v>43584.723229166666</v>
      </c>
      <c r="H94">
        <v>1000</v>
      </c>
      <c r="I94">
        <v>1000</v>
      </c>
      <c r="J94">
        <v>784449826</v>
      </c>
    </row>
    <row r="95" spans="1:10" x14ac:dyDescent="0.25">
      <c r="A95">
        <v>10442918</v>
      </c>
      <c r="B95" t="s">
        <v>131</v>
      </c>
      <c r="C95" t="s">
        <v>193</v>
      </c>
      <c r="D95">
        <v>739</v>
      </c>
      <c r="E95">
        <v>982954296</v>
      </c>
      <c r="F95" t="s">
        <v>116</v>
      </c>
      <c r="G95" s="230">
        <v>43584.736226851855</v>
      </c>
      <c r="H95">
        <v>10000</v>
      </c>
      <c r="I95">
        <v>10000</v>
      </c>
      <c r="J95">
        <v>777687277</v>
      </c>
    </row>
    <row r="96" spans="1:10" x14ac:dyDescent="0.25">
      <c r="A96">
        <v>10442918</v>
      </c>
      <c r="B96" t="s">
        <v>131</v>
      </c>
      <c r="C96" t="s">
        <v>194</v>
      </c>
      <c r="D96">
        <v>743</v>
      </c>
      <c r="E96">
        <v>982966028</v>
      </c>
      <c r="F96" t="s">
        <v>116</v>
      </c>
      <c r="G96" s="230">
        <v>43584.740590277775</v>
      </c>
      <c r="H96">
        <v>4000</v>
      </c>
      <c r="I96">
        <v>4000</v>
      </c>
      <c r="J96">
        <v>109970094</v>
      </c>
    </row>
    <row r="97" spans="1:10" x14ac:dyDescent="0.25">
      <c r="A97">
        <v>10442918</v>
      </c>
      <c r="B97" t="s">
        <v>131</v>
      </c>
      <c r="C97" t="s">
        <v>195</v>
      </c>
      <c r="D97">
        <v>745</v>
      </c>
      <c r="E97">
        <v>982985381</v>
      </c>
      <c r="F97" t="s">
        <v>116</v>
      </c>
      <c r="G97" s="230">
        <v>43584.747997685183</v>
      </c>
      <c r="H97">
        <v>1500</v>
      </c>
      <c r="I97">
        <v>1500</v>
      </c>
      <c r="J97">
        <v>3.2903454730100499E+17</v>
      </c>
    </row>
    <row r="98" spans="1:10" x14ac:dyDescent="0.25">
      <c r="A98">
        <v>10442918</v>
      </c>
      <c r="B98" t="s">
        <v>131</v>
      </c>
      <c r="C98" t="s">
        <v>196</v>
      </c>
      <c r="D98">
        <v>747</v>
      </c>
      <c r="E98">
        <v>982988495</v>
      </c>
      <c r="F98" t="s">
        <v>116</v>
      </c>
      <c r="G98" s="230">
        <v>43584.749224537038</v>
      </c>
      <c r="H98">
        <v>15000</v>
      </c>
      <c r="I98">
        <v>15000</v>
      </c>
      <c r="J98">
        <v>701076</v>
      </c>
    </row>
    <row r="99" spans="1:10" x14ac:dyDescent="0.25">
      <c r="A99">
        <v>10442918</v>
      </c>
      <c r="B99" t="s">
        <v>131</v>
      </c>
      <c r="C99" t="s">
        <v>196</v>
      </c>
      <c r="D99">
        <v>748</v>
      </c>
      <c r="E99">
        <v>982991500</v>
      </c>
      <c r="F99" t="s">
        <v>116</v>
      </c>
      <c r="G99" s="230">
        <v>43584.750358796293</v>
      </c>
      <c r="H99">
        <v>20000</v>
      </c>
      <c r="I99">
        <v>20000</v>
      </c>
      <c r="J99">
        <v>701076</v>
      </c>
    </row>
    <row r="100" spans="1:10" x14ac:dyDescent="0.25">
      <c r="A100">
        <v>10442918</v>
      </c>
      <c r="B100" t="s">
        <v>131</v>
      </c>
      <c r="C100" t="s">
        <v>197</v>
      </c>
      <c r="D100">
        <v>750</v>
      </c>
      <c r="E100">
        <v>982993589</v>
      </c>
      <c r="F100" t="s">
        <v>198</v>
      </c>
      <c r="G100" s="230">
        <v>43584.751168981478</v>
      </c>
      <c r="H100">
        <v>500</v>
      </c>
      <c r="I100">
        <v>0</v>
      </c>
      <c r="J100">
        <v>120002161</v>
      </c>
    </row>
    <row r="101" spans="1:10" x14ac:dyDescent="0.25">
      <c r="A101">
        <v>10442918</v>
      </c>
      <c r="B101" t="s">
        <v>131</v>
      </c>
      <c r="C101" t="s">
        <v>199</v>
      </c>
      <c r="D101">
        <v>752</v>
      </c>
      <c r="E101">
        <v>982996606</v>
      </c>
      <c r="F101" t="s">
        <v>116</v>
      </c>
      <c r="G101" s="230">
        <v>43584.75236111111</v>
      </c>
      <c r="H101">
        <v>500</v>
      </c>
      <c r="I101">
        <v>500</v>
      </c>
      <c r="J101">
        <v>3.3208923110100102E+17</v>
      </c>
    </row>
    <row r="102" spans="1:10" x14ac:dyDescent="0.25">
      <c r="A102">
        <v>10442918</v>
      </c>
      <c r="B102" t="s">
        <v>131</v>
      </c>
      <c r="C102" t="s">
        <v>200</v>
      </c>
      <c r="D102">
        <v>758</v>
      </c>
      <c r="E102">
        <v>983025007</v>
      </c>
      <c r="F102" t="s">
        <v>116</v>
      </c>
      <c r="G102" s="230">
        <v>43584.763680555552</v>
      </c>
      <c r="H102">
        <v>3000</v>
      </c>
      <c r="I102">
        <v>3000</v>
      </c>
      <c r="J102">
        <v>1010101010</v>
      </c>
    </row>
    <row r="103" spans="1:10" x14ac:dyDescent="0.25">
      <c r="A103">
        <v>10442918</v>
      </c>
      <c r="B103" t="s">
        <v>131</v>
      </c>
      <c r="C103" t="s">
        <v>201</v>
      </c>
      <c r="D103">
        <v>760</v>
      </c>
      <c r="E103">
        <v>983031203</v>
      </c>
      <c r="F103" t="s">
        <v>117</v>
      </c>
      <c r="G103" s="230">
        <v>43584.766180555554</v>
      </c>
      <c r="H103">
        <v>20000</v>
      </c>
      <c r="I103">
        <v>0</v>
      </c>
      <c r="J103">
        <v>4020335864</v>
      </c>
    </row>
    <row r="104" spans="1:10" x14ac:dyDescent="0.25">
      <c r="A104">
        <v>10442918</v>
      </c>
      <c r="B104" t="s">
        <v>131</v>
      </c>
      <c r="C104" t="s">
        <v>201</v>
      </c>
      <c r="D104">
        <v>761</v>
      </c>
      <c r="E104">
        <v>983031902</v>
      </c>
      <c r="F104" t="s">
        <v>116</v>
      </c>
      <c r="G104" s="230">
        <v>43584.766481481478</v>
      </c>
      <c r="H104">
        <v>20000</v>
      </c>
      <c r="I104">
        <v>20000</v>
      </c>
      <c r="J104">
        <v>4020335864</v>
      </c>
    </row>
    <row r="105" spans="1:10" x14ac:dyDescent="0.25">
      <c r="A105">
        <v>10442918</v>
      </c>
      <c r="B105" t="s">
        <v>131</v>
      </c>
      <c r="C105" t="s">
        <v>201</v>
      </c>
      <c r="D105">
        <v>762</v>
      </c>
      <c r="E105">
        <v>983033470</v>
      </c>
      <c r="F105" t="s">
        <v>116</v>
      </c>
      <c r="G105" s="230">
        <v>43584.767141203702</v>
      </c>
      <c r="H105">
        <v>20000</v>
      </c>
      <c r="I105">
        <v>20000</v>
      </c>
      <c r="J105">
        <v>4020335864</v>
      </c>
    </row>
    <row r="106" spans="1:10" x14ac:dyDescent="0.25">
      <c r="A106">
        <v>10442918</v>
      </c>
      <c r="B106" t="s">
        <v>131</v>
      </c>
      <c r="C106" t="s">
        <v>201</v>
      </c>
      <c r="D106">
        <v>763</v>
      </c>
      <c r="E106">
        <v>983035270</v>
      </c>
      <c r="F106" t="s">
        <v>116</v>
      </c>
      <c r="G106" s="230">
        <v>43584.767824074072</v>
      </c>
      <c r="H106">
        <v>20000</v>
      </c>
      <c r="I106">
        <v>20000</v>
      </c>
      <c r="J106">
        <v>4020335864</v>
      </c>
    </row>
    <row r="107" spans="1:10" x14ac:dyDescent="0.25">
      <c r="A107">
        <v>10442918</v>
      </c>
      <c r="B107" t="s">
        <v>131</v>
      </c>
      <c r="C107" t="s">
        <v>202</v>
      </c>
      <c r="D107">
        <v>766</v>
      </c>
      <c r="E107">
        <v>983067313</v>
      </c>
      <c r="F107" t="s">
        <v>116</v>
      </c>
      <c r="G107" s="230">
        <v>43584.781111111108</v>
      </c>
      <c r="H107">
        <v>20000</v>
      </c>
      <c r="I107">
        <v>20000</v>
      </c>
      <c r="J107">
        <v>19089425</v>
      </c>
    </row>
    <row r="108" spans="1:10" x14ac:dyDescent="0.25">
      <c r="A108">
        <v>10442918</v>
      </c>
      <c r="B108" t="s">
        <v>131</v>
      </c>
      <c r="C108" t="s">
        <v>202</v>
      </c>
      <c r="D108">
        <v>767</v>
      </c>
      <c r="E108">
        <v>983069114</v>
      </c>
      <c r="F108" t="s">
        <v>116</v>
      </c>
      <c r="G108" s="230">
        <v>43584.781875000001</v>
      </c>
      <c r="H108">
        <v>20000</v>
      </c>
      <c r="I108">
        <v>20000</v>
      </c>
      <c r="J108">
        <v>19089425</v>
      </c>
    </row>
    <row r="109" spans="1:10" x14ac:dyDescent="0.25">
      <c r="A109">
        <v>10442918</v>
      </c>
      <c r="B109" t="s">
        <v>131</v>
      </c>
      <c r="C109" t="s">
        <v>202</v>
      </c>
      <c r="D109">
        <v>768</v>
      </c>
      <c r="E109">
        <v>983071062</v>
      </c>
      <c r="F109" t="s">
        <v>116</v>
      </c>
      <c r="G109" s="230">
        <v>43584.782708333332</v>
      </c>
      <c r="H109">
        <v>7000</v>
      </c>
      <c r="I109">
        <v>7000</v>
      </c>
      <c r="J109">
        <v>19089425</v>
      </c>
    </row>
    <row r="110" spans="1:10" x14ac:dyDescent="0.25">
      <c r="A110">
        <v>10442918</v>
      </c>
      <c r="B110" t="s">
        <v>131</v>
      </c>
      <c r="C110" t="s">
        <v>203</v>
      </c>
      <c r="D110">
        <v>770</v>
      </c>
      <c r="E110">
        <v>983074191</v>
      </c>
      <c r="F110" t="s">
        <v>116</v>
      </c>
      <c r="G110" s="230">
        <v>43584.78398148148</v>
      </c>
      <c r="H110">
        <v>10000</v>
      </c>
      <c r="I110">
        <v>10000</v>
      </c>
      <c r="J110">
        <v>3.2302983470100499E+17</v>
      </c>
    </row>
    <row r="111" spans="1:10" x14ac:dyDescent="0.25">
      <c r="A111">
        <v>10442918</v>
      </c>
      <c r="B111" t="s">
        <v>131</v>
      </c>
      <c r="C111" t="s">
        <v>204</v>
      </c>
      <c r="D111">
        <v>772</v>
      </c>
      <c r="E111">
        <v>983077443</v>
      </c>
      <c r="F111" t="s">
        <v>117</v>
      </c>
      <c r="G111" s="230">
        <v>43584.785312499997</v>
      </c>
      <c r="H111">
        <v>1000</v>
      </c>
      <c r="I111">
        <v>0</v>
      </c>
    </row>
    <row r="112" spans="1:10" x14ac:dyDescent="0.25">
      <c r="A112">
        <v>10442918</v>
      </c>
      <c r="B112" t="s">
        <v>131</v>
      </c>
      <c r="C112" t="s">
        <v>204</v>
      </c>
      <c r="D112">
        <v>773</v>
      </c>
      <c r="E112">
        <v>983078445</v>
      </c>
      <c r="F112" t="s">
        <v>179</v>
      </c>
      <c r="G112" s="230">
        <v>43584.78570601852</v>
      </c>
      <c r="H112">
        <v>1000</v>
      </c>
      <c r="I112">
        <v>0</v>
      </c>
    </row>
    <row r="113" spans="1:10" x14ac:dyDescent="0.25">
      <c r="A113">
        <v>10442918</v>
      </c>
      <c r="B113" t="s">
        <v>131</v>
      </c>
      <c r="C113" t="s">
        <v>205</v>
      </c>
      <c r="D113">
        <v>775</v>
      </c>
      <c r="E113">
        <v>983080094</v>
      </c>
      <c r="F113" t="s">
        <v>116</v>
      </c>
      <c r="G113" s="230">
        <v>43584.786400462966</v>
      </c>
      <c r="H113">
        <v>20000</v>
      </c>
      <c r="I113">
        <v>20000</v>
      </c>
      <c r="J113">
        <v>701764779</v>
      </c>
    </row>
    <row r="114" spans="1:10" x14ac:dyDescent="0.25">
      <c r="A114">
        <v>10442918</v>
      </c>
      <c r="B114" t="s">
        <v>131</v>
      </c>
      <c r="C114" t="s">
        <v>206</v>
      </c>
      <c r="D114">
        <v>777</v>
      </c>
      <c r="E114">
        <v>983082460</v>
      </c>
      <c r="F114" t="s">
        <v>116</v>
      </c>
      <c r="G114" s="230">
        <v>43584.787395833337</v>
      </c>
      <c r="H114">
        <v>1000</v>
      </c>
      <c r="I114">
        <v>1000</v>
      </c>
      <c r="J114">
        <v>12822539</v>
      </c>
    </row>
    <row r="115" spans="1:10" x14ac:dyDescent="0.25">
      <c r="A115">
        <v>10442918</v>
      </c>
      <c r="B115" t="s">
        <v>131</v>
      </c>
      <c r="C115" t="s">
        <v>207</v>
      </c>
      <c r="D115">
        <v>779</v>
      </c>
      <c r="E115">
        <v>983084516</v>
      </c>
      <c r="F115" t="s">
        <v>116</v>
      </c>
      <c r="G115" s="230">
        <v>43584.788298611114</v>
      </c>
      <c r="H115">
        <v>2000</v>
      </c>
      <c r="I115">
        <v>2000</v>
      </c>
      <c r="J115">
        <v>2084033969</v>
      </c>
    </row>
    <row r="116" spans="1:10" x14ac:dyDescent="0.25">
      <c r="A116">
        <v>10442918</v>
      </c>
      <c r="B116" t="s">
        <v>131</v>
      </c>
      <c r="C116" t="s">
        <v>208</v>
      </c>
      <c r="D116">
        <v>781</v>
      </c>
      <c r="E116">
        <v>983086947</v>
      </c>
      <c r="F116" t="s">
        <v>116</v>
      </c>
      <c r="G116" s="230">
        <v>43584.789340277777</v>
      </c>
      <c r="H116">
        <v>2000</v>
      </c>
      <c r="I116">
        <v>2000</v>
      </c>
      <c r="J116">
        <v>62163685</v>
      </c>
    </row>
    <row r="117" spans="1:10" x14ac:dyDescent="0.25">
      <c r="A117">
        <v>10442918</v>
      </c>
      <c r="B117" t="s">
        <v>131</v>
      </c>
      <c r="C117" t="s">
        <v>209</v>
      </c>
      <c r="D117">
        <v>784</v>
      </c>
      <c r="E117">
        <v>983091703</v>
      </c>
      <c r="F117" t="s">
        <v>116</v>
      </c>
      <c r="G117" s="230">
        <v>43584.791388888887</v>
      </c>
      <c r="H117">
        <v>3000</v>
      </c>
      <c r="I117">
        <v>3000</v>
      </c>
      <c r="J117">
        <v>32300547</v>
      </c>
    </row>
    <row r="118" spans="1:10" x14ac:dyDescent="0.25">
      <c r="A118">
        <v>10442918</v>
      </c>
      <c r="B118" t="s">
        <v>131</v>
      </c>
      <c r="C118" t="s">
        <v>210</v>
      </c>
      <c r="D118">
        <v>786</v>
      </c>
      <c r="E118">
        <v>983095190</v>
      </c>
      <c r="F118" t="s">
        <v>116</v>
      </c>
      <c r="G118" s="230">
        <v>43584.792893518519</v>
      </c>
      <c r="H118">
        <v>5000</v>
      </c>
      <c r="I118">
        <v>5000</v>
      </c>
      <c r="J118">
        <v>696040551</v>
      </c>
    </row>
    <row r="119" spans="1:10" x14ac:dyDescent="0.25">
      <c r="A119">
        <v>10442918</v>
      </c>
      <c r="B119" t="s">
        <v>131</v>
      </c>
      <c r="C119" t="s">
        <v>211</v>
      </c>
      <c r="D119">
        <v>788</v>
      </c>
      <c r="E119">
        <v>983097309</v>
      </c>
      <c r="F119" t="s">
        <v>116</v>
      </c>
      <c r="G119" s="230">
        <v>43584.793819444443</v>
      </c>
      <c r="H119">
        <v>20000</v>
      </c>
      <c r="I119">
        <v>20000</v>
      </c>
      <c r="J119">
        <v>18592781</v>
      </c>
    </row>
    <row r="120" spans="1:10" x14ac:dyDescent="0.25">
      <c r="A120">
        <v>10442918</v>
      </c>
      <c r="B120" t="s">
        <v>131</v>
      </c>
      <c r="C120" t="s">
        <v>212</v>
      </c>
      <c r="D120">
        <v>790</v>
      </c>
      <c r="E120">
        <v>983101618</v>
      </c>
      <c r="F120" t="s">
        <v>116</v>
      </c>
      <c r="G120" s="230">
        <v>43584.795717592591</v>
      </c>
      <c r="H120">
        <v>20000</v>
      </c>
      <c r="I120">
        <v>20000</v>
      </c>
      <c r="J120">
        <v>89190121</v>
      </c>
    </row>
    <row r="121" spans="1:10" x14ac:dyDescent="0.25">
      <c r="A121">
        <v>10442918</v>
      </c>
      <c r="B121" t="s">
        <v>131</v>
      </c>
      <c r="C121" t="s">
        <v>213</v>
      </c>
      <c r="D121">
        <v>792</v>
      </c>
      <c r="E121">
        <v>983113848</v>
      </c>
      <c r="F121" t="s">
        <v>116</v>
      </c>
      <c r="G121" s="230">
        <v>43584.801168981481</v>
      </c>
      <c r="H121">
        <v>10000</v>
      </c>
      <c r="I121">
        <v>10000</v>
      </c>
      <c r="J121">
        <v>1019179672</v>
      </c>
    </row>
    <row r="122" spans="1:10" x14ac:dyDescent="0.25">
      <c r="A122">
        <v>10442918</v>
      </c>
      <c r="B122" t="s">
        <v>131</v>
      </c>
      <c r="C122" t="s">
        <v>214</v>
      </c>
      <c r="D122">
        <v>794</v>
      </c>
      <c r="E122">
        <v>983116297</v>
      </c>
      <c r="F122" t="s">
        <v>116</v>
      </c>
      <c r="G122" s="230">
        <v>43584.802245370367</v>
      </c>
      <c r="H122">
        <v>2000</v>
      </c>
      <c r="I122">
        <v>2000</v>
      </c>
      <c r="J122">
        <v>51214780</v>
      </c>
    </row>
    <row r="123" spans="1:10" x14ac:dyDescent="0.25">
      <c r="A123">
        <v>10442918</v>
      </c>
      <c r="B123" t="s">
        <v>131</v>
      </c>
      <c r="C123" t="s">
        <v>204</v>
      </c>
      <c r="D123">
        <v>797</v>
      </c>
      <c r="E123">
        <v>983120295</v>
      </c>
      <c r="F123" t="s">
        <v>116</v>
      </c>
      <c r="G123" s="230">
        <v>43584.804062499999</v>
      </c>
      <c r="H123">
        <v>2000</v>
      </c>
      <c r="I123">
        <v>2000</v>
      </c>
      <c r="J123">
        <v>9013237</v>
      </c>
    </row>
    <row r="124" spans="1:10" x14ac:dyDescent="0.25">
      <c r="A124">
        <v>10442918</v>
      </c>
      <c r="B124" t="s">
        <v>131</v>
      </c>
      <c r="C124" t="s">
        <v>215</v>
      </c>
      <c r="D124">
        <v>799</v>
      </c>
      <c r="E124">
        <v>983122511</v>
      </c>
      <c r="F124" t="s">
        <v>116</v>
      </c>
      <c r="G124" s="230">
        <v>43584.805092592593</v>
      </c>
      <c r="H124">
        <v>500</v>
      </c>
      <c r="I124">
        <v>500</v>
      </c>
      <c r="J124">
        <v>3361031727</v>
      </c>
    </row>
    <row r="125" spans="1:10" x14ac:dyDescent="0.25">
      <c r="A125">
        <v>10442918</v>
      </c>
      <c r="B125" t="s">
        <v>131</v>
      </c>
      <c r="C125" t="s">
        <v>216</v>
      </c>
      <c r="D125">
        <v>803</v>
      </c>
      <c r="E125">
        <v>983126401</v>
      </c>
      <c r="F125" t="s">
        <v>116</v>
      </c>
      <c r="G125" s="230">
        <v>43584.806851851848</v>
      </c>
      <c r="H125">
        <v>20000</v>
      </c>
      <c r="I125">
        <v>20000</v>
      </c>
      <c r="J125">
        <v>690049624</v>
      </c>
    </row>
    <row r="126" spans="1:10" x14ac:dyDescent="0.25">
      <c r="A126">
        <v>10442918</v>
      </c>
      <c r="B126" t="s">
        <v>131</v>
      </c>
      <c r="C126" t="s">
        <v>216</v>
      </c>
      <c r="D126">
        <v>804</v>
      </c>
      <c r="E126">
        <v>983127992</v>
      </c>
      <c r="F126" t="s">
        <v>116</v>
      </c>
      <c r="G126" s="230">
        <v>43584.807604166665</v>
      </c>
      <c r="H126">
        <v>20000</v>
      </c>
      <c r="I126">
        <v>20000</v>
      </c>
      <c r="J126">
        <v>690049624</v>
      </c>
    </row>
    <row r="127" spans="1:10" x14ac:dyDescent="0.25">
      <c r="A127">
        <v>10442918</v>
      </c>
      <c r="B127" t="s">
        <v>131</v>
      </c>
      <c r="C127" t="s">
        <v>216</v>
      </c>
      <c r="D127">
        <v>805</v>
      </c>
      <c r="E127">
        <v>983129409</v>
      </c>
      <c r="F127" t="s">
        <v>116</v>
      </c>
      <c r="G127" s="230">
        <v>43584.808252314811</v>
      </c>
      <c r="H127">
        <v>20000</v>
      </c>
      <c r="I127">
        <v>20000</v>
      </c>
      <c r="J127">
        <v>690049624</v>
      </c>
    </row>
    <row r="128" spans="1:10" x14ac:dyDescent="0.25">
      <c r="A128">
        <v>10442918</v>
      </c>
      <c r="B128" t="s">
        <v>131</v>
      </c>
      <c r="C128" t="s">
        <v>216</v>
      </c>
      <c r="D128">
        <v>806</v>
      </c>
      <c r="E128">
        <v>983130808</v>
      </c>
      <c r="F128" t="s">
        <v>116</v>
      </c>
      <c r="G128" s="230">
        <v>43584.808912037035</v>
      </c>
      <c r="H128">
        <v>20000</v>
      </c>
      <c r="I128">
        <v>20000</v>
      </c>
      <c r="J128">
        <v>690049624</v>
      </c>
    </row>
    <row r="129" spans="1:10" x14ac:dyDescent="0.25">
      <c r="A129">
        <v>10442918</v>
      </c>
      <c r="B129" t="s">
        <v>131</v>
      </c>
      <c r="C129" t="s">
        <v>216</v>
      </c>
      <c r="D129">
        <v>807</v>
      </c>
      <c r="E129">
        <v>983132471</v>
      </c>
      <c r="F129" t="s">
        <v>116</v>
      </c>
      <c r="G129" s="230">
        <v>43584.809710648151</v>
      </c>
      <c r="H129">
        <v>20000</v>
      </c>
      <c r="I129">
        <v>20000</v>
      </c>
      <c r="J129">
        <v>690049624</v>
      </c>
    </row>
    <row r="130" spans="1:10" x14ac:dyDescent="0.25">
      <c r="A130">
        <v>10442918</v>
      </c>
      <c r="B130" t="s">
        <v>131</v>
      </c>
      <c r="C130" t="s">
        <v>216</v>
      </c>
      <c r="D130">
        <v>808</v>
      </c>
      <c r="E130">
        <v>983134179</v>
      </c>
      <c r="F130" t="s">
        <v>121</v>
      </c>
      <c r="G130" s="230">
        <v>43584.810520833336</v>
      </c>
      <c r="H130">
        <v>20000</v>
      </c>
      <c r="I130">
        <v>0</v>
      </c>
      <c r="J130">
        <v>690049624</v>
      </c>
    </row>
    <row r="131" spans="1:10" x14ac:dyDescent="0.25">
      <c r="A131">
        <v>10442918</v>
      </c>
      <c r="B131" t="s">
        <v>131</v>
      </c>
      <c r="C131" t="s">
        <v>216</v>
      </c>
      <c r="D131">
        <v>809</v>
      </c>
      <c r="E131">
        <v>983135345</v>
      </c>
      <c r="F131" t="s">
        <v>116</v>
      </c>
      <c r="G131" s="230">
        <v>43584.811076388891</v>
      </c>
      <c r="H131">
        <v>10000</v>
      </c>
      <c r="I131">
        <v>10000</v>
      </c>
      <c r="J131">
        <v>690049624</v>
      </c>
    </row>
    <row r="132" spans="1:10" x14ac:dyDescent="0.25">
      <c r="A132">
        <v>10442918</v>
      </c>
      <c r="B132" t="s">
        <v>131</v>
      </c>
      <c r="C132" t="s">
        <v>217</v>
      </c>
      <c r="D132">
        <v>811</v>
      </c>
      <c r="E132">
        <v>983137666</v>
      </c>
      <c r="F132" t="s">
        <v>116</v>
      </c>
      <c r="G132" s="230">
        <v>43584.8121875</v>
      </c>
      <c r="H132">
        <v>1500</v>
      </c>
      <c r="I132">
        <v>1500</v>
      </c>
      <c r="J132">
        <v>5461074572</v>
      </c>
    </row>
    <row r="133" spans="1:10" x14ac:dyDescent="0.25">
      <c r="A133">
        <v>10442918</v>
      </c>
      <c r="B133" t="s">
        <v>131</v>
      </c>
      <c r="C133" t="s">
        <v>218</v>
      </c>
      <c r="D133">
        <v>813</v>
      </c>
      <c r="E133">
        <v>983143659</v>
      </c>
      <c r="F133" t="s">
        <v>116</v>
      </c>
      <c r="G133" s="230">
        <v>43584.815011574072</v>
      </c>
      <c r="H133">
        <v>5000</v>
      </c>
      <c r="I133">
        <v>5000</v>
      </c>
      <c r="J133">
        <v>730828305</v>
      </c>
    </row>
    <row r="134" spans="1:10" x14ac:dyDescent="0.25">
      <c r="A134">
        <v>10442918</v>
      </c>
      <c r="B134" t="s">
        <v>131</v>
      </c>
      <c r="C134" t="s">
        <v>219</v>
      </c>
      <c r="D134">
        <v>815</v>
      </c>
      <c r="E134">
        <v>983148353</v>
      </c>
      <c r="F134" t="s">
        <v>116</v>
      </c>
      <c r="G134" s="230">
        <v>43584.817280092589</v>
      </c>
      <c r="H134">
        <v>5000</v>
      </c>
      <c r="I134">
        <v>5000</v>
      </c>
      <c r="J134">
        <v>3.9401306080100499E+17</v>
      </c>
    </row>
    <row r="135" spans="1:10" x14ac:dyDescent="0.25">
      <c r="A135">
        <v>10442918</v>
      </c>
      <c r="B135" t="s">
        <v>131</v>
      </c>
      <c r="C135" t="s">
        <v>220</v>
      </c>
      <c r="D135">
        <v>817</v>
      </c>
      <c r="E135">
        <v>983153882</v>
      </c>
      <c r="F135" t="s">
        <v>116</v>
      </c>
      <c r="G135" s="230">
        <v>43584.819861111115</v>
      </c>
      <c r="H135">
        <v>10000</v>
      </c>
      <c r="I135">
        <v>10000</v>
      </c>
      <c r="J135">
        <v>9202153889</v>
      </c>
    </row>
    <row r="136" spans="1:10" x14ac:dyDescent="0.25">
      <c r="A136">
        <v>10442918</v>
      </c>
      <c r="B136" t="s">
        <v>131</v>
      </c>
      <c r="C136" t="s">
        <v>144</v>
      </c>
      <c r="D136">
        <v>819</v>
      </c>
      <c r="E136">
        <v>983166087</v>
      </c>
      <c r="F136" t="s">
        <v>118</v>
      </c>
      <c r="G136" s="230">
        <v>43584.825833333336</v>
      </c>
      <c r="H136">
        <v>1000</v>
      </c>
      <c r="I136">
        <v>0</v>
      </c>
      <c r="J136">
        <v>2101065441</v>
      </c>
    </row>
    <row r="137" spans="1:10" x14ac:dyDescent="0.25">
      <c r="A137">
        <v>10442918</v>
      </c>
      <c r="B137" t="s">
        <v>131</v>
      </c>
      <c r="C137" t="s">
        <v>221</v>
      </c>
      <c r="D137">
        <v>821</v>
      </c>
      <c r="E137">
        <v>983168420</v>
      </c>
      <c r="F137" t="s">
        <v>116</v>
      </c>
      <c r="G137" s="230">
        <v>43584.82707175926</v>
      </c>
      <c r="H137">
        <v>2000</v>
      </c>
      <c r="I137">
        <v>2000</v>
      </c>
      <c r="J137">
        <v>91230185</v>
      </c>
    </row>
    <row r="138" spans="1:10" x14ac:dyDescent="0.25">
      <c r="A138">
        <v>10442918</v>
      </c>
      <c r="B138" t="s">
        <v>131</v>
      </c>
      <c r="C138" t="s">
        <v>217</v>
      </c>
      <c r="D138">
        <v>825</v>
      </c>
      <c r="E138">
        <v>983181635</v>
      </c>
      <c r="F138" t="s">
        <v>116</v>
      </c>
      <c r="G138" s="230">
        <v>43584.833958333336</v>
      </c>
      <c r="H138">
        <v>1000</v>
      </c>
      <c r="I138">
        <v>1000</v>
      </c>
      <c r="J138">
        <v>5461074572</v>
      </c>
    </row>
    <row r="139" spans="1:10" x14ac:dyDescent="0.25">
      <c r="A139">
        <v>10442918</v>
      </c>
      <c r="B139" t="s">
        <v>131</v>
      </c>
      <c r="C139" t="s">
        <v>222</v>
      </c>
      <c r="D139">
        <v>830</v>
      </c>
      <c r="E139">
        <v>983190813</v>
      </c>
      <c r="F139" t="s">
        <v>116</v>
      </c>
      <c r="G139" s="230">
        <v>43584.838958333334</v>
      </c>
      <c r="H139">
        <v>20000</v>
      </c>
      <c r="I139">
        <v>20000</v>
      </c>
      <c r="J139">
        <v>14320266</v>
      </c>
    </row>
    <row r="140" spans="1:10" x14ac:dyDescent="0.25">
      <c r="A140">
        <v>10442918</v>
      </c>
      <c r="B140" t="s">
        <v>131</v>
      </c>
      <c r="C140" t="s">
        <v>222</v>
      </c>
      <c r="D140">
        <v>832</v>
      </c>
      <c r="E140">
        <v>983192684</v>
      </c>
      <c r="F140" t="s">
        <v>116</v>
      </c>
      <c r="G140" s="230">
        <v>43584.84002314815</v>
      </c>
      <c r="H140">
        <v>20000</v>
      </c>
      <c r="I140">
        <v>20000</v>
      </c>
      <c r="J140">
        <v>14320266</v>
      </c>
    </row>
    <row r="141" spans="1:10" x14ac:dyDescent="0.25">
      <c r="A141">
        <v>10442918</v>
      </c>
      <c r="B141" t="s">
        <v>131</v>
      </c>
      <c r="C141" t="s">
        <v>222</v>
      </c>
      <c r="D141">
        <v>833</v>
      </c>
      <c r="E141">
        <v>983193827</v>
      </c>
      <c r="F141" t="s">
        <v>116</v>
      </c>
      <c r="G141" s="230">
        <v>43584.840682870374</v>
      </c>
      <c r="H141">
        <v>20000</v>
      </c>
      <c r="I141">
        <v>20000</v>
      </c>
      <c r="J141">
        <v>14320266</v>
      </c>
    </row>
    <row r="142" spans="1:10" x14ac:dyDescent="0.25">
      <c r="A142">
        <v>10442918</v>
      </c>
      <c r="B142" t="s">
        <v>131</v>
      </c>
      <c r="C142" t="s">
        <v>222</v>
      </c>
      <c r="D142">
        <v>834</v>
      </c>
      <c r="E142">
        <v>983194854</v>
      </c>
      <c r="F142" t="s">
        <v>116</v>
      </c>
      <c r="G142" s="230">
        <v>43584.841273148151</v>
      </c>
      <c r="H142">
        <v>20000</v>
      </c>
      <c r="I142">
        <v>20000</v>
      </c>
      <c r="J142">
        <v>14320266</v>
      </c>
    </row>
    <row r="143" spans="1:10" x14ac:dyDescent="0.25">
      <c r="A143">
        <v>10442918</v>
      </c>
      <c r="B143" t="s">
        <v>131</v>
      </c>
      <c r="C143" t="s">
        <v>223</v>
      </c>
      <c r="D143">
        <v>836</v>
      </c>
      <c r="E143">
        <v>983196837</v>
      </c>
      <c r="F143" t="s">
        <v>116</v>
      </c>
      <c r="G143" s="230">
        <v>43584.842430555553</v>
      </c>
      <c r="H143">
        <v>10000</v>
      </c>
      <c r="I143">
        <v>10000</v>
      </c>
      <c r="J143">
        <v>3017921017</v>
      </c>
    </row>
    <row r="144" spans="1:10" x14ac:dyDescent="0.25">
      <c r="A144">
        <v>10442918</v>
      </c>
      <c r="B144" t="s">
        <v>131</v>
      </c>
      <c r="C144" t="s">
        <v>224</v>
      </c>
      <c r="D144">
        <v>838</v>
      </c>
      <c r="E144">
        <v>983202302</v>
      </c>
      <c r="F144" t="s">
        <v>116</v>
      </c>
      <c r="G144" s="230">
        <v>43584.845590277779</v>
      </c>
      <c r="H144">
        <v>5000</v>
      </c>
      <c r="I144">
        <v>5000</v>
      </c>
      <c r="J144">
        <v>4049242</v>
      </c>
    </row>
    <row r="145" spans="1:10" x14ac:dyDescent="0.25">
      <c r="A145">
        <v>10442918</v>
      </c>
      <c r="B145" t="s">
        <v>131</v>
      </c>
      <c r="C145" t="s">
        <v>225</v>
      </c>
      <c r="D145">
        <v>840</v>
      </c>
      <c r="E145">
        <v>983205467</v>
      </c>
      <c r="F145" t="s">
        <v>116</v>
      </c>
      <c r="G145" s="230">
        <v>43584.847430555557</v>
      </c>
      <c r="H145">
        <v>20000</v>
      </c>
      <c r="I145">
        <v>20000</v>
      </c>
      <c r="J145">
        <v>3.6103546460100499E+17</v>
      </c>
    </row>
    <row r="146" spans="1:10" x14ac:dyDescent="0.25">
      <c r="A146">
        <v>10442918</v>
      </c>
      <c r="B146" t="s">
        <v>131</v>
      </c>
      <c r="C146" t="s">
        <v>225</v>
      </c>
      <c r="D146">
        <v>841</v>
      </c>
      <c r="E146">
        <v>983206424</v>
      </c>
      <c r="F146" t="s">
        <v>116</v>
      </c>
      <c r="G146" s="230">
        <v>43584.847986111112</v>
      </c>
      <c r="H146">
        <v>20000</v>
      </c>
      <c r="I146">
        <v>20000</v>
      </c>
      <c r="J146">
        <v>3.6103546460100499E+17</v>
      </c>
    </row>
    <row r="147" spans="1:10" x14ac:dyDescent="0.25">
      <c r="A147">
        <v>10442918</v>
      </c>
      <c r="B147" t="s">
        <v>131</v>
      </c>
      <c r="C147" t="s">
        <v>225</v>
      </c>
      <c r="D147">
        <v>842</v>
      </c>
      <c r="E147">
        <v>983207491</v>
      </c>
      <c r="F147" t="s">
        <v>116</v>
      </c>
      <c r="G147" s="230">
        <v>43584.848645833335</v>
      </c>
      <c r="H147">
        <v>10000</v>
      </c>
      <c r="I147">
        <v>10000</v>
      </c>
      <c r="J147">
        <v>3.6103546460100499E+17</v>
      </c>
    </row>
    <row r="148" spans="1:10" x14ac:dyDescent="0.25">
      <c r="A148">
        <v>10442918</v>
      </c>
      <c r="B148" t="s">
        <v>131</v>
      </c>
      <c r="C148" t="s">
        <v>226</v>
      </c>
      <c r="D148">
        <v>844</v>
      </c>
      <c r="E148">
        <v>983209758</v>
      </c>
      <c r="F148" t="s">
        <v>116</v>
      </c>
      <c r="G148" s="230">
        <v>43584.850011574075</v>
      </c>
      <c r="H148">
        <v>10000</v>
      </c>
      <c r="I148">
        <v>10000</v>
      </c>
      <c r="J148">
        <v>6.9101020180100506E+17</v>
      </c>
    </row>
    <row r="149" spans="1:10" x14ac:dyDescent="0.25">
      <c r="A149">
        <v>10442918</v>
      </c>
      <c r="B149" t="s">
        <v>131</v>
      </c>
      <c r="C149" t="s">
        <v>227</v>
      </c>
      <c r="D149">
        <v>846</v>
      </c>
      <c r="E149">
        <v>983211181</v>
      </c>
      <c r="F149" t="s">
        <v>116</v>
      </c>
      <c r="G149" s="230">
        <v>43584.850891203707</v>
      </c>
      <c r="H149">
        <v>10000</v>
      </c>
      <c r="I149">
        <v>10000</v>
      </c>
      <c r="J149">
        <v>2089559958</v>
      </c>
    </row>
    <row r="150" spans="1:10" x14ac:dyDescent="0.25">
      <c r="A150">
        <v>10442918</v>
      </c>
      <c r="B150" t="s">
        <v>131</v>
      </c>
      <c r="C150" t="s">
        <v>227</v>
      </c>
      <c r="D150">
        <v>847</v>
      </c>
      <c r="E150">
        <v>983212100</v>
      </c>
      <c r="F150" t="s">
        <v>228</v>
      </c>
      <c r="G150" s="230">
        <v>43584.851527777777</v>
      </c>
      <c r="H150">
        <v>10000</v>
      </c>
      <c r="I150">
        <v>0</v>
      </c>
    </row>
    <row r="151" spans="1:10" x14ac:dyDescent="0.25">
      <c r="A151">
        <v>10442918</v>
      </c>
      <c r="B151" t="s">
        <v>131</v>
      </c>
      <c r="C151" t="s">
        <v>227</v>
      </c>
      <c r="D151">
        <v>849</v>
      </c>
      <c r="E151">
        <v>983213694</v>
      </c>
      <c r="F151" t="s">
        <v>116</v>
      </c>
      <c r="G151" s="230">
        <v>43584.852534722224</v>
      </c>
      <c r="H151">
        <v>10000</v>
      </c>
      <c r="I151">
        <v>10000</v>
      </c>
      <c r="J151">
        <v>2089559958</v>
      </c>
    </row>
    <row r="152" spans="1:10" x14ac:dyDescent="0.25">
      <c r="A152">
        <v>10442918</v>
      </c>
      <c r="B152" t="s">
        <v>131</v>
      </c>
      <c r="C152" t="s">
        <v>229</v>
      </c>
      <c r="D152">
        <v>851</v>
      </c>
      <c r="E152">
        <v>983215120</v>
      </c>
      <c r="F152" t="s">
        <v>116</v>
      </c>
      <c r="G152" s="230">
        <v>43584.853483796294</v>
      </c>
      <c r="H152">
        <v>10000</v>
      </c>
      <c r="I152">
        <v>10000</v>
      </c>
      <c r="J152">
        <v>1010101010</v>
      </c>
    </row>
    <row r="153" spans="1:10" x14ac:dyDescent="0.25">
      <c r="A153">
        <v>10442918</v>
      </c>
      <c r="B153" t="s">
        <v>131</v>
      </c>
      <c r="C153" t="s">
        <v>230</v>
      </c>
      <c r="D153">
        <v>853</v>
      </c>
      <c r="E153">
        <v>983223497</v>
      </c>
      <c r="F153" t="s">
        <v>121</v>
      </c>
      <c r="G153" s="230">
        <v>43584.859224537038</v>
      </c>
      <c r="H153">
        <v>5500</v>
      </c>
      <c r="I153">
        <v>0</v>
      </c>
      <c r="J153">
        <v>4521005437</v>
      </c>
    </row>
    <row r="154" spans="1:10" x14ac:dyDescent="0.25">
      <c r="A154">
        <v>10442918</v>
      </c>
      <c r="B154" t="s">
        <v>131</v>
      </c>
      <c r="C154" t="s">
        <v>230</v>
      </c>
      <c r="D154">
        <v>857</v>
      </c>
      <c r="E154">
        <v>983226942</v>
      </c>
      <c r="F154" t="s">
        <v>116</v>
      </c>
      <c r="G154" s="230">
        <v>43584.861770833333</v>
      </c>
      <c r="H154">
        <v>5000</v>
      </c>
      <c r="I154">
        <v>5000</v>
      </c>
      <c r="J154">
        <v>4521005437</v>
      </c>
    </row>
    <row r="155" spans="1:10" x14ac:dyDescent="0.25">
      <c r="A155">
        <v>10442918</v>
      </c>
      <c r="B155" t="s">
        <v>131</v>
      </c>
      <c r="C155" t="s">
        <v>231</v>
      </c>
      <c r="D155">
        <v>860</v>
      </c>
      <c r="E155">
        <v>983231105</v>
      </c>
      <c r="F155" t="s">
        <v>116</v>
      </c>
      <c r="G155" s="230">
        <v>43584.864814814813</v>
      </c>
      <c r="H155">
        <v>20000</v>
      </c>
      <c r="I155">
        <v>20000</v>
      </c>
      <c r="J155">
        <v>692487899</v>
      </c>
    </row>
    <row r="156" spans="1:10" x14ac:dyDescent="0.25">
      <c r="A156">
        <v>10442918</v>
      </c>
      <c r="B156" t="s">
        <v>131</v>
      </c>
      <c r="C156" t="s">
        <v>231</v>
      </c>
      <c r="D156">
        <v>861</v>
      </c>
      <c r="E156">
        <v>983231892</v>
      </c>
      <c r="F156" t="s">
        <v>116</v>
      </c>
      <c r="G156" s="230">
        <v>43584.865347222221</v>
      </c>
      <c r="H156">
        <v>20000</v>
      </c>
      <c r="I156">
        <v>20000</v>
      </c>
      <c r="J156">
        <v>692487899</v>
      </c>
    </row>
    <row r="157" spans="1:10" x14ac:dyDescent="0.25">
      <c r="A157">
        <v>10442918</v>
      </c>
      <c r="B157" t="s">
        <v>131</v>
      </c>
      <c r="C157" t="s">
        <v>232</v>
      </c>
      <c r="D157">
        <v>863</v>
      </c>
      <c r="E157">
        <v>983233534</v>
      </c>
      <c r="F157" t="s">
        <v>116</v>
      </c>
      <c r="G157" s="230">
        <v>43584.866655092592</v>
      </c>
      <c r="H157">
        <v>3000</v>
      </c>
      <c r="I157">
        <v>3000</v>
      </c>
      <c r="J157">
        <v>25231215</v>
      </c>
    </row>
    <row r="158" spans="1:10" x14ac:dyDescent="0.25">
      <c r="A158">
        <v>10442918</v>
      </c>
      <c r="B158" t="s">
        <v>131</v>
      </c>
      <c r="C158" t="s">
        <v>233</v>
      </c>
      <c r="D158">
        <v>866</v>
      </c>
      <c r="E158">
        <v>983237447</v>
      </c>
      <c r="F158" t="s">
        <v>116</v>
      </c>
      <c r="G158" s="230">
        <v>43584.869837962964</v>
      </c>
      <c r="H158">
        <v>3000</v>
      </c>
      <c r="I158">
        <v>3000</v>
      </c>
      <c r="J158">
        <v>65175956</v>
      </c>
    </row>
    <row r="159" spans="1:10" x14ac:dyDescent="0.25">
      <c r="A159">
        <v>10442918</v>
      </c>
      <c r="B159" t="s">
        <v>131</v>
      </c>
      <c r="C159" t="s">
        <v>232</v>
      </c>
      <c r="D159">
        <v>868</v>
      </c>
      <c r="E159">
        <v>983238584</v>
      </c>
      <c r="F159" t="s">
        <v>116</v>
      </c>
      <c r="G159" s="230">
        <v>43584.870775462965</v>
      </c>
      <c r="H159">
        <v>7000</v>
      </c>
      <c r="I159">
        <v>7000</v>
      </c>
      <c r="J159">
        <v>25231215</v>
      </c>
    </row>
    <row r="160" spans="1:10" x14ac:dyDescent="0.25">
      <c r="A160">
        <v>10442918</v>
      </c>
      <c r="B160" t="s">
        <v>131</v>
      </c>
      <c r="C160" t="s">
        <v>234</v>
      </c>
      <c r="D160">
        <v>872</v>
      </c>
      <c r="E160">
        <v>983272311</v>
      </c>
      <c r="F160" t="s">
        <v>116</v>
      </c>
      <c r="G160" s="230">
        <v>43584.903217592589</v>
      </c>
      <c r="H160">
        <v>5000</v>
      </c>
      <c r="I160">
        <v>5000</v>
      </c>
      <c r="J160">
        <v>724623965</v>
      </c>
    </row>
    <row r="161" spans="1:10" x14ac:dyDescent="0.25">
      <c r="A161">
        <v>10442918</v>
      </c>
      <c r="B161" t="s">
        <v>131</v>
      </c>
      <c r="C161" t="s">
        <v>235</v>
      </c>
      <c r="D161">
        <v>874</v>
      </c>
      <c r="E161">
        <v>983279242</v>
      </c>
      <c r="F161" t="s">
        <v>116</v>
      </c>
      <c r="G161" s="230">
        <v>43584.911840277775</v>
      </c>
      <c r="H161">
        <v>1000</v>
      </c>
      <c r="I161">
        <v>1000</v>
      </c>
      <c r="J161">
        <v>109941667</v>
      </c>
    </row>
    <row r="162" spans="1:10" x14ac:dyDescent="0.25">
      <c r="A162">
        <v>10442918</v>
      </c>
      <c r="B162" t="s">
        <v>131</v>
      </c>
      <c r="C162" t="s">
        <v>236</v>
      </c>
      <c r="D162">
        <v>878</v>
      </c>
      <c r="E162">
        <v>983309943</v>
      </c>
      <c r="F162" t="s">
        <v>116</v>
      </c>
      <c r="G162" s="230">
        <v>43584.994710648149</v>
      </c>
      <c r="H162">
        <v>20000</v>
      </c>
      <c r="I162">
        <v>20000</v>
      </c>
      <c r="J162">
        <v>1010101010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F50"/>
  <sheetViews>
    <sheetView topLeftCell="A28" workbookViewId="0">
      <selection activeCell="D4" sqref="D4"/>
    </sheetView>
  </sheetViews>
  <sheetFormatPr defaultRowHeight="15" x14ac:dyDescent="0.25"/>
  <cols>
    <col min="2" max="2" width="14.42578125" customWidth="1"/>
    <col min="3" max="3" width="53.28515625" customWidth="1"/>
    <col min="4" max="4" width="24" customWidth="1"/>
    <col min="5" max="5" width="28.5703125" customWidth="1"/>
    <col min="6" max="6" width="22.85546875" customWidth="1"/>
    <col min="7" max="7" width="18" bestFit="1" customWidth="1"/>
  </cols>
  <sheetData>
    <row r="1" spans="2:6" ht="15.75" thickBot="1" x14ac:dyDescent="0.3"/>
    <row r="2" spans="2:6" x14ac:dyDescent="0.25">
      <c r="B2" s="92"/>
      <c r="C2" s="93" t="s">
        <v>62</v>
      </c>
      <c r="D2" s="93" t="str">
        <f>CERTIFICATE!B5</f>
        <v/>
      </c>
      <c r="E2" s="94"/>
      <c r="F2" s="95"/>
    </row>
    <row r="3" spans="2:6" x14ac:dyDescent="0.25">
      <c r="B3" s="96"/>
      <c r="C3" s="97" t="s">
        <v>3</v>
      </c>
      <c r="D3" s="97" t="str">
        <f>CERTIFICATE!B6</f>
        <v/>
      </c>
      <c r="E3" s="98"/>
      <c r="F3" s="99"/>
    </row>
    <row r="4" spans="2:6" x14ac:dyDescent="0.25">
      <c r="B4" s="96"/>
      <c r="C4" s="97" t="s">
        <v>63</v>
      </c>
      <c r="D4" s="100" t="str">
        <f>CERTIFICATE!B7</f>
        <v>Day/Month/Year</v>
      </c>
      <c r="E4" s="98"/>
      <c r="F4" s="99"/>
    </row>
    <row r="5" spans="2:6" x14ac:dyDescent="0.25">
      <c r="B5" s="96"/>
      <c r="C5" s="101" t="s">
        <v>64</v>
      </c>
      <c r="D5" s="100" t="e">
        <f>D4+1</f>
        <v>#VALUE!</v>
      </c>
      <c r="E5" s="102"/>
      <c r="F5" s="99"/>
    </row>
    <row r="6" spans="2:6" x14ac:dyDescent="0.25">
      <c r="B6" s="96"/>
      <c r="C6" s="101" t="s">
        <v>65</v>
      </c>
      <c r="D6" s="103"/>
      <c r="E6" s="102"/>
      <c r="F6" s="99"/>
    </row>
    <row r="7" spans="2:6" x14ac:dyDescent="0.25">
      <c r="B7" s="104" t="s">
        <v>66</v>
      </c>
      <c r="C7" s="105" t="str">
        <f>CERTIFICATE!B8</f>
        <v>Hour:Min:00 am/pm</v>
      </c>
      <c r="D7" s="106" t="s">
        <v>67</v>
      </c>
      <c r="E7" s="107" t="s">
        <v>68</v>
      </c>
      <c r="F7" s="99"/>
    </row>
    <row r="8" spans="2:6" x14ac:dyDescent="0.25">
      <c r="B8" s="108" t="str">
        <f>D4</f>
        <v>Day/Month/Year</v>
      </c>
      <c r="C8" s="109" t="s">
        <v>69</v>
      </c>
      <c r="D8" s="110">
        <v>-4004500</v>
      </c>
      <c r="E8" s="111"/>
      <c r="F8" s="99"/>
    </row>
    <row r="9" spans="2:6" x14ac:dyDescent="0.25">
      <c r="B9" s="112"/>
      <c r="C9" s="109"/>
      <c r="D9" s="113"/>
      <c r="E9" s="114"/>
      <c r="F9" s="99"/>
    </row>
    <row r="10" spans="2:6" x14ac:dyDescent="0.25">
      <c r="B10" s="96" t="str">
        <f>B8</f>
        <v>Day/Month/Year</v>
      </c>
      <c r="C10" s="109" t="s">
        <v>18</v>
      </c>
      <c r="D10" s="115"/>
      <c r="E10" s="116">
        <f>CERTIFICATE!B21</f>
        <v>0</v>
      </c>
      <c r="F10" s="99"/>
    </row>
    <row r="11" spans="2:6" x14ac:dyDescent="0.25">
      <c r="B11" s="96"/>
      <c r="D11" s="115"/>
      <c r="E11" s="114"/>
      <c r="F11" s="99"/>
    </row>
    <row r="12" spans="2:6" x14ac:dyDescent="0.25">
      <c r="B12" s="96"/>
      <c r="C12" s="109"/>
      <c r="D12" s="115"/>
      <c r="E12" s="114"/>
      <c r="F12" s="99"/>
    </row>
    <row r="13" spans="2:6" x14ac:dyDescent="0.25">
      <c r="B13" s="96"/>
      <c r="C13" s="117"/>
      <c r="D13" s="115"/>
      <c r="E13" s="114"/>
      <c r="F13" s="99"/>
    </row>
    <row r="14" spans="2:6" x14ac:dyDescent="0.25">
      <c r="B14" s="96"/>
      <c r="C14" s="109"/>
      <c r="D14" s="118"/>
      <c r="E14" s="119"/>
      <c r="F14" s="120"/>
    </row>
    <row r="15" spans="2:6" x14ac:dyDescent="0.25">
      <c r="B15" s="96"/>
      <c r="C15" s="121"/>
      <c r="D15" s="122"/>
      <c r="E15" s="123"/>
      <c r="F15" s="99"/>
    </row>
    <row r="16" spans="2:6" x14ac:dyDescent="0.25">
      <c r="B16" s="96"/>
      <c r="C16" s="121"/>
      <c r="D16" s="122"/>
      <c r="E16" s="114"/>
      <c r="F16" s="99"/>
    </row>
    <row r="17" spans="2:6" x14ac:dyDescent="0.25">
      <c r="B17" s="96" t="str">
        <f>D4</f>
        <v>Day/Month/Year</v>
      </c>
      <c r="C17" s="109" t="s">
        <v>70</v>
      </c>
      <c r="D17" s="116">
        <f>CERTIFICATE!B22</f>
        <v>0</v>
      </c>
      <c r="E17" s="114"/>
      <c r="F17" s="99"/>
    </row>
    <row r="18" spans="2:6" x14ac:dyDescent="0.25">
      <c r="B18" s="96"/>
      <c r="C18" s="109"/>
      <c r="D18" s="115"/>
      <c r="E18" s="114"/>
      <c r="F18" s="99"/>
    </row>
    <row r="19" spans="2:6" x14ac:dyDescent="0.25">
      <c r="B19" s="124"/>
      <c r="C19" s="125" t="s">
        <v>71</v>
      </c>
      <c r="D19" s="126">
        <f>SUM(D8:D18)</f>
        <v>-4004500</v>
      </c>
      <c r="E19" s="127">
        <f>SUM(E8:E18)</f>
        <v>0</v>
      </c>
      <c r="F19" s="99"/>
    </row>
    <row r="20" spans="2:6" x14ac:dyDescent="0.25">
      <c r="B20" s="124"/>
      <c r="C20" s="125" t="s">
        <v>72</v>
      </c>
      <c r="D20" s="110">
        <f>D19-E19</f>
        <v>-4004500</v>
      </c>
      <c r="E20" s="128"/>
      <c r="F20" s="99"/>
    </row>
    <row r="21" spans="2:6" x14ac:dyDescent="0.25">
      <c r="B21" s="96"/>
      <c r="C21" s="109"/>
      <c r="D21" s="129"/>
      <c r="E21" s="114"/>
      <c r="F21" s="99"/>
    </row>
    <row r="22" spans="2:6" x14ac:dyDescent="0.25">
      <c r="B22" s="96" t="str">
        <f>B17</f>
        <v>Day/Month/Year</v>
      </c>
      <c r="C22" s="130" t="s">
        <v>73</v>
      </c>
      <c r="D22" s="116">
        <v>2330500</v>
      </c>
      <c r="E22" s="114"/>
      <c r="F22" s="131"/>
    </row>
    <row r="23" spans="2:6" x14ac:dyDescent="0.25">
      <c r="B23" s="96"/>
      <c r="C23" s="109"/>
      <c r="D23" s="115"/>
      <c r="E23" s="132"/>
      <c r="F23" s="99"/>
    </row>
    <row r="24" spans="2:6" ht="15.75" x14ac:dyDescent="0.25">
      <c r="B24" s="96" t="str">
        <f>D4</f>
        <v>Day/Month/Year</v>
      </c>
      <c r="C24" s="133" t="s">
        <v>74</v>
      </c>
      <c r="D24" s="115"/>
      <c r="E24" s="116">
        <v>0</v>
      </c>
      <c r="F24" s="99"/>
    </row>
    <row r="25" spans="2:6" ht="15.75" x14ac:dyDescent="0.25">
      <c r="B25" s="96"/>
      <c r="C25" s="134"/>
      <c r="D25" s="115"/>
      <c r="E25" s="132"/>
      <c r="F25" s="99"/>
    </row>
    <row r="26" spans="2:6" ht="15.75" x14ac:dyDescent="0.25">
      <c r="B26" s="96" t="str">
        <f>D4</f>
        <v>Day/Month/Year</v>
      </c>
      <c r="C26" s="133" t="s">
        <v>75</v>
      </c>
      <c r="D26" s="116">
        <v>0</v>
      </c>
      <c r="E26" s="132"/>
      <c r="F26" s="99"/>
    </row>
    <row r="27" spans="2:6" ht="15.75" x14ac:dyDescent="0.25">
      <c r="B27" s="96"/>
      <c r="C27" s="134"/>
      <c r="D27" s="115"/>
      <c r="E27" s="132"/>
      <c r="F27" s="99"/>
    </row>
    <row r="28" spans="2:6" ht="15.75" x14ac:dyDescent="0.25">
      <c r="B28" s="96" t="str">
        <f>D4</f>
        <v>Day/Month/Year</v>
      </c>
      <c r="C28" s="135" t="s">
        <v>76</v>
      </c>
      <c r="D28" s="116">
        <f>D30+D32</f>
        <v>0</v>
      </c>
      <c r="E28" s="132"/>
      <c r="F28" s="99"/>
    </row>
    <row r="29" spans="2:6" x14ac:dyDescent="0.25">
      <c r="B29" s="96"/>
      <c r="C29" s="109"/>
      <c r="D29" s="115"/>
      <c r="E29" s="132"/>
      <c r="F29" s="99"/>
    </row>
    <row r="30" spans="2:6" x14ac:dyDescent="0.25">
      <c r="B30" s="96"/>
      <c r="C30" s="136" t="s">
        <v>77</v>
      </c>
      <c r="D30" s="137">
        <v>0</v>
      </c>
      <c r="E30" s="132"/>
      <c r="F30" s="99"/>
    </row>
    <row r="31" spans="2:6" x14ac:dyDescent="0.25">
      <c r="B31" s="96"/>
      <c r="C31" s="109"/>
      <c r="D31" s="115"/>
      <c r="E31" s="132"/>
      <c r="F31" s="99"/>
    </row>
    <row r="32" spans="2:6" x14ac:dyDescent="0.25">
      <c r="B32" s="96"/>
      <c r="C32" s="136" t="s">
        <v>78</v>
      </c>
      <c r="D32" s="137">
        <v>0</v>
      </c>
      <c r="E32" s="132"/>
      <c r="F32" s="99"/>
    </row>
    <row r="33" spans="2:6" x14ac:dyDescent="0.25">
      <c r="B33" s="96"/>
      <c r="C33" s="109"/>
      <c r="D33" s="115"/>
      <c r="E33" s="132"/>
      <c r="F33" s="99"/>
    </row>
    <row r="34" spans="2:6" x14ac:dyDescent="0.25">
      <c r="B34" s="124" t="str">
        <f>B22</f>
        <v>Day/Month/Year</v>
      </c>
      <c r="C34" s="125" t="s">
        <v>79</v>
      </c>
      <c r="D34" s="110">
        <f>(SUM(D20:D29)-E34)</f>
        <v>-1674000</v>
      </c>
      <c r="E34" s="127">
        <f>SUM(E24:E25)</f>
        <v>0</v>
      </c>
      <c r="F34" s="138"/>
    </row>
    <row r="35" spans="2:6" x14ac:dyDescent="0.25">
      <c r="B35" s="139" t="s">
        <v>6</v>
      </c>
      <c r="C35" s="140"/>
      <c r="D35" s="129"/>
      <c r="E35" s="114"/>
      <c r="F35" s="141"/>
    </row>
    <row r="36" spans="2:6" x14ac:dyDescent="0.25">
      <c r="B36" s="96" t="str">
        <f>D4</f>
        <v>Day/Month/Year</v>
      </c>
      <c r="C36" s="109" t="s">
        <v>80</v>
      </c>
      <c r="D36" s="116">
        <v>298000</v>
      </c>
      <c r="E36" s="114" t="s">
        <v>81</v>
      </c>
      <c r="F36" s="99"/>
    </row>
    <row r="37" spans="2:6" x14ac:dyDescent="0.25">
      <c r="B37" s="96"/>
      <c r="C37" s="109"/>
      <c r="D37" s="115"/>
      <c r="E37" s="114"/>
      <c r="F37" s="99"/>
    </row>
    <row r="38" spans="2:6" x14ac:dyDescent="0.25">
      <c r="B38" s="96"/>
      <c r="C38" s="109"/>
      <c r="D38" s="115"/>
      <c r="E38" s="114"/>
      <c r="F38" s="99"/>
    </row>
    <row r="39" spans="2:6" x14ac:dyDescent="0.25">
      <c r="B39" s="96"/>
      <c r="C39" s="142"/>
      <c r="D39" s="143"/>
      <c r="E39" s="114"/>
      <c r="F39" s="99"/>
    </row>
    <row r="40" spans="2:6" x14ac:dyDescent="0.25">
      <c r="B40" s="96"/>
      <c r="C40" s="109"/>
      <c r="D40" s="115"/>
      <c r="E40" s="114"/>
      <c r="F40" s="99"/>
    </row>
    <row r="41" spans="2:6" x14ac:dyDescent="0.25">
      <c r="B41" s="124" t="str">
        <f>B22</f>
        <v>Day/Month/Year</v>
      </c>
      <c r="C41" s="125" t="s">
        <v>82</v>
      </c>
      <c r="D41" s="144">
        <f>D36-D34</f>
        <v>1972000</v>
      </c>
      <c r="E41" s="128"/>
      <c r="F41" s="99"/>
    </row>
    <row r="42" spans="2:6" x14ac:dyDescent="0.25">
      <c r="B42" s="96"/>
      <c r="C42" s="109"/>
      <c r="D42" s="145"/>
      <c r="E42" s="114"/>
      <c r="F42" s="99"/>
    </row>
    <row r="43" spans="2:6" x14ac:dyDescent="0.25">
      <c r="B43" s="96"/>
      <c r="C43" s="109" t="s">
        <v>83</v>
      </c>
      <c r="D43" s="145">
        <v>0</v>
      </c>
      <c r="E43" s="114"/>
      <c r="F43" s="99"/>
    </row>
    <row r="44" spans="2:6" x14ac:dyDescent="0.25">
      <c r="B44" s="96"/>
      <c r="C44" s="109" t="s">
        <v>6</v>
      </c>
      <c r="D44" s="145"/>
      <c r="E44" s="114"/>
      <c r="F44" s="99"/>
    </row>
    <row r="45" spans="2:6" x14ac:dyDescent="0.25">
      <c r="B45" s="124" t="e">
        <f>D5</f>
        <v>#VALUE!</v>
      </c>
      <c r="C45" s="125" t="s">
        <v>84</v>
      </c>
      <c r="D45" s="146">
        <f>(D41-D43)</f>
        <v>1972000</v>
      </c>
      <c r="E45" s="128"/>
      <c r="F45" s="99"/>
    </row>
    <row r="46" spans="2:6" x14ac:dyDescent="0.25">
      <c r="B46" s="147"/>
      <c r="C46" s="148"/>
      <c r="D46" s="149"/>
      <c r="E46" s="150"/>
      <c r="F46" s="99"/>
    </row>
    <row r="47" spans="2:6" x14ac:dyDescent="0.25">
      <c r="B47" s="147"/>
      <c r="C47" s="148" t="s">
        <v>85</v>
      </c>
      <c r="D47" s="148" t="s">
        <v>1744</v>
      </c>
      <c r="E47" s="151"/>
      <c r="F47" s="99"/>
    </row>
    <row r="48" spans="2:6" x14ac:dyDescent="0.25">
      <c r="B48" s="147"/>
      <c r="C48" s="148" t="s">
        <v>86</v>
      </c>
      <c r="D48" s="148"/>
      <c r="E48" s="152"/>
      <c r="F48" s="99"/>
    </row>
    <row r="49" spans="2:6" x14ac:dyDescent="0.25">
      <c r="B49" s="147"/>
      <c r="C49" s="148" t="s">
        <v>87</v>
      </c>
      <c r="D49" s="148" t="s">
        <v>104</v>
      </c>
      <c r="E49" s="151"/>
      <c r="F49" s="99"/>
    </row>
    <row r="50" spans="2:6" ht="15.75" thickBot="1" x14ac:dyDescent="0.3">
      <c r="B50" s="153"/>
      <c r="C50" s="154"/>
      <c r="D50" s="154"/>
      <c r="E50" s="154"/>
      <c r="F50" s="155"/>
    </row>
  </sheetData>
  <hyperlinks>
    <hyperlink ref="C28" location="'suspected disp err'!A1" display="SUSPECTED DISPENSE ERRORS" xr:uid="{00000000-0004-0000-0300-000000000000}"/>
    <hyperlink ref="C26" location="'Not On FEP on GL '!A1" display="ON GL NOT ON FEP" xr:uid="{00000000-0004-0000-0300-000001000000}"/>
    <hyperlink ref="C24" location="'ON FEP not on GL'!A1" display="ON FEP NOT ON GL" xr:uid="{00000000-0004-0000-0300-000002000000}"/>
    <hyperlink ref="C22" location="'Transactn afta csh count b4 EOD'!A1" display="Total Cash Withdrawn after Cash Count before EOD" xr:uid="{00000000-0004-0000-0300-000003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672"/>
  <sheetViews>
    <sheetView workbookViewId="0"/>
  </sheetViews>
  <sheetFormatPr defaultRowHeight="15" x14ac:dyDescent="0.25"/>
  <cols>
    <col min="1" max="1" width="8.42578125" customWidth="1"/>
    <col min="2" max="2" width="12.85546875" customWidth="1"/>
    <col min="3" max="3" width="19.5703125" bestFit="1" customWidth="1"/>
    <col min="4" max="4" width="20.42578125" customWidth="1"/>
    <col min="5" max="5" width="81.140625" bestFit="1" customWidth="1"/>
    <col min="6" max="6" width="16.42578125" bestFit="1" customWidth="1"/>
    <col min="7" max="7" width="15.28515625" bestFit="1" customWidth="1"/>
    <col min="8" max="8" width="19" bestFit="1" customWidth="1"/>
  </cols>
  <sheetData>
    <row r="1" spans="1:8" x14ac:dyDescent="0.25">
      <c r="A1" t="s">
        <v>62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</row>
    <row r="2" spans="1:8" x14ac:dyDescent="0.25">
      <c r="A2">
        <v>291</v>
      </c>
      <c r="B2" t="s">
        <v>130</v>
      </c>
      <c r="C2" s="7">
        <v>43584</v>
      </c>
      <c r="D2" t="s">
        <v>388</v>
      </c>
      <c r="E2" t="s">
        <v>389</v>
      </c>
      <c r="F2" s="229">
        <v>20000</v>
      </c>
      <c r="G2">
        <v>0</v>
      </c>
      <c r="H2" s="229">
        <v>-5018500</v>
      </c>
    </row>
    <row r="3" spans="1:8" x14ac:dyDescent="0.25">
      <c r="A3">
        <v>291</v>
      </c>
      <c r="B3" t="s">
        <v>130</v>
      </c>
      <c r="C3" s="7">
        <v>43584</v>
      </c>
      <c r="D3" t="s">
        <v>390</v>
      </c>
      <c r="E3" t="s">
        <v>391</v>
      </c>
      <c r="F3" s="229">
        <v>10000</v>
      </c>
      <c r="G3">
        <v>0</v>
      </c>
      <c r="H3" s="229">
        <v>-5008500</v>
      </c>
    </row>
    <row r="4" spans="1:8" x14ac:dyDescent="0.25">
      <c r="A4">
        <v>291</v>
      </c>
      <c r="B4" t="s">
        <v>130</v>
      </c>
      <c r="C4" s="7">
        <v>43584</v>
      </c>
      <c r="D4" t="s">
        <v>392</v>
      </c>
      <c r="E4" t="s">
        <v>393</v>
      </c>
      <c r="F4" s="229">
        <v>5000</v>
      </c>
      <c r="G4">
        <v>0</v>
      </c>
      <c r="H4" s="229">
        <v>-5003500</v>
      </c>
    </row>
    <row r="5" spans="1:8" x14ac:dyDescent="0.25">
      <c r="A5">
        <v>291</v>
      </c>
      <c r="B5" t="s">
        <v>130</v>
      </c>
      <c r="C5" s="7">
        <v>43584</v>
      </c>
      <c r="D5" t="s">
        <v>394</v>
      </c>
      <c r="E5" t="s">
        <v>395</v>
      </c>
      <c r="F5" s="229">
        <v>10000</v>
      </c>
      <c r="G5">
        <v>0</v>
      </c>
      <c r="H5" s="229">
        <v>-4993500</v>
      </c>
    </row>
    <row r="6" spans="1:8" x14ac:dyDescent="0.25">
      <c r="A6">
        <v>291</v>
      </c>
      <c r="B6" t="s">
        <v>130</v>
      </c>
      <c r="C6" s="7">
        <v>43584</v>
      </c>
      <c r="D6" t="s">
        <v>396</v>
      </c>
      <c r="E6" t="s">
        <v>397</v>
      </c>
      <c r="F6" s="229">
        <v>5000</v>
      </c>
      <c r="G6">
        <v>0</v>
      </c>
      <c r="H6" s="229">
        <v>-4988500</v>
      </c>
    </row>
    <row r="7" spans="1:8" x14ac:dyDescent="0.25">
      <c r="A7">
        <v>291</v>
      </c>
      <c r="B7" t="s">
        <v>130</v>
      </c>
      <c r="C7" s="7">
        <v>43584</v>
      </c>
      <c r="D7" t="s">
        <v>398</v>
      </c>
      <c r="E7" t="s">
        <v>399</v>
      </c>
      <c r="F7" s="229">
        <v>1000</v>
      </c>
      <c r="G7">
        <v>0</v>
      </c>
      <c r="H7" s="229">
        <v>-4987500</v>
      </c>
    </row>
    <row r="8" spans="1:8" x14ac:dyDescent="0.25">
      <c r="A8">
        <v>291</v>
      </c>
      <c r="B8" t="s">
        <v>130</v>
      </c>
      <c r="C8" s="7">
        <v>43584</v>
      </c>
      <c r="D8" t="s">
        <v>400</v>
      </c>
      <c r="E8" t="s">
        <v>401</v>
      </c>
      <c r="F8" s="229">
        <v>20000</v>
      </c>
      <c r="G8">
        <v>0</v>
      </c>
      <c r="H8" s="229">
        <v>-4967500</v>
      </c>
    </row>
    <row r="9" spans="1:8" x14ac:dyDescent="0.25">
      <c r="A9">
        <v>291</v>
      </c>
      <c r="B9" t="s">
        <v>130</v>
      </c>
      <c r="C9" s="7">
        <v>43584</v>
      </c>
      <c r="D9" t="s">
        <v>402</v>
      </c>
      <c r="E9" t="s">
        <v>403</v>
      </c>
      <c r="F9" s="229">
        <v>4000</v>
      </c>
      <c r="G9">
        <v>0</v>
      </c>
      <c r="H9" s="229">
        <v>-4963500</v>
      </c>
    </row>
    <row r="10" spans="1:8" x14ac:dyDescent="0.25">
      <c r="A10">
        <v>291</v>
      </c>
      <c r="B10" t="s">
        <v>130</v>
      </c>
      <c r="C10" s="7">
        <v>43584</v>
      </c>
      <c r="D10" t="s">
        <v>404</v>
      </c>
      <c r="E10" t="s">
        <v>405</v>
      </c>
      <c r="F10" s="229">
        <v>20000</v>
      </c>
      <c r="G10">
        <v>0</v>
      </c>
      <c r="H10" s="229">
        <v>-4943500</v>
      </c>
    </row>
    <row r="11" spans="1:8" x14ac:dyDescent="0.25">
      <c r="A11">
        <v>291</v>
      </c>
      <c r="B11" t="s">
        <v>130</v>
      </c>
      <c r="C11" s="7">
        <v>43584</v>
      </c>
      <c r="D11" t="s">
        <v>406</v>
      </c>
      <c r="E11" t="s">
        <v>407</v>
      </c>
      <c r="F11" s="229">
        <v>1500</v>
      </c>
      <c r="G11">
        <v>0</v>
      </c>
      <c r="H11" s="229">
        <v>-4942000</v>
      </c>
    </row>
    <row r="12" spans="1:8" x14ac:dyDescent="0.25">
      <c r="A12">
        <v>291</v>
      </c>
      <c r="B12" t="s">
        <v>130</v>
      </c>
      <c r="C12" s="7">
        <v>43584</v>
      </c>
      <c r="D12" t="s">
        <v>408</v>
      </c>
      <c r="E12" t="s">
        <v>409</v>
      </c>
      <c r="F12" s="229">
        <v>20000</v>
      </c>
      <c r="G12">
        <v>0</v>
      </c>
      <c r="H12" s="229">
        <v>-4922000</v>
      </c>
    </row>
    <row r="13" spans="1:8" x14ac:dyDescent="0.25">
      <c r="A13">
        <v>291</v>
      </c>
      <c r="B13" t="s">
        <v>130</v>
      </c>
      <c r="C13" s="7">
        <v>43584</v>
      </c>
      <c r="D13" t="s">
        <v>410</v>
      </c>
      <c r="E13" t="s">
        <v>411</v>
      </c>
      <c r="F13" s="229">
        <v>1000</v>
      </c>
      <c r="G13">
        <v>0</v>
      </c>
      <c r="H13" s="229">
        <v>-4921000</v>
      </c>
    </row>
    <row r="14" spans="1:8" x14ac:dyDescent="0.25">
      <c r="A14">
        <v>291</v>
      </c>
      <c r="B14" t="s">
        <v>130</v>
      </c>
      <c r="C14" s="7">
        <v>43584</v>
      </c>
      <c r="D14" t="s">
        <v>412</v>
      </c>
      <c r="E14" t="s">
        <v>413</v>
      </c>
      <c r="F14" s="229">
        <v>3000</v>
      </c>
      <c r="G14">
        <v>0</v>
      </c>
      <c r="H14" s="229">
        <v>-4918000</v>
      </c>
    </row>
    <row r="15" spans="1:8" x14ac:dyDescent="0.25">
      <c r="A15">
        <v>291</v>
      </c>
      <c r="B15" t="s">
        <v>130</v>
      </c>
      <c r="C15" s="7">
        <v>43584</v>
      </c>
      <c r="D15" t="s">
        <v>414</v>
      </c>
      <c r="E15" t="s">
        <v>415</v>
      </c>
      <c r="F15" s="229">
        <v>20000</v>
      </c>
      <c r="G15">
        <v>0</v>
      </c>
      <c r="H15" s="229">
        <v>-4898000</v>
      </c>
    </row>
    <row r="16" spans="1:8" x14ac:dyDescent="0.25">
      <c r="A16">
        <v>291</v>
      </c>
      <c r="B16" t="s">
        <v>130</v>
      </c>
      <c r="C16" s="7">
        <v>43584</v>
      </c>
      <c r="D16" t="s">
        <v>416</v>
      </c>
      <c r="E16" t="s">
        <v>417</v>
      </c>
      <c r="F16" s="229">
        <v>20000</v>
      </c>
      <c r="G16">
        <v>0</v>
      </c>
      <c r="H16" s="229">
        <v>-4878000</v>
      </c>
    </row>
    <row r="17" spans="1:8" x14ac:dyDescent="0.25">
      <c r="A17">
        <v>291</v>
      </c>
      <c r="B17" t="s">
        <v>130</v>
      </c>
      <c r="C17" s="7">
        <v>43584</v>
      </c>
      <c r="D17" t="s">
        <v>418</v>
      </c>
      <c r="E17" t="s">
        <v>419</v>
      </c>
      <c r="F17" s="229">
        <v>20000</v>
      </c>
      <c r="G17">
        <v>0</v>
      </c>
      <c r="H17" s="229">
        <v>-4858000</v>
      </c>
    </row>
    <row r="18" spans="1:8" x14ac:dyDescent="0.25">
      <c r="A18">
        <v>291</v>
      </c>
      <c r="B18" t="s">
        <v>130</v>
      </c>
      <c r="C18" s="7">
        <v>43584</v>
      </c>
      <c r="D18" t="s">
        <v>420</v>
      </c>
      <c r="E18" t="s">
        <v>421</v>
      </c>
      <c r="F18" s="229">
        <v>10000</v>
      </c>
      <c r="G18">
        <v>0</v>
      </c>
      <c r="H18" s="229">
        <v>-4848000</v>
      </c>
    </row>
    <row r="19" spans="1:8" x14ac:dyDescent="0.25">
      <c r="A19">
        <v>291</v>
      </c>
      <c r="B19" t="s">
        <v>130</v>
      </c>
      <c r="C19" s="7">
        <v>43584</v>
      </c>
      <c r="D19" t="s">
        <v>422</v>
      </c>
      <c r="E19" t="s">
        <v>423</v>
      </c>
      <c r="F19" s="229">
        <v>10000</v>
      </c>
      <c r="G19">
        <v>0</v>
      </c>
      <c r="H19" s="229">
        <v>-4838000</v>
      </c>
    </row>
    <row r="20" spans="1:8" x14ac:dyDescent="0.25">
      <c r="A20">
        <v>291</v>
      </c>
      <c r="B20" t="s">
        <v>130</v>
      </c>
      <c r="C20" s="7">
        <v>43584</v>
      </c>
      <c r="D20" t="s">
        <v>424</v>
      </c>
      <c r="E20" t="s">
        <v>425</v>
      </c>
      <c r="F20" s="229">
        <v>10000</v>
      </c>
      <c r="G20">
        <v>0</v>
      </c>
      <c r="H20" s="229">
        <v>-4828000</v>
      </c>
    </row>
    <row r="21" spans="1:8" x14ac:dyDescent="0.25">
      <c r="A21">
        <v>291</v>
      </c>
      <c r="B21" t="s">
        <v>130</v>
      </c>
      <c r="C21" s="7">
        <v>43584</v>
      </c>
      <c r="D21" t="s">
        <v>426</v>
      </c>
      <c r="E21" t="s">
        <v>427</v>
      </c>
      <c r="F21" s="229">
        <v>20000</v>
      </c>
      <c r="G21">
        <v>0</v>
      </c>
      <c r="H21" s="229">
        <v>-4808000</v>
      </c>
    </row>
    <row r="22" spans="1:8" x14ac:dyDescent="0.25">
      <c r="A22">
        <v>291</v>
      </c>
      <c r="B22" t="s">
        <v>130</v>
      </c>
      <c r="C22" s="7">
        <v>43584</v>
      </c>
      <c r="D22" t="s">
        <v>428</v>
      </c>
      <c r="E22" t="s">
        <v>429</v>
      </c>
      <c r="F22" s="229">
        <v>5000</v>
      </c>
      <c r="G22">
        <v>0</v>
      </c>
      <c r="H22" s="229">
        <v>-4803000</v>
      </c>
    </row>
    <row r="23" spans="1:8" x14ac:dyDescent="0.25">
      <c r="A23">
        <v>291</v>
      </c>
      <c r="B23" t="s">
        <v>130</v>
      </c>
      <c r="C23" s="7">
        <v>43584</v>
      </c>
      <c r="D23" t="s">
        <v>430</v>
      </c>
      <c r="E23" t="s">
        <v>431</v>
      </c>
      <c r="F23" s="229">
        <v>20000</v>
      </c>
      <c r="G23">
        <v>0</v>
      </c>
      <c r="H23" s="229">
        <v>-4783000</v>
      </c>
    </row>
    <row r="24" spans="1:8" x14ac:dyDescent="0.25">
      <c r="A24">
        <v>291</v>
      </c>
      <c r="B24" t="s">
        <v>130</v>
      </c>
      <c r="C24" s="7">
        <v>43584</v>
      </c>
      <c r="D24" t="s">
        <v>432</v>
      </c>
      <c r="E24" t="s">
        <v>433</v>
      </c>
      <c r="F24" s="229">
        <v>5000</v>
      </c>
      <c r="G24">
        <v>0</v>
      </c>
      <c r="H24" s="229">
        <v>-4778000</v>
      </c>
    </row>
    <row r="25" spans="1:8" x14ac:dyDescent="0.25">
      <c r="A25">
        <v>291</v>
      </c>
      <c r="B25" t="s">
        <v>130</v>
      </c>
      <c r="C25" s="7">
        <v>43584</v>
      </c>
      <c r="D25" t="s">
        <v>434</v>
      </c>
      <c r="E25" t="s">
        <v>435</v>
      </c>
      <c r="F25" s="229">
        <v>9000</v>
      </c>
      <c r="G25">
        <v>0</v>
      </c>
      <c r="H25" s="229">
        <v>-4769000</v>
      </c>
    </row>
    <row r="26" spans="1:8" x14ac:dyDescent="0.25">
      <c r="A26">
        <v>291</v>
      </c>
      <c r="B26" t="s">
        <v>130</v>
      </c>
      <c r="C26" s="7">
        <v>43584</v>
      </c>
      <c r="D26" t="s">
        <v>436</v>
      </c>
      <c r="E26" t="s">
        <v>437</v>
      </c>
      <c r="F26" s="229">
        <v>5000</v>
      </c>
      <c r="G26">
        <v>0</v>
      </c>
      <c r="H26" s="229">
        <v>-4764000</v>
      </c>
    </row>
    <row r="27" spans="1:8" x14ac:dyDescent="0.25">
      <c r="A27">
        <v>291</v>
      </c>
      <c r="B27" t="s">
        <v>130</v>
      </c>
      <c r="C27" s="7">
        <v>43584</v>
      </c>
      <c r="D27" t="s">
        <v>438</v>
      </c>
      <c r="E27" t="s">
        <v>439</v>
      </c>
      <c r="F27" s="229">
        <v>20000</v>
      </c>
      <c r="G27">
        <v>0</v>
      </c>
      <c r="H27" s="229">
        <v>-4744000</v>
      </c>
    </row>
    <row r="28" spans="1:8" x14ac:dyDescent="0.25">
      <c r="A28">
        <v>291</v>
      </c>
      <c r="B28" t="s">
        <v>130</v>
      </c>
      <c r="C28" s="7">
        <v>43584</v>
      </c>
      <c r="D28" t="s">
        <v>440</v>
      </c>
      <c r="E28" t="s">
        <v>441</v>
      </c>
      <c r="F28" s="229">
        <v>5000</v>
      </c>
      <c r="G28">
        <v>0</v>
      </c>
      <c r="H28" s="229">
        <v>-4739000</v>
      </c>
    </row>
    <row r="29" spans="1:8" x14ac:dyDescent="0.25">
      <c r="A29">
        <v>291</v>
      </c>
      <c r="B29" t="s">
        <v>130</v>
      </c>
      <c r="C29" s="7">
        <v>43584</v>
      </c>
      <c r="D29" t="s">
        <v>442</v>
      </c>
      <c r="E29" t="s">
        <v>443</v>
      </c>
      <c r="F29" s="229">
        <v>3000</v>
      </c>
      <c r="G29">
        <v>0</v>
      </c>
      <c r="H29" s="229">
        <v>-4736000</v>
      </c>
    </row>
    <row r="30" spans="1:8" x14ac:dyDescent="0.25">
      <c r="A30">
        <v>291</v>
      </c>
      <c r="B30" t="s">
        <v>130</v>
      </c>
      <c r="C30" s="7">
        <v>43584</v>
      </c>
      <c r="D30" t="s">
        <v>444</v>
      </c>
      <c r="E30" t="s">
        <v>445</v>
      </c>
      <c r="F30" s="229">
        <v>10000</v>
      </c>
      <c r="G30">
        <v>0</v>
      </c>
      <c r="H30" s="229">
        <v>-4726000</v>
      </c>
    </row>
    <row r="31" spans="1:8" x14ac:dyDescent="0.25">
      <c r="A31">
        <v>291</v>
      </c>
      <c r="B31" t="s">
        <v>130</v>
      </c>
      <c r="C31" s="7">
        <v>43584</v>
      </c>
      <c r="D31" t="s">
        <v>446</v>
      </c>
      <c r="E31" t="s">
        <v>447</v>
      </c>
      <c r="F31" s="229">
        <v>10000</v>
      </c>
      <c r="G31">
        <v>0</v>
      </c>
      <c r="H31" s="229">
        <v>-4716000</v>
      </c>
    </row>
    <row r="32" spans="1:8" x14ac:dyDescent="0.25">
      <c r="A32">
        <v>291</v>
      </c>
      <c r="B32" t="s">
        <v>130</v>
      </c>
      <c r="C32" s="7">
        <v>43584</v>
      </c>
      <c r="D32" t="s">
        <v>448</v>
      </c>
      <c r="E32" t="s">
        <v>449</v>
      </c>
      <c r="F32" s="229">
        <v>5000</v>
      </c>
      <c r="G32">
        <v>0</v>
      </c>
      <c r="H32" s="229">
        <v>-4711000</v>
      </c>
    </row>
    <row r="33" spans="1:8" x14ac:dyDescent="0.25">
      <c r="A33">
        <v>291</v>
      </c>
      <c r="B33" t="s">
        <v>130</v>
      </c>
      <c r="C33" s="7">
        <v>43584</v>
      </c>
      <c r="D33" t="s">
        <v>450</v>
      </c>
      <c r="E33" t="s">
        <v>451</v>
      </c>
      <c r="F33" s="229">
        <v>2000</v>
      </c>
      <c r="G33">
        <v>0</v>
      </c>
      <c r="H33" s="229">
        <v>-4709000</v>
      </c>
    </row>
    <row r="34" spans="1:8" x14ac:dyDescent="0.25">
      <c r="A34">
        <v>291</v>
      </c>
      <c r="B34" t="s">
        <v>130</v>
      </c>
      <c r="C34" s="7">
        <v>43584</v>
      </c>
      <c r="D34" t="s">
        <v>452</v>
      </c>
      <c r="E34" t="s">
        <v>453</v>
      </c>
      <c r="F34" s="229">
        <v>3000</v>
      </c>
      <c r="G34">
        <v>0</v>
      </c>
      <c r="H34" s="229">
        <v>-4706000</v>
      </c>
    </row>
    <row r="35" spans="1:8" x14ac:dyDescent="0.25">
      <c r="A35">
        <v>291</v>
      </c>
      <c r="B35" t="s">
        <v>130</v>
      </c>
      <c r="C35" s="7">
        <v>43584</v>
      </c>
      <c r="D35" t="s">
        <v>454</v>
      </c>
      <c r="E35" t="s">
        <v>455</v>
      </c>
      <c r="F35" s="229">
        <v>1000</v>
      </c>
      <c r="G35">
        <v>0</v>
      </c>
      <c r="H35" s="229">
        <v>-4705000</v>
      </c>
    </row>
    <row r="36" spans="1:8" x14ac:dyDescent="0.25">
      <c r="A36">
        <v>291</v>
      </c>
      <c r="B36" t="s">
        <v>130</v>
      </c>
      <c r="C36" s="7">
        <v>43584</v>
      </c>
      <c r="D36" t="s">
        <v>456</v>
      </c>
      <c r="E36" t="s">
        <v>457</v>
      </c>
      <c r="F36" s="229">
        <v>10000</v>
      </c>
      <c r="G36">
        <v>0</v>
      </c>
      <c r="H36" s="229">
        <v>-4695000</v>
      </c>
    </row>
    <row r="37" spans="1:8" x14ac:dyDescent="0.25">
      <c r="A37">
        <v>291</v>
      </c>
      <c r="B37" t="s">
        <v>130</v>
      </c>
      <c r="C37" s="7">
        <v>43584</v>
      </c>
      <c r="D37" t="s">
        <v>458</v>
      </c>
      <c r="E37" t="s">
        <v>459</v>
      </c>
      <c r="F37" s="229">
        <v>2000</v>
      </c>
      <c r="G37">
        <v>0</v>
      </c>
      <c r="H37" s="229">
        <v>-4693000</v>
      </c>
    </row>
    <row r="38" spans="1:8" x14ac:dyDescent="0.25">
      <c r="A38">
        <v>291</v>
      </c>
      <c r="B38" t="s">
        <v>130</v>
      </c>
      <c r="C38" s="7">
        <v>43584</v>
      </c>
      <c r="D38" t="s">
        <v>460</v>
      </c>
      <c r="E38" t="s">
        <v>461</v>
      </c>
      <c r="F38" s="229">
        <v>20000</v>
      </c>
      <c r="G38">
        <v>0</v>
      </c>
      <c r="H38" s="229">
        <v>-4673000</v>
      </c>
    </row>
    <row r="39" spans="1:8" x14ac:dyDescent="0.25">
      <c r="A39">
        <v>291</v>
      </c>
      <c r="B39" t="s">
        <v>130</v>
      </c>
      <c r="C39" s="7">
        <v>43584</v>
      </c>
      <c r="D39" t="s">
        <v>462</v>
      </c>
      <c r="E39" t="s">
        <v>463</v>
      </c>
      <c r="F39" s="229">
        <v>20000</v>
      </c>
      <c r="G39">
        <v>0</v>
      </c>
      <c r="H39" s="229">
        <v>-4653000</v>
      </c>
    </row>
    <row r="40" spans="1:8" x14ac:dyDescent="0.25">
      <c r="A40">
        <v>291</v>
      </c>
      <c r="B40" t="s">
        <v>130</v>
      </c>
      <c r="C40" s="7">
        <v>43584</v>
      </c>
      <c r="D40" t="s">
        <v>464</v>
      </c>
      <c r="E40" t="s">
        <v>465</v>
      </c>
      <c r="F40" s="229">
        <v>20000</v>
      </c>
      <c r="G40">
        <v>0</v>
      </c>
      <c r="H40" s="229">
        <v>-4633000</v>
      </c>
    </row>
    <row r="41" spans="1:8" x14ac:dyDescent="0.25">
      <c r="A41">
        <v>291</v>
      </c>
      <c r="B41" t="s">
        <v>130</v>
      </c>
      <c r="C41" s="7">
        <v>43584</v>
      </c>
      <c r="D41" t="s">
        <v>466</v>
      </c>
      <c r="E41" t="s">
        <v>467</v>
      </c>
      <c r="F41" s="229">
        <v>5000</v>
      </c>
      <c r="G41">
        <v>0</v>
      </c>
      <c r="H41" s="229">
        <v>-4628000</v>
      </c>
    </row>
    <row r="42" spans="1:8" x14ac:dyDescent="0.25">
      <c r="A42">
        <v>291</v>
      </c>
      <c r="B42" t="s">
        <v>130</v>
      </c>
      <c r="C42" s="7">
        <v>43584</v>
      </c>
      <c r="D42" t="s">
        <v>468</v>
      </c>
      <c r="E42" t="s">
        <v>469</v>
      </c>
      <c r="F42" s="229">
        <v>5000</v>
      </c>
      <c r="G42">
        <v>0</v>
      </c>
      <c r="H42" s="229">
        <v>-4623000</v>
      </c>
    </row>
    <row r="43" spans="1:8" x14ac:dyDescent="0.25">
      <c r="A43">
        <v>291</v>
      </c>
      <c r="B43" t="s">
        <v>130</v>
      </c>
      <c r="C43" s="7">
        <v>43584</v>
      </c>
      <c r="D43" t="s">
        <v>470</v>
      </c>
      <c r="E43" t="s">
        <v>471</v>
      </c>
      <c r="F43" s="229">
        <v>2000</v>
      </c>
      <c r="G43">
        <v>0</v>
      </c>
      <c r="H43" s="229">
        <v>-4621000</v>
      </c>
    </row>
    <row r="44" spans="1:8" x14ac:dyDescent="0.25">
      <c r="A44">
        <v>291</v>
      </c>
      <c r="B44" t="s">
        <v>130</v>
      </c>
      <c r="C44" s="7">
        <v>43584</v>
      </c>
      <c r="D44" t="s">
        <v>472</v>
      </c>
      <c r="E44" t="s">
        <v>473</v>
      </c>
      <c r="F44">
        <v>500</v>
      </c>
      <c r="G44">
        <v>0</v>
      </c>
      <c r="H44" s="229">
        <v>-4620500</v>
      </c>
    </row>
    <row r="45" spans="1:8" x14ac:dyDescent="0.25">
      <c r="A45">
        <v>291</v>
      </c>
      <c r="B45" t="s">
        <v>130</v>
      </c>
      <c r="C45" s="7">
        <v>43584</v>
      </c>
      <c r="D45" t="s">
        <v>474</v>
      </c>
      <c r="E45" t="s">
        <v>475</v>
      </c>
      <c r="F45" s="229">
        <v>20000</v>
      </c>
      <c r="G45">
        <v>0</v>
      </c>
      <c r="H45" s="229">
        <v>-4600500</v>
      </c>
    </row>
    <row r="46" spans="1:8" x14ac:dyDescent="0.25">
      <c r="A46">
        <v>291</v>
      </c>
      <c r="B46" t="s">
        <v>130</v>
      </c>
      <c r="C46" s="7">
        <v>43584</v>
      </c>
      <c r="D46" t="s">
        <v>476</v>
      </c>
      <c r="E46" t="s">
        <v>477</v>
      </c>
      <c r="F46" s="229">
        <v>20000</v>
      </c>
      <c r="G46">
        <v>0</v>
      </c>
      <c r="H46" s="229">
        <v>-4580500</v>
      </c>
    </row>
    <row r="47" spans="1:8" x14ac:dyDescent="0.25">
      <c r="A47">
        <v>291</v>
      </c>
      <c r="B47" t="s">
        <v>130</v>
      </c>
      <c r="C47" s="7">
        <v>43584</v>
      </c>
      <c r="D47" t="s">
        <v>478</v>
      </c>
      <c r="E47" t="s">
        <v>479</v>
      </c>
      <c r="F47" s="229">
        <v>10000</v>
      </c>
      <c r="G47">
        <v>0</v>
      </c>
      <c r="H47" s="229">
        <v>-4570500</v>
      </c>
    </row>
    <row r="48" spans="1:8" x14ac:dyDescent="0.25">
      <c r="A48">
        <v>291</v>
      </c>
      <c r="B48" t="s">
        <v>130</v>
      </c>
      <c r="C48" s="7">
        <v>43584</v>
      </c>
      <c r="D48" t="s">
        <v>480</v>
      </c>
      <c r="E48" t="s">
        <v>481</v>
      </c>
      <c r="F48" s="229">
        <v>2000</v>
      </c>
      <c r="G48">
        <v>0</v>
      </c>
      <c r="H48" s="229">
        <v>-4568500</v>
      </c>
    </row>
    <row r="49" spans="1:8" x14ac:dyDescent="0.25">
      <c r="A49">
        <v>291</v>
      </c>
      <c r="B49" t="s">
        <v>130</v>
      </c>
      <c r="C49" s="7">
        <v>43584</v>
      </c>
      <c r="D49" t="s">
        <v>482</v>
      </c>
      <c r="E49" t="s">
        <v>483</v>
      </c>
      <c r="F49" s="229">
        <v>2000</v>
      </c>
      <c r="G49">
        <v>0</v>
      </c>
      <c r="H49" s="229">
        <v>-4566500</v>
      </c>
    </row>
    <row r="50" spans="1:8" x14ac:dyDescent="0.25">
      <c r="A50">
        <v>291</v>
      </c>
      <c r="B50" t="s">
        <v>130</v>
      </c>
      <c r="C50" s="7">
        <v>43584</v>
      </c>
      <c r="D50" t="s">
        <v>484</v>
      </c>
      <c r="E50" t="s">
        <v>485</v>
      </c>
      <c r="F50" s="229">
        <v>20000</v>
      </c>
      <c r="G50">
        <v>0</v>
      </c>
      <c r="H50" s="229">
        <v>-4546500</v>
      </c>
    </row>
    <row r="51" spans="1:8" x14ac:dyDescent="0.25">
      <c r="A51">
        <v>291</v>
      </c>
      <c r="B51" t="s">
        <v>130</v>
      </c>
      <c r="C51" s="7">
        <v>43584</v>
      </c>
      <c r="D51" t="s">
        <v>486</v>
      </c>
      <c r="E51" t="s">
        <v>487</v>
      </c>
      <c r="F51" s="229">
        <v>9500</v>
      </c>
      <c r="G51">
        <v>0</v>
      </c>
      <c r="H51" s="229">
        <v>-4537000</v>
      </c>
    </row>
    <row r="52" spans="1:8" x14ac:dyDescent="0.25">
      <c r="A52">
        <v>291</v>
      </c>
      <c r="B52" t="s">
        <v>130</v>
      </c>
      <c r="C52" s="7">
        <v>43584</v>
      </c>
      <c r="D52" t="s">
        <v>488</v>
      </c>
      <c r="E52" t="s">
        <v>489</v>
      </c>
      <c r="F52" s="229">
        <v>20000</v>
      </c>
      <c r="G52">
        <v>0</v>
      </c>
      <c r="H52" s="229">
        <v>-4517000</v>
      </c>
    </row>
    <row r="53" spans="1:8" x14ac:dyDescent="0.25">
      <c r="A53">
        <v>291</v>
      </c>
      <c r="B53" t="s">
        <v>130</v>
      </c>
      <c r="C53" s="7">
        <v>43584</v>
      </c>
      <c r="D53" t="s">
        <v>490</v>
      </c>
      <c r="E53" t="s">
        <v>491</v>
      </c>
      <c r="F53" s="229">
        <v>5000</v>
      </c>
      <c r="G53">
        <v>0</v>
      </c>
      <c r="H53" s="229">
        <v>-4512000</v>
      </c>
    </row>
    <row r="54" spans="1:8" x14ac:dyDescent="0.25">
      <c r="A54">
        <v>291</v>
      </c>
      <c r="B54" t="s">
        <v>130</v>
      </c>
      <c r="C54" s="7">
        <v>43584</v>
      </c>
      <c r="D54" t="s">
        <v>492</v>
      </c>
      <c r="E54" t="s">
        <v>493</v>
      </c>
      <c r="F54" s="229">
        <v>2000</v>
      </c>
      <c r="G54">
        <v>0</v>
      </c>
      <c r="H54" s="229">
        <v>-4510000</v>
      </c>
    </row>
    <row r="55" spans="1:8" x14ac:dyDescent="0.25">
      <c r="A55">
        <v>291</v>
      </c>
      <c r="B55" t="s">
        <v>130</v>
      </c>
      <c r="C55" s="7">
        <v>43584</v>
      </c>
      <c r="D55" t="s">
        <v>494</v>
      </c>
      <c r="E55" t="s">
        <v>495</v>
      </c>
      <c r="F55" s="229">
        <v>10000</v>
      </c>
      <c r="G55">
        <v>0</v>
      </c>
      <c r="H55" s="229">
        <v>-4500000</v>
      </c>
    </row>
    <row r="56" spans="1:8" x14ac:dyDescent="0.25">
      <c r="A56">
        <v>291</v>
      </c>
      <c r="B56" t="s">
        <v>130</v>
      </c>
      <c r="C56" s="7">
        <v>43584</v>
      </c>
      <c r="D56" t="s">
        <v>496</v>
      </c>
      <c r="E56" t="s">
        <v>497</v>
      </c>
      <c r="F56" s="229">
        <v>7000</v>
      </c>
      <c r="G56">
        <v>0</v>
      </c>
      <c r="H56" s="229">
        <v>-4493000</v>
      </c>
    </row>
    <row r="57" spans="1:8" x14ac:dyDescent="0.25">
      <c r="A57">
        <v>291</v>
      </c>
      <c r="B57" t="s">
        <v>130</v>
      </c>
      <c r="C57" s="7">
        <v>43584</v>
      </c>
      <c r="D57" t="s">
        <v>498</v>
      </c>
      <c r="E57" t="s">
        <v>499</v>
      </c>
      <c r="F57" s="229">
        <v>10000</v>
      </c>
      <c r="G57">
        <v>0</v>
      </c>
      <c r="H57" s="229">
        <v>-4483000</v>
      </c>
    </row>
    <row r="58" spans="1:8" x14ac:dyDescent="0.25">
      <c r="A58">
        <v>291</v>
      </c>
      <c r="B58" t="s">
        <v>130</v>
      </c>
      <c r="C58" s="7">
        <v>43584</v>
      </c>
      <c r="D58" t="s">
        <v>500</v>
      </c>
      <c r="E58" t="s">
        <v>501</v>
      </c>
      <c r="F58" s="229">
        <v>20000</v>
      </c>
      <c r="G58">
        <v>0</v>
      </c>
      <c r="H58" s="229">
        <v>-4463000</v>
      </c>
    </row>
    <row r="59" spans="1:8" x14ac:dyDescent="0.25">
      <c r="A59">
        <v>291</v>
      </c>
      <c r="B59" t="s">
        <v>130</v>
      </c>
      <c r="C59" s="7">
        <v>43584</v>
      </c>
      <c r="D59" t="s">
        <v>502</v>
      </c>
      <c r="E59" t="s">
        <v>503</v>
      </c>
      <c r="F59" s="229">
        <v>10000</v>
      </c>
      <c r="G59">
        <v>0</v>
      </c>
      <c r="H59" s="229">
        <v>-4453000</v>
      </c>
    </row>
    <row r="60" spans="1:8" x14ac:dyDescent="0.25">
      <c r="A60">
        <v>291</v>
      </c>
      <c r="B60" t="s">
        <v>130</v>
      </c>
      <c r="C60" s="7">
        <v>43584</v>
      </c>
      <c r="D60" t="s">
        <v>504</v>
      </c>
      <c r="E60" t="s">
        <v>505</v>
      </c>
      <c r="F60">
        <v>500</v>
      </c>
      <c r="G60">
        <v>0</v>
      </c>
      <c r="H60" s="229">
        <v>-4452500</v>
      </c>
    </row>
    <row r="61" spans="1:8" x14ac:dyDescent="0.25">
      <c r="A61">
        <v>291</v>
      </c>
      <c r="B61" t="s">
        <v>130</v>
      </c>
      <c r="C61" s="7">
        <v>43584</v>
      </c>
      <c r="D61" t="s">
        <v>506</v>
      </c>
      <c r="E61" t="s">
        <v>507</v>
      </c>
      <c r="F61" s="229">
        <v>5000</v>
      </c>
      <c r="G61">
        <v>0</v>
      </c>
      <c r="H61" s="229">
        <v>-4447500</v>
      </c>
    </row>
    <row r="62" spans="1:8" x14ac:dyDescent="0.25">
      <c r="A62">
        <v>291</v>
      </c>
      <c r="B62" t="s">
        <v>130</v>
      </c>
      <c r="C62" s="7">
        <v>43584</v>
      </c>
      <c r="D62" t="s">
        <v>508</v>
      </c>
      <c r="E62" t="s">
        <v>509</v>
      </c>
      <c r="F62">
        <v>500</v>
      </c>
      <c r="G62">
        <v>0</v>
      </c>
      <c r="H62" s="229">
        <v>-4447000</v>
      </c>
    </row>
    <row r="63" spans="1:8" x14ac:dyDescent="0.25">
      <c r="A63">
        <v>291</v>
      </c>
      <c r="B63" t="s">
        <v>130</v>
      </c>
      <c r="C63" s="7">
        <v>43584</v>
      </c>
      <c r="D63" t="s">
        <v>510</v>
      </c>
      <c r="E63" t="s">
        <v>511</v>
      </c>
      <c r="F63" s="229">
        <v>20000</v>
      </c>
      <c r="G63">
        <v>0</v>
      </c>
      <c r="H63" s="229">
        <v>-4427000</v>
      </c>
    </row>
    <row r="64" spans="1:8" x14ac:dyDescent="0.25">
      <c r="A64">
        <v>291</v>
      </c>
      <c r="B64" t="s">
        <v>130</v>
      </c>
      <c r="C64" s="7">
        <v>43584</v>
      </c>
      <c r="D64" t="s">
        <v>512</v>
      </c>
      <c r="E64" t="s">
        <v>513</v>
      </c>
      <c r="F64" s="229">
        <v>1500</v>
      </c>
      <c r="G64">
        <v>0</v>
      </c>
      <c r="H64" s="229">
        <v>-4425500</v>
      </c>
    </row>
    <row r="65" spans="1:8" x14ac:dyDescent="0.25">
      <c r="A65">
        <v>291</v>
      </c>
      <c r="B65" t="s">
        <v>130</v>
      </c>
      <c r="C65" s="7">
        <v>43584</v>
      </c>
      <c r="D65" t="s">
        <v>514</v>
      </c>
      <c r="E65" t="s">
        <v>515</v>
      </c>
      <c r="F65" s="229">
        <v>20000</v>
      </c>
      <c r="G65">
        <v>0</v>
      </c>
      <c r="H65" s="229">
        <v>-4405500</v>
      </c>
    </row>
    <row r="66" spans="1:8" x14ac:dyDescent="0.25">
      <c r="A66">
        <v>291</v>
      </c>
      <c r="B66" t="s">
        <v>130</v>
      </c>
      <c r="C66" s="7">
        <v>43584</v>
      </c>
      <c r="D66" t="s">
        <v>516</v>
      </c>
      <c r="E66" t="s">
        <v>517</v>
      </c>
      <c r="F66" s="229">
        <v>5000</v>
      </c>
      <c r="G66">
        <v>0</v>
      </c>
      <c r="H66" s="229">
        <v>-4400500</v>
      </c>
    </row>
    <row r="67" spans="1:8" x14ac:dyDescent="0.25">
      <c r="A67">
        <v>291</v>
      </c>
      <c r="B67" t="s">
        <v>130</v>
      </c>
      <c r="C67" s="7">
        <v>43584</v>
      </c>
      <c r="D67" t="s">
        <v>518</v>
      </c>
      <c r="E67" t="s">
        <v>519</v>
      </c>
      <c r="F67" s="229">
        <v>10000</v>
      </c>
      <c r="G67">
        <v>0</v>
      </c>
      <c r="H67" s="229">
        <v>-4390500</v>
      </c>
    </row>
    <row r="68" spans="1:8" x14ac:dyDescent="0.25">
      <c r="A68">
        <v>291</v>
      </c>
      <c r="B68" t="s">
        <v>130</v>
      </c>
      <c r="C68" s="7">
        <v>43584</v>
      </c>
      <c r="D68" t="s">
        <v>520</v>
      </c>
      <c r="E68" t="s">
        <v>521</v>
      </c>
      <c r="F68" s="229">
        <v>10000</v>
      </c>
      <c r="G68">
        <v>0</v>
      </c>
      <c r="H68" s="229">
        <v>-4380500</v>
      </c>
    </row>
    <row r="69" spans="1:8" x14ac:dyDescent="0.25">
      <c r="A69">
        <v>291</v>
      </c>
      <c r="B69" t="s">
        <v>130</v>
      </c>
      <c r="C69" s="7">
        <v>43584</v>
      </c>
      <c r="D69" t="s">
        <v>522</v>
      </c>
      <c r="E69" t="s">
        <v>523</v>
      </c>
      <c r="F69" s="229">
        <v>10000</v>
      </c>
      <c r="G69">
        <v>0</v>
      </c>
      <c r="H69" s="229">
        <v>-4370500</v>
      </c>
    </row>
    <row r="70" spans="1:8" x14ac:dyDescent="0.25">
      <c r="A70">
        <v>291</v>
      </c>
      <c r="B70" t="s">
        <v>130</v>
      </c>
      <c r="C70" s="7">
        <v>43584</v>
      </c>
      <c r="D70" t="s">
        <v>524</v>
      </c>
      <c r="E70" t="s">
        <v>525</v>
      </c>
      <c r="F70" s="229">
        <v>20000</v>
      </c>
      <c r="G70">
        <v>0</v>
      </c>
      <c r="H70" s="229">
        <v>-4350500</v>
      </c>
    </row>
    <row r="71" spans="1:8" x14ac:dyDescent="0.25">
      <c r="A71">
        <v>291</v>
      </c>
      <c r="B71" t="s">
        <v>130</v>
      </c>
      <c r="C71" s="7">
        <v>43584</v>
      </c>
      <c r="D71" t="s">
        <v>526</v>
      </c>
      <c r="E71" t="s">
        <v>527</v>
      </c>
      <c r="F71" s="229">
        <v>20000</v>
      </c>
      <c r="G71">
        <v>0</v>
      </c>
      <c r="H71" s="229">
        <v>-4330500</v>
      </c>
    </row>
    <row r="72" spans="1:8" x14ac:dyDescent="0.25">
      <c r="A72">
        <v>291</v>
      </c>
      <c r="B72" t="s">
        <v>130</v>
      </c>
      <c r="C72" s="7">
        <v>43584</v>
      </c>
      <c r="D72" t="s">
        <v>528</v>
      </c>
      <c r="E72" t="s">
        <v>529</v>
      </c>
      <c r="F72" s="229">
        <v>20000</v>
      </c>
      <c r="G72">
        <v>0</v>
      </c>
      <c r="H72" s="229">
        <v>-4310500</v>
      </c>
    </row>
    <row r="73" spans="1:8" x14ac:dyDescent="0.25">
      <c r="A73">
        <v>291</v>
      </c>
      <c r="B73" t="s">
        <v>130</v>
      </c>
      <c r="C73" s="7">
        <v>43584</v>
      </c>
      <c r="D73" t="s">
        <v>530</v>
      </c>
      <c r="E73" t="s">
        <v>531</v>
      </c>
      <c r="F73" s="229">
        <v>2000</v>
      </c>
      <c r="G73">
        <v>0</v>
      </c>
      <c r="H73" s="229">
        <v>-4308500</v>
      </c>
    </row>
    <row r="74" spans="1:8" x14ac:dyDescent="0.25">
      <c r="A74">
        <v>291</v>
      </c>
      <c r="B74" t="s">
        <v>130</v>
      </c>
      <c r="C74" s="7">
        <v>43584</v>
      </c>
      <c r="D74" t="s">
        <v>532</v>
      </c>
      <c r="E74" t="s">
        <v>533</v>
      </c>
      <c r="F74" s="229">
        <v>1500</v>
      </c>
      <c r="G74">
        <v>0</v>
      </c>
      <c r="H74" s="229">
        <v>-4307000</v>
      </c>
    </row>
    <row r="75" spans="1:8" x14ac:dyDescent="0.25">
      <c r="A75">
        <v>291</v>
      </c>
      <c r="B75" t="s">
        <v>130</v>
      </c>
      <c r="C75" s="7">
        <v>43584</v>
      </c>
      <c r="D75" t="s">
        <v>534</v>
      </c>
      <c r="E75" t="s">
        <v>535</v>
      </c>
      <c r="F75" s="229">
        <v>10000</v>
      </c>
      <c r="G75">
        <v>0</v>
      </c>
      <c r="H75" s="229">
        <v>-4297000</v>
      </c>
    </row>
    <row r="76" spans="1:8" x14ac:dyDescent="0.25">
      <c r="A76">
        <v>291</v>
      </c>
      <c r="B76" t="s">
        <v>130</v>
      </c>
      <c r="C76" s="7">
        <v>43584</v>
      </c>
      <c r="D76" t="s">
        <v>536</v>
      </c>
      <c r="E76" t="s">
        <v>537</v>
      </c>
      <c r="F76" s="229">
        <v>2000</v>
      </c>
      <c r="G76">
        <v>0</v>
      </c>
      <c r="H76" s="229">
        <v>-4295000</v>
      </c>
    </row>
    <row r="77" spans="1:8" x14ac:dyDescent="0.25">
      <c r="A77">
        <v>291</v>
      </c>
      <c r="B77" t="s">
        <v>130</v>
      </c>
      <c r="C77" s="7">
        <v>43584</v>
      </c>
      <c r="D77" t="s">
        <v>538</v>
      </c>
      <c r="E77" t="s">
        <v>539</v>
      </c>
      <c r="F77" s="229">
        <v>20000</v>
      </c>
      <c r="G77">
        <v>0</v>
      </c>
      <c r="H77" s="229">
        <v>-4275000</v>
      </c>
    </row>
    <row r="78" spans="1:8" x14ac:dyDescent="0.25">
      <c r="A78">
        <v>291</v>
      </c>
      <c r="B78" t="s">
        <v>130</v>
      </c>
      <c r="C78" s="7">
        <v>43584</v>
      </c>
      <c r="D78" t="s">
        <v>540</v>
      </c>
      <c r="E78" t="s">
        <v>541</v>
      </c>
      <c r="F78" s="229">
        <v>20000</v>
      </c>
      <c r="G78">
        <v>0</v>
      </c>
      <c r="H78" s="229">
        <v>-4255000</v>
      </c>
    </row>
    <row r="79" spans="1:8" x14ac:dyDescent="0.25">
      <c r="A79">
        <v>291</v>
      </c>
      <c r="B79" t="s">
        <v>130</v>
      </c>
      <c r="C79" s="7">
        <v>43584</v>
      </c>
      <c r="D79" t="s">
        <v>542</v>
      </c>
      <c r="E79" t="s">
        <v>543</v>
      </c>
      <c r="F79">
        <v>500</v>
      </c>
      <c r="G79">
        <v>0</v>
      </c>
      <c r="H79" s="229">
        <v>-4254500</v>
      </c>
    </row>
    <row r="80" spans="1:8" x14ac:dyDescent="0.25">
      <c r="A80">
        <v>291</v>
      </c>
      <c r="B80" t="s">
        <v>130</v>
      </c>
      <c r="C80" s="7">
        <v>43584</v>
      </c>
      <c r="D80" t="s">
        <v>544</v>
      </c>
      <c r="E80" t="s">
        <v>545</v>
      </c>
      <c r="F80" s="229">
        <v>20000</v>
      </c>
      <c r="G80">
        <v>0</v>
      </c>
      <c r="H80" s="229">
        <v>-4234500</v>
      </c>
    </row>
    <row r="81" spans="1:8" x14ac:dyDescent="0.25">
      <c r="A81">
        <v>291</v>
      </c>
      <c r="B81" t="s">
        <v>130</v>
      </c>
      <c r="C81" s="7">
        <v>43584</v>
      </c>
      <c r="D81" t="s">
        <v>546</v>
      </c>
      <c r="E81" t="s">
        <v>547</v>
      </c>
      <c r="F81" s="229">
        <v>5000</v>
      </c>
      <c r="G81">
        <v>0</v>
      </c>
      <c r="H81" s="229">
        <v>-4229500</v>
      </c>
    </row>
    <row r="82" spans="1:8" x14ac:dyDescent="0.25">
      <c r="A82">
        <v>291</v>
      </c>
      <c r="B82" t="s">
        <v>130</v>
      </c>
      <c r="C82" s="7">
        <v>43584</v>
      </c>
      <c r="D82" t="s">
        <v>548</v>
      </c>
      <c r="E82" t="s">
        <v>549</v>
      </c>
      <c r="F82" s="229">
        <v>20000</v>
      </c>
      <c r="G82">
        <v>0</v>
      </c>
      <c r="H82" s="229">
        <v>-4209500</v>
      </c>
    </row>
    <row r="83" spans="1:8" x14ac:dyDescent="0.25">
      <c r="A83">
        <v>291</v>
      </c>
      <c r="B83" t="s">
        <v>130</v>
      </c>
      <c r="C83" s="7">
        <v>43584</v>
      </c>
      <c r="D83" t="s">
        <v>550</v>
      </c>
      <c r="E83" t="s">
        <v>551</v>
      </c>
      <c r="F83" s="229">
        <v>20000</v>
      </c>
      <c r="G83">
        <v>0</v>
      </c>
      <c r="H83" s="229">
        <v>-4189500</v>
      </c>
    </row>
    <row r="84" spans="1:8" x14ac:dyDescent="0.25">
      <c r="A84">
        <v>291</v>
      </c>
      <c r="B84" t="s">
        <v>130</v>
      </c>
      <c r="C84" s="7">
        <v>43584</v>
      </c>
      <c r="D84" t="s">
        <v>552</v>
      </c>
      <c r="E84" t="s">
        <v>553</v>
      </c>
      <c r="F84" s="229">
        <v>4000</v>
      </c>
      <c r="G84">
        <v>0</v>
      </c>
      <c r="H84" s="229">
        <v>-4185500</v>
      </c>
    </row>
    <row r="85" spans="1:8" x14ac:dyDescent="0.25">
      <c r="A85">
        <v>291</v>
      </c>
      <c r="B85" t="s">
        <v>130</v>
      </c>
      <c r="C85" s="7">
        <v>43584</v>
      </c>
      <c r="D85" t="s">
        <v>554</v>
      </c>
      <c r="E85" t="s">
        <v>555</v>
      </c>
      <c r="F85" s="229">
        <v>5000</v>
      </c>
      <c r="G85">
        <v>0</v>
      </c>
      <c r="H85" s="229">
        <v>-4180500</v>
      </c>
    </row>
    <row r="86" spans="1:8" x14ac:dyDescent="0.25">
      <c r="A86">
        <v>291</v>
      </c>
      <c r="B86" t="s">
        <v>130</v>
      </c>
      <c r="C86" s="7">
        <v>43584</v>
      </c>
      <c r="D86" t="s">
        <v>556</v>
      </c>
      <c r="E86" t="s">
        <v>557</v>
      </c>
      <c r="F86" s="229">
        <v>9000</v>
      </c>
      <c r="G86">
        <v>0</v>
      </c>
      <c r="H86" s="229">
        <v>-4171500</v>
      </c>
    </row>
    <row r="87" spans="1:8" x14ac:dyDescent="0.25">
      <c r="A87">
        <v>291</v>
      </c>
      <c r="B87" t="s">
        <v>130</v>
      </c>
      <c r="C87" s="7">
        <v>43584</v>
      </c>
      <c r="D87" t="s">
        <v>558</v>
      </c>
      <c r="E87" t="s">
        <v>559</v>
      </c>
      <c r="F87" s="229">
        <v>3000</v>
      </c>
      <c r="G87">
        <v>0</v>
      </c>
      <c r="H87" s="229">
        <v>-4168500</v>
      </c>
    </row>
    <row r="88" spans="1:8" x14ac:dyDescent="0.25">
      <c r="A88">
        <v>291</v>
      </c>
      <c r="B88" t="s">
        <v>130</v>
      </c>
      <c r="C88" s="7">
        <v>43584</v>
      </c>
      <c r="D88" t="s">
        <v>560</v>
      </c>
      <c r="E88" t="s">
        <v>561</v>
      </c>
      <c r="F88" s="229">
        <v>1000</v>
      </c>
      <c r="G88">
        <v>0</v>
      </c>
      <c r="H88" s="229">
        <v>-4167500</v>
      </c>
    </row>
    <row r="89" spans="1:8" x14ac:dyDescent="0.25">
      <c r="A89">
        <v>291</v>
      </c>
      <c r="B89" t="s">
        <v>130</v>
      </c>
      <c r="C89" s="7">
        <v>43584</v>
      </c>
      <c r="D89" t="s">
        <v>562</v>
      </c>
      <c r="E89" t="s">
        <v>563</v>
      </c>
      <c r="F89" s="229">
        <v>13000</v>
      </c>
      <c r="G89">
        <v>0</v>
      </c>
      <c r="H89" s="229">
        <v>-4154500</v>
      </c>
    </row>
    <row r="90" spans="1:8" x14ac:dyDescent="0.25">
      <c r="A90">
        <v>291</v>
      </c>
      <c r="B90" t="s">
        <v>130</v>
      </c>
      <c r="C90" s="7">
        <v>43584</v>
      </c>
      <c r="D90" t="s">
        <v>564</v>
      </c>
      <c r="E90" t="s">
        <v>565</v>
      </c>
      <c r="F90" s="229">
        <v>20000</v>
      </c>
      <c r="G90">
        <v>0</v>
      </c>
      <c r="H90" s="229">
        <v>-4134500</v>
      </c>
    </row>
    <row r="91" spans="1:8" x14ac:dyDescent="0.25">
      <c r="A91">
        <v>291</v>
      </c>
      <c r="B91" t="s">
        <v>130</v>
      </c>
      <c r="C91" s="7">
        <v>43584</v>
      </c>
      <c r="D91" t="s">
        <v>566</v>
      </c>
      <c r="E91" t="s">
        <v>567</v>
      </c>
      <c r="F91" s="229">
        <v>20000</v>
      </c>
      <c r="G91">
        <v>0</v>
      </c>
      <c r="H91" s="229">
        <v>-4114500</v>
      </c>
    </row>
    <row r="92" spans="1:8" x14ac:dyDescent="0.25">
      <c r="A92">
        <v>291</v>
      </c>
      <c r="B92" t="s">
        <v>130</v>
      </c>
      <c r="C92" s="7">
        <v>43584</v>
      </c>
      <c r="D92" t="s">
        <v>568</v>
      </c>
      <c r="E92" t="s">
        <v>569</v>
      </c>
      <c r="F92" s="229">
        <v>1000</v>
      </c>
      <c r="G92">
        <v>0</v>
      </c>
      <c r="H92" s="229">
        <v>-4113500</v>
      </c>
    </row>
    <row r="93" spans="1:8" x14ac:dyDescent="0.25">
      <c r="A93">
        <v>291</v>
      </c>
      <c r="B93" t="s">
        <v>130</v>
      </c>
      <c r="C93" s="7">
        <v>43584</v>
      </c>
      <c r="D93" t="s">
        <v>570</v>
      </c>
      <c r="E93" t="s">
        <v>571</v>
      </c>
      <c r="F93">
        <v>500</v>
      </c>
      <c r="G93">
        <v>0</v>
      </c>
      <c r="H93" s="229">
        <v>-4113000</v>
      </c>
    </row>
    <row r="94" spans="1:8" x14ac:dyDescent="0.25">
      <c r="A94">
        <v>291</v>
      </c>
      <c r="B94" t="s">
        <v>130</v>
      </c>
      <c r="C94" s="7">
        <v>43584</v>
      </c>
      <c r="D94" t="s">
        <v>572</v>
      </c>
      <c r="E94" t="s">
        <v>573</v>
      </c>
      <c r="F94" s="229">
        <v>5000</v>
      </c>
      <c r="G94">
        <v>0</v>
      </c>
      <c r="H94" s="229">
        <v>-4108000</v>
      </c>
    </row>
    <row r="95" spans="1:8" x14ac:dyDescent="0.25">
      <c r="A95">
        <v>291</v>
      </c>
      <c r="B95" t="s">
        <v>130</v>
      </c>
      <c r="C95" s="7">
        <v>43584</v>
      </c>
      <c r="D95" t="s">
        <v>574</v>
      </c>
      <c r="E95" t="s">
        <v>575</v>
      </c>
      <c r="F95" s="229">
        <v>20000</v>
      </c>
      <c r="G95">
        <v>0</v>
      </c>
      <c r="H95" s="229">
        <v>-4088000</v>
      </c>
    </row>
    <row r="96" spans="1:8" x14ac:dyDescent="0.25">
      <c r="A96">
        <v>291</v>
      </c>
      <c r="B96" t="s">
        <v>130</v>
      </c>
      <c r="C96" s="7">
        <v>43584</v>
      </c>
      <c r="D96" t="s">
        <v>576</v>
      </c>
      <c r="E96" t="s">
        <v>577</v>
      </c>
      <c r="F96" s="229">
        <v>10000</v>
      </c>
      <c r="G96">
        <v>0</v>
      </c>
      <c r="H96" s="229">
        <v>-4078000</v>
      </c>
    </row>
    <row r="97" spans="1:8" x14ac:dyDescent="0.25">
      <c r="A97">
        <v>291</v>
      </c>
      <c r="B97" t="s">
        <v>130</v>
      </c>
      <c r="C97" s="7">
        <v>43584</v>
      </c>
      <c r="D97" t="s">
        <v>578</v>
      </c>
      <c r="E97" t="s">
        <v>579</v>
      </c>
      <c r="F97" s="229">
        <v>20000</v>
      </c>
      <c r="G97">
        <v>0</v>
      </c>
      <c r="H97" s="229">
        <v>-4058000</v>
      </c>
    </row>
    <row r="98" spans="1:8" x14ac:dyDescent="0.25">
      <c r="A98">
        <v>291</v>
      </c>
      <c r="B98" t="s">
        <v>130</v>
      </c>
      <c r="C98" s="7">
        <v>43584</v>
      </c>
      <c r="D98" t="s">
        <v>580</v>
      </c>
      <c r="E98" t="s">
        <v>581</v>
      </c>
      <c r="F98" s="229">
        <v>20000</v>
      </c>
      <c r="G98">
        <v>0</v>
      </c>
      <c r="H98" s="229">
        <v>-4038000</v>
      </c>
    </row>
    <row r="99" spans="1:8" x14ac:dyDescent="0.25">
      <c r="A99">
        <v>291</v>
      </c>
      <c r="B99" t="s">
        <v>130</v>
      </c>
      <c r="C99" s="7">
        <v>43584</v>
      </c>
      <c r="D99" t="s">
        <v>582</v>
      </c>
      <c r="E99" t="s">
        <v>583</v>
      </c>
      <c r="F99" s="229">
        <v>20000</v>
      </c>
      <c r="G99">
        <v>0</v>
      </c>
      <c r="H99" s="229">
        <v>-4018000</v>
      </c>
    </row>
    <row r="100" spans="1:8" x14ac:dyDescent="0.25">
      <c r="A100">
        <v>291</v>
      </c>
      <c r="B100" t="s">
        <v>130</v>
      </c>
      <c r="C100" s="7">
        <v>43584</v>
      </c>
      <c r="D100" t="s">
        <v>584</v>
      </c>
      <c r="E100" t="s">
        <v>585</v>
      </c>
      <c r="F100" s="229">
        <v>20000</v>
      </c>
      <c r="G100">
        <v>0</v>
      </c>
      <c r="H100" s="229">
        <v>-3998000</v>
      </c>
    </row>
    <row r="101" spans="1:8" x14ac:dyDescent="0.25">
      <c r="A101">
        <v>291</v>
      </c>
      <c r="B101" t="s">
        <v>130</v>
      </c>
      <c r="C101" s="7">
        <v>43584</v>
      </c>
      <c r="D101" t="s">
        <v>586</v>
      </c>
      <c r="E101" t="s">
        <v>587</v>
      </c>
      <c r="F101" s="229">
        <v>10000</v>
      </c>
      <c r="G101">
        <v>0</v>
      </c>
      <c r="H101" s="229">
        <v>-3988000</v>
      </c>
    </row>
    <row r="102" spans="1:8" x14ac:dyDescent="0.25">
      <c r="A102">
        <v>291</v>
      </c>
      <c r="B102" t="s">
        <v>130</v>
      </c>
      <c r="C102" s="7">
        <v>43584</v>
      </c>
      <c r="D102" t="s">
        <v>588</v>
      </c>
      <c r="E102" t="s">
        <v>589</v>
      </c>
      <c r="F102" s="229">
        <v>3000</v>
      </c>
      <c r="G102">
        <v>0</v>
      </c>
      <c r="H102" s="229">
        <v>-3985000</v>
      </c>
    </row>
    <row r="103" spans="1:8" x14ac:dyDescent="0.25">
      <c r="A103">
        <v>291</v>
      </c>
      <c r="B103" t="s">
        <v>130</v>
      </c>
      <c r="C103" s="7">
        <v>43584</v>
      </c>
      <c r="D103" t="s">
        <v>590</v>
      </c>
      <c r="E103" t="s">
        <v>591</v>
      </c>
      <c r="F103" s="229">
        <v>20000</v>
      </c>
      <c r="G103">
        <v>0</v>
      </c>
      <c r="H103" s="229">
        <v>-3965000</v>
      </c>
    </row>
    <row r="104" spans="1:8" x14ac:dyDescent="0.25">
      <c r="A104">
        <v>291</v>
      </c>
      <c r="B104" t="s">
        <v>130</v>
      </c>
      <c r="C104" s="7">
        <v>43584</v>
      </c>
      <c r="D104" t="s">
        <v>592</v>
      </c>
      <c r="E104" t="s">
        <v>593</v>
      </c>
      <c r="F104" s="229">
        <v>20000</v>
      </c>
      <c r="G104">
        <v>0</v>
      </c>
      <c r="H104" s="229">
        <v>-3945000</v>
      </c>
    </row>
    <row r="105" spans="1:8" x14ac:dyDescent="0.25">
      <c r="A105">
        <v>291</v>
      </c>
      <c r="B105" t="s">
        <v>130</v>
      </c>
      <c r="C105" s="7">
        <v>43584</v>
      </c>
      <c r="D105" t="s">
        <v>594</v>
      </c>
      <c r="E105" t="s">
        <v>595</v>
      </c>
      <c r="F105" s="229">
        <v>20000</v>
      </c>
      <c r="G105">
        <v>0</v>
      </c>
      <c r="H105" s="229">
        <v>-3925000</v>
      </c>
    </row>
    <row r="106" spans="1:8" x14ac:dyDescent="0.25">
      <c r="A106">
        <v>291</v>
      </c>
      <c r="B106" t="s">
        <v>130</v>
      </c>
      <c r="C106" s="7">
        <v>43584</v>
      </c>
      <c r="D106" t="s">
        <v>596</v>
      </c>
      <c r="E106" t="s">
        <v>597</v>
      </c>
      <c r="F106" s="229">
        <v>20000</v>
      </c>
      <c r="G106">
        <v>0</v>
      </c>
      <c r="H106" s="229">
        <v>-3905000</v>
      </c>
    </row>
    <row r="107" spans="1:8" x14ac:dyDescent="0.25">
      <c r="A107">
        <v>291</v>
      </c>
      <c r="B107" t="s">
        <v>130</v>
      </c>
      <c r="C107" s="7">
        <v>43584</v>
      </c>
      <c r="D107" t="s">
        <v>598</v>
      </c>
      <c r="E107" t="s">
        <v>599</v>
      </c>
      <c r="F107" s="229">
        <v>15000</v>
      </c>
      <c r="G107">
        <v>0</v>
      </c>
      <c r="H107" s="229">
        <v>-3890000</v>
      </c>
    </row>
    <row r="108" spans="1:8" x14ac:dyDescent="0.25">
      <c r="A108">
        <v>291</v>
      </c>
      <c r="B108" t="s">
        <v>130</v>
      </c>
      <c r="C108" s="7">
        <v>43584</v>
      </c>
      <c r="D108" t="s">
        <v>600</v>
      </c>
      <c r="E108" t="s">
        <v>601</v>
      </c>
      <c r="F108" s="229">
        <v>20000</v>
      </c>
      <c r="G108">
        <v>0</v>
      </c>
      <c r="H108" s="229">
        <v>-3870000</v>
      </c>
    </row>
    <row r="109" spans="1:8" x14ac:dyDescent="0.25">
      <c r="A109">
        <v>291</v>
      </c>
      <c r="B109" t="s">
        <v>130</v>
      </c>
      <c r="C109" s="7">
        <v>43584</v>
      </c>
      <c r="D109" t="s">
        <v>602</v>
      </c>
      <c r="E109" t="s">
        <v>603</v>
      </c>
      <c r="F109" s="229">
        <v>5000</v>
      </c>
      <c r="G109">
        <v>0</v>
      </c>
      <c r="H109" s="229">
        <v>-3865000</v>
      </c>
    </row>
    <row r="110" spans="1:8" x14ac:dyDescent="0.25">
      <c r="A110">
        <v>291</v>
      </c>
      <c r="B110" t="s">
        <v>130</v>
      </c>
      <c r="C110" s="7">
        <v>43584</v>
      </c>
      <c r="D110" t="s">
        <v>604</v>
      </c>
      <c r="E110" t="s">
        <v>605</v>
      </c>
      <c r="F110" s="229">
        <v>10000</v>
      </c>
      <c r="G110">
        <v>0</v>
      </c>
      <c r="H110" s="229">
        <v>-3855000</v>
      </c>
    </row>
    <row r="111" spans="1:8" x14ac:dyDescent="0.25">
      <c r="A111">
        <v>291</v>
      </c>
      <c r="B111" t="s">
        <v>130</v>
      </c>
      <c r="C111" s="7">
        <v>43584</v>
      </c>
      <c r="D111" t="s">
        <v>606</v>
      </c>
      <c r="E111" t="s">
        <v>607</v>
      </c>
      <c r="F111" s="229">
        <v>10000</v>
      </c>
      <c r="G111">
        <v>0</v>
      </c>
      <c r="H111" s="229">
        <v>-3845000</v>
      </c>
    </row>
    <row r="112" spans="1:8" x14ac:dyDescent="0.25">
      <c r="A112">
        <v>291</v>
      </c>
      <c r="B112" t="s">
        <v>130</v>
      </c>
      <c r="C112" s="7">
        <v>43584</v>
      </c>
      <c r="D112" t="s">
        <v>608</v>
      </c>
      <c r="E112" t="s">
        <v>609</v>
      </c>
      <c r="F112" s="229">
        <v>15000</v>
      </c>
      <c r="G112">
        <v>0</v>
      </c>
      <c r="H112" s="229">
        <v>-3830000</v>
      </c>
    </row>
    <row r="113" spans="1:8" x14ac:dyDescent="0.25">
      <c r="A113">
        <v>291</v>
      </c>
      <c r="B113" t="s">
        <v>130</v>
      </c>
      <c r="C113" s="7">
        <v>43584</v>
      </c>
      <c r="D113" t="s">
        <v>610</v>
      </c>
      <c r="E113" t="s">
        <v>611</v>
      </c>
      <c r="F113" s="229">
        <v>20000</v>
      </c>
      <c r="G113">
        <v>0</v>
      </c>
      <c r="H113" s="229">
        <v>-3810000</v>
      </c>
    </row>
    <row r="114" spans="1:8" x14ac:dyDescent="0.25">
      <c r="A114">
        <v>291</v>
      </c>
      <c r="B114" t="s">
        <v>130</v>
      </c>
      <c r="C114" s="7">
        <v>43584</v>
      </c>
      <c r="D114" t="s">
        <v>612</v>
      </c>
      <c r="E114" t="s">
        <v>613</v>
      </c>
      <c r="F114" s="229">
        <v>2000</v>
      </c>
      <c r="G114">
        <v>0</v>
      </c>
      <c r="H114" s="229">
        <v>-3808000</v>
      </c>
    </row>
    <row r="115" spans="1:8" x14ac:dyDescent="0.25">
      <c r="A115">
        <v>291</v>
      </c>
      <c r="B115" t="s">
        <v>130</v>
      </c>
      <c r="C115" s="7">
        <v>43584</v>
      </c>
      <c r="D115" t="s">
        <v>614</v>
      </c>
      <c r="E115" t="s">
        <v>615</v>
      </c>
      <c r="F115" s="229">
        <v>20000</v>
      </c>
      <c r="G115">
        <v>0</v>
      </c>
      <c r="H115" s="229">
        <v>-3788000</v>
      </c>
    </row>
    <row r="116" spans="1:8" x14ac:dyDescent="0.25">
      <c r="A116">
        <v>291</v>
      </c>
      <c r="B116" t="s">
        <v>130</v>
      </c>
      <c r="C116" s="7">
        <v>43584</v>
      </c>
      <c r="D116" t="s">
        <v>616</v>
      </c>
      <c r="E116" t="s">
        <v>617</v>
      </c>
      <c r="F116" s="229">
        <v>1000</v>
      </c>
      <c r="G116">
        <v>0</v>
      </c>
      <c r="H116" s="229">
        <v>-3787000</v>
      </c>
    </row>
    <row r="117" spans="1:8" x14ac:dyDescent="0.25">
      <c r="A117">
        <v>291</v>
      </c>
      <c r="B117" t="s">
        <v>130</v>
      </c>
      <c r="C117" s="7">
        <v>43584</v>
      </c>
      <c r="D117" t="s">
        <v>618</v>
      </c>
      <c r="E117" t="s">
        <v>619</v>
      </c>
      <c r="F117" s="229">
        <v>3000</v>
      </c>
      <c r="G117">
        <v>0</v>
      </c>
      <c r="H117" s="229">
        <v>-3784000</v>
      </c>
    </row>
    <row r="118" spans="1:8" x14ac:dyDescent="0.25">
      <c r="A118">
        <v>291</v>
      </c>
      <c r="B118" t="s">
        <v>130</v>
      </c>
      <c r="C118" s="7">
        <v>43584</v>
      </c>
      <c r="D118" t="s">
        <v>620</v>
      </c>
      <c r="E118" t="s">
        <v>621</v>
      </c>
      <c r="F118" s="229">
        <v>1000</v>
      </c>
      <c r="G118">
        <v>0</v>
      </c>
      <c r="H118" s="229">
        <v>-3783000</v>
      </c>
    </row>
    <row r="119" spans="1:8" x14ac:dyDescent="0.25">
      <c r="A119">
        <v>291</v>
      </c>
      <c r="B119" t="s">
        <v>130</v>
      </c>
      <c r="C119" s="7">
        <v>43584</v>
      </c>
      <c r="D119" t="s">
        <v>622</v>
      </c>
      <c r="E119" t="s">
        <v>623</v>
      </c>
      <c r="F119" s="229">
        <v>20000</v>
      </c>
      <c r="G119">
        <v>0</v>
      </c>
      <c r="H119" s="229">
        <v>-3763000</v>
      </c>
    </row>
    <row r="120" spans="1:8" x14ac:dyDescent="0.25">
      <c r="A120">
        <v>291</v>
      </c>
      <c r="B120" t="s">
        <v>130</v>
      </c>
      <c r="C120" s="7">
        <v>43584</v>
      </c>
      <c r="D120" t="s">
        <v>624</v>
      </c>
      <c r="E120" t="s">
        <v>625</v>
      </c>
      <c r="F120" s="229">
        <v>20000</v>
      </c>
      <c r="G120">
        <v>0</v>
      </c>
      <c r="H120" s="229">
        <v>-3743000</v>
      </c>
    </row>
    <row r="121" spans="1:8" x14ac:dyDescent="0.25">
      <c r="A121">
        <v>291</v>
      </c>
      <c r="B121" t="s">
        <v>130</v>
      </c>
      <c r="C121" s="7">
        <v>43584</v>
      </c>
      <c r="D121" t="s">
        <v>626</v>
      </c>
      <c r="E121" t="s">
        <v>627</v>
      </c>
      <c r="F121">
        <v>500</v>
      </c>
      <c r="G121">
        <v>0</v>
      </c>
      <c r="H121" s="229">
        <v>-3742500</v>
      </c>
    </row>
    <row r="122" spans="1:8" x14ac:dyDescent="0.25">
      <c r="A122">
        <v>291</v>
      </c>
      <c r="B122" t="s">
        <v>130</v>
      </c>
      <c r="C122" s="7">
        <v>43584</v>
      </c>
      <c r="D122" t="s">
        <v>628</v>
      </c>
      <c r="E122" t="s">
        <v>629</v>
      </c>
      <c r="F122" s="229">
        <v>20000</v>
      </c>
      <c r="G122">
        <v>0</v>
      </c>
      <c r="H122" s="229">
        <v>-3722500</v>
      </c>
    </row>
    <row r="123" spans="1:8" x14ac:dyDescent="0.25">
      <c r="A123">
        <v>291</v>
      </c>
      <c r="B123" t="s">
        <v>130</v>
      </c>
      <c r="C123" s="7">
        <v>43584</v>
      </c>
      <c r="D123" t="s">
        <v>630</v>
      </c>
      <c r="E123" t="s">
        <v>631</v>
      </c>
      <c r="F123" s="229">
        <v>5000</v>
      </c>
      <c r="G123">
        <v>0</v>
      </c>
      <c r="H123" s="229">
        <v>-3717500</v>
      </c>
    </row>
    <row r="124" spans="1:8" x14ac:dyDescent="0.25">
      <c r="A124">
        <v>291</v>
      </c>
      <c r="B124" t="s">
        <v>130</v>
      </c>
      <c r="C124" s="7">
        <v>43584</v>
      </c>
      <c r="D124" t="s">
        <v>632</v>
      </c>
      <c r="E124" t="s">
        <v>633</v>
      </c>
      <c r="F124" s="229">
        <v>7000</v>
      </c>
      <c r="G124">
        <v>0</v>
      </c>
      <c r="H124" s="229">
        <v>-3710500</v>
      </c>
    </row>
    <row r="125" spans="1:8" x14ac:dyDescent="0.25">
      <c r="A125">
        <v>291</v>
      </c>
      <c r="B125" t="s">
        <v>130</v>
      </c>
      <c r="C125" s="7">
        <v>43584</v>
      </c>
      <c r="D125" t="s">
        <v>634</v>
      </c>
      <c r="E125" t="s">
        <v>635</v>
      </c>
      <c r="F125" s="229">
        <v>20000</v>
      </c>
      <c r="G125">
        <v>0</v>
      </c>
      <c r="H125" s="229">
        <v>-3690500</v>
      </c>
    </row>
    <row r="126" spans="1:8" x14ac:dyDescent="0.25">
      <c r="A126">
        <v>291</v>
      </c>
      <c r="B126" t="s">
        <v>130</v>
      </c>
      <c r="C126" s="7">
        <v>43584</v>
      </c>
      <c r="D126" t="s">
        <v>636</v>
      </c>
      <c r="E126" t="s">
        <v>637</v>
      </c>
      <c r="F126" s="229">
        <v>10000</v>
      </c>
      <c r="G126">
        <v>0</v>
      </c>
      <c r="H126" s="229">
        <v>-3680500</v>
      </c>
    </row>
    <row r="127" spans="1:8" x14ac:dyDescent="0.25">
      <c r="A127">
        <v>291</v>
      </c>
      <c r="B127" t="s">
        <v>130</v>
      </c>
      <c r="C127" s="7">
        <v>43584</v>
      </c>
      <c r="D127" t="s">
        <v>638</v>
      </c>
      <c r="E127" t="s">
        <v>639</v>
      </c>
      <c r="F127" s="229">
        <v>20000</v>
      </c>
      <c r="G127">
        <v>0</v>
      </c>
      <c r="H127" s="229">
        <v>-3660500</v>
      </c>
    </row>
    <row r="128" spans="1:8" x14ac:dyDescent="0.25">
      <c r="A128">
        <v>291</v>
      </c>
      <c r="B128" t="s">
        <v>130</v>
      </c>
      <c r="C128" s="7">
        <v>43584</v>
      </c>
      <c r="D128" t="s">
        <v>640</v>
      </c>
      <c r="E128" t="s">
        <v>641</v>
      </c>
      <c r="F128" s="229">
        <v>14000</v>
      </c>
      <c r="G128">
        <v>0</v>
      </c>
      <c r="H128" s="229">
        <v>-3646500</v>
      </c>
    </row>
    <row r="129" spans="1:8" x14ac:dyDescent="0.25">
      <c r="A129">
        <v>291</v>
      </c>
      <c r="B129" t="s">
        <v>130</v>
      </c>
      <c r="C129" s="7">
        <v>43584</v>
      </c>
      <c r="D129" t="s">
        <v>642</v>
      </c>
      <c r="E129" t="s">
        <v>643</v>
      </c>
      <c r="F129" s="229">
        <v>10000</v>
      </c>
      <c r="G129">
        <v>0</v>
      </c>
      <c r="H129" s="229">
        <v>-3636500</v>
      </c>
    </row>
    <row r="130" spans="1:8" x14ac:dyDescent="0.25">
      <c r="A130">
        <v>291</v>
      </c>
      <c r="B130" t="s">
        <v>130</v>
      </c>
      <c r="C130" s="7">
        <v>43584</v>
      </c>
      <c r="D130" t="s">
        <v>644</v>
      </c>
      <c r="E130" t="s">
        <v>645</v>
      </c>
      <c r="F130" s="229">
        <v>9500</v>
      </c>
      <c r="G130">
        <v>0</v>
      </c>
      <c r="H130" s="229">
        <v>-3627000</v>
      </c>
    </row>
    <row r="131" spans="1:8" x14ac:dyDescent="0.25">
      <c r="A131">
        <v>291</v>
      </c>
      <c r="B131" t="s">
        <v>130</v>
      </c>
      <c r="C131" s="7">
        <v>43584</v>
      </c>
      <c r="D131" t="s">
        <v>646</v>
      </c>
      <c r="E131" t="s">
        <v>647</v>
      </c>
      <c r="F131" s="229">
        <v>2000</v>
      </c>
      <c r="G131">
        <v>0</v>
      </c>
      <c r="H131" s="229">
        <v>-3625000</v>
      </c>
    </row>
    <row r="132" spans="1:8" x14ac:dyDescent="0.25">
      <c r="A132">
        <v>291</v>
      </c>
      <c r="B132" t="s">
        <v>130</v>
      </c>
      <c r="C132" s="7">
        <v>43584</v>
      </c>
      <c r="D132" t="s">
        <v>648</v>
      </c>
      <c r="E132" t="s">
        <v>649</v>
      </c>
      <c r="F132" s="229">
        <v>1000</v>
      </c>
      <c r="G132">
        <v>0</v>
      </c>
      <c r="H132" s="229">
        <v>-3624000</v>
      </c>
    </row>
    <row r="133" spans="1:8" x14ac:dyDescent="0.25">
      <c r="A133">
        <v>291</v>
      </c>
      <c r="B133" t="s">
        <v>130</v>
      </c>
      <c r="C133" s="7">
        <v>43584</v>
      </c>
      <c r="D133" t="s">
        <v>650</v>
      </c>
      <c r="E133" t="s">
        <v>651</v>
      </c>
      <c r="F133" s="229">
        <v>10000</v>
      </c>
      <c r="G133">
        <v>0</v>
      </c>
      <c r="H133" s="229">
        <v>-3614000</v>
      </c>
    </row>
    <row r="134" spans="1:8" x14ac:dyDescent="0.25">
      <c r="A134">
        <v>291</v>
      </c>
      <c r="B134" t="s">
        <v>130</v>
      </c>
      <c r="C134" s="7">
        <v>43584</v>
      </c>
      <c r="D134" t="s">
        <v>652</v>
      </c>
      <c r="E134" t="s">
        <v>653</v>
      </c>
      <c r="F134" s="229">
        <v>3000</v>
      </c>
      <c r="G134">
        <v>0</v>
      </c>
      <c r="H134" s="229">
        <v>-3611000</v>
      </c>
    </row>
    <row r="135" spans="1:8" x14ac:dyDescent="0.25">
      <c r="A135">
        <v>291</v>
      </c>
      <c r="B135" t="s">
        <v>130</v>
      </c>
      <c r="C135" s="7">
        <v>43584</v>
      </c>
      <c r="D135" t="s">
        <v>654</v>
      </c>
      <c r="E135" t="s">
        <v>655</v>
      </c>
      <c r="F135" s="229">
        <v>3000</v>
      </c>
      <c r="G135">
        <v>0</v>
      </c>
      <c r="H135" s="229">
        <v>-3608000</v>
      </c>
    </row>
    <row r="136" spans="1:8" x14ac:dyDescent="0.25">
      <c r="A136">
        <v>291</v>
      </c>
      <c r="B136" t="s">
        <v>130</v>
      </c>
      <c r="C136" s="7">
        <v>43584</v>
      </c>
      <c r="D136" t="s">
        <v>656</v>
      </c>
      <c r="E136" t="s">
        <v>657</v>
      </c>
      <c r="F136" s="229">
        <v>5500</v>
      </c>
      <c r="G136">
        <v>0</v>
      </c>
      <c r="H136" s="229">
        <v>-3602500</v>
      </c>
    </row>
    <row r="137" spans="1:8" x14ac:dyDescent="0.25">
      <c r="A137">
        <v>291</v>
      </c>
      <c r="B137" t="s">
        <v>130</v>
      </c>
      <c r="C137" s="7">
        <v>43584</v>
      </c>
      <c r="D137" t="s">
        <v>658</v>
      </c>
      <c r="E137" t="s">
        <v>659</v>
      </c>
      <c r="F137" s="229">
        <v>20000</v>
      </c>
      <c r="G137">
        <v>0</v>
      </c>
      <c r="H137" s="229">
        <v>-3582500</v>
      </c>
    </row>
    <row r="138" spans="1:8" x14ac:dyDescent="0.25">
      <c r="A138">
        <v>291</v>
      </c>
      <c r="B138" t="s">
        <v>130</v>
      </c>
      <c r="C138" s="7">
        <v>43584</v>
      </c>
      <c r="D138" t="s">
        <v>660</v>
      </c>
      <c r="E138" t="s">
        <v>661</v>
      </c>
      <c r="F138" s="229">
        <v>5000</v>
      </c>
      <c r="G138">
        <v>0</v>
      </c>
      <c r="H138" s="229">
        <v>-3577500</v>
      </c>
    </row>
    <row r="139" spans="1:8" x14ac:dyDescent="0.25">
      <c r="A139">
        <v>291</v>
      </c>
      <c r="B139" t="s">
        <v>130</v>
      </c>
      <c r="C139" s="7">
        <v>43584</v>
      </c>
      <c r="D139" t="s">
        <v>662</v>
      </c>
      <c r="E139" t="s">
        <v>663</v>
      </c>
      <c r="F139" s="229">
        <v>20000</v>
      </c>
      <c r="G139">
        <v>0</v>
      </c>
      <c r="H139" s="229">
        <v>-3557500</v>
      </c>
    </row>
    <row r="140" spans="1:8" x14ac:dyDescent="0.25">
      <c r="A140">
        <v>291</v>
      </c>
      <c r="B140" t="s">
        <v>130</v>
      </c>
      <c r="C140" s="7">
        <v>43584</v>
      </c>
      <c r="D140" t="s">
        <v>664</v>
      </c>
      <c r="E140" t="s">
        <v>665</v>
      </c>
      <c r="F140" s="229">
        <v>20000</v>
      </c>
      <c r="G140">
        <v>0</v>
      </c>
      <c r="H140" s="229">
        <v>-3537500</v>
      </c>
    </row>
    <row r="141" spans="1:8" x14ac:dyDescent="0.25">
      <c r="A141">
        <v>291</v>
      </c>
      <c r="B141" t="s">
        <v>130</v>
      </c>
      <c r="C141" s="7">
        <v>43584</v>
      </c>
      <c r="D141" t="s">
        <v>666</v>
      </c>
      <c r="E141" t="s">
        <v>667</v>
      </c>
      <c r="F141" s="229">
        <v>7000</v>
      </c>
      <c r="G141">
        <v>0</v>
      </c>
      <c r="H141" s="229">
        <v>-3530500</v>
      </c>
    </row>
    <row r="142" spans="1:8" x14ac:dyDescent="0.25">
      <c r="A142">
        <v>291</v>
      </c>
      <c r="B142" t="s">
        <v>130</v>
      </c>
      <c r="C142" s="7">
        <v>43584</v>
      </c>
      <c r="D142" t="s">
        <v>668</v>
      </c>
      <c r="E142" t="s">
        <v>669</v>
      </c>
      <c r="F142" s="229">
        <v>20000</v>
      </c>
      <c r="G142">
        <v>0</v>
      </c>
      <c r="H142" s="229">
        <v>-3510500</v>
      </c>
    </row>
    <row r="143" spans="1:8" x14ac:dyDescent="0.25">
      <c r="A143">
        <v>291</v>
      </c>
      <c r="B143" t="s">
        <v>130</v>
      </c>
      <c r="C143" s="7">
        <v>43584</v>
      </c>
      <c r="D143" t="s">
        <v>670</v>
      </c>
      <c r="E143" t="s">
        <v>671</v>
      </c>
      <c r="F143" s="229">
        <v>15000</v>
      </c>
      <c r="G143">
        <v>0</v>
      </c>
      <c r="H143" s="229">
        <v>-3495500</v>
      </c>
    </row>
    <row r="144" spans="1:8" x14ac:dyDescent="0.25">
      <c r="A144">
        <v>291</v>
      </c>
      <c r="B144" t="s">
        <v>130</v>
      </c>
      <c r="C144" s="7">
        <v>43584</v>
      </c>
      <c r="D144" t="s">
        <v>672</v>
      </c>
      <c r="E144" t="s">
        <v>673</v>
      </c>
      <c r="F144" s="229">
        <v>5000</v>
      </c>
      <c r="G144">
        <v>0</v>
      </c>
      <c r="H144" s="229">
        <v>-3490500</v>
      </c>
    </row>
    <row r="145" spans="1:8" x14ac:dyDescent="0.25">
      <c r="A145">
        <v>291</v>
      </c>
      <c r="B145" t="s">
        <v>130</v>
      </c>
      <c r="C145" s="7">
        <v>43584</v>
      </c>
      <c r="D145" t="s">
        <v>674</v>
      </c>
      <c r="E145" t="s">
        <v>675</v>
      </c>
      <c r="F145" s="229">
        <v>10000</v>
      </c>
      <c r="G145">
        <v>0</v>
      </c>
      <c r="H145" s="229">
        <v>-3480500</v>
      </c>
    </row>
    <row r="146" spans="1:8" x14ac:dyDescent="0.25">
      <c r="A146">
        <v>291</v>
      </c>
      <c r="B146" t="s">
        <v>130</v>
      </c>
      <c r="C146" s="7">
        <v>43584</v>
      </c>
      <c r="D146" t="s">
        <v>676</v>
      </c>
      <c r="E146" t="s">
        <v>677</v>
      </c>
      <c r="F146" s="229">
        <v>20000</v>
      </c>
      <c r="G146">
        <v>0</v>
      </c>
      <c r="H146" s="229">
        <v>-3460500</v>
      </c>
    </row>
    <row r="147" spans="1:8" x14ac:dyDescent="0.25">
      <c r="A147">
        <v>291</v>
      </c>
      <c r="B147" t="s">
        <v>130</v>
      </c>
      <c r="C147" s="7">
        <v>43584</v>
      </c>
      <c r="D147" t="s">
        <v>678</v>
      </c>
      <c r="E147" t="s">
        <v>679</v>
      </c>
      <c r="F147" s="229">
        <v>9000</v>
      </c>
      <c r="G147">
        <v>0</v>
      </c>
      <c r="H147" s="229">
        <v>-3451500</v>
      </c>
    </row>
    <row r="148" spans="1:8" x14ac:dyDescent="0.25">
      <c r="A148">
        <v>291</v>
      </c>
      <c r="B148" t="s">
        <v>130</v>
      </c>
      <c r="C148" s="7">
        <v>43584</v>
      </c>
      <c r="D148" t="s">
        <v>680</v>
      </c>
      <c r="E148" t="s">
        <v>681</v>
      </c>
      <c r="F148" s="229">
        <v>20000</v>
      </c>
      <c r="G148">
        <v>0</v>
      </c>
      <c r="H148" s="229">
        <v>-3431500</v>
      </c>
    </row>
    <row r="149" spans="1:8" x14ac:dyDescent="0.25">
      <c r="A149">
        <v>291</v>
      </c>
      <c r="B149" t="s">
        <v>130</v>
      </c>
      <c r="C149" s="7">
        <v>43584</v>
      </c>
      <c r="D149" t="s">
        <v>682</v>
      </c>
      <c r="E149" t="s">
        <v>683</v>
      </c>
      <c r="F149" s="229">
        <v>20000</v>
      </c>
      <c r="G149">
        <v>0</v>
      </c>
      <c r="H149" s="229">
        <v>-3411500</v>
      </c>
    </row>
    <row r="150" spans="1:8" x14ac:dyDescent="0.25">
      <c r="A150">
        <v>291</v>
      </c>
      <c r="B150" t="s">
        <v>130</v>
      </c>
      <c r="C150" s="7">
        <v>43584</v>
      </c>
      <c r="D150" t="s">
        <v>684</v>
      </c>
      <c r="E150" t="s">
        <v>685</v>
      </c>
      <c r="F150" s="229">
        <v>20000</v>
      </c>
      <c r="G150">
        <v>0</v>
      </c>
      <c r="H150" s="229">
        <v>-3391500</v>
      </c>
    </row>
    <row r="151" spans="1:8" x14ac:dyDescent="0.25">
      <c r="A151">
        <v>291</v>
      </c>
      <c r="B151" t="s">
        <v>130</v>
      </c>
      <c r="C151" s="7">
        <v>43584</v>
      </c>
      <c r="D151" t="s">
        <v>686</v>
      </c>
      <c r="E151" t="s">
        <v>687</v>
      </c>
      <c r="F151" s="229">
        <v>2000</v>
      </c>
      <c r="G151">
        <v>0</v>
      </c>
      <c r="H151" s="229">
        <v>-3389500</v>
      </c>
    </row>
    <row r="152" spans="1:8" x14ac:dyDescent="0.25">
      <c r="A152">
        <v>291</v>
      </c>
      <c r="B152" t="s">
        <v>130</v>
      </c>
      <c r="C152" s="7">
        <v>43584</v>
      </c>
      <c r="D152" t="s">
        <v>688</v>
      </c>
      <c r="E152" t="s">
        <v>689</v>
      </c>
      <c r="F152" s="229">
        <v>20000</v>
      </c>
      <c r="G152">
        <v>0</v>
      </c>
      <c r="H152" s="229">
        <v>-3369500</v>
      </c>
    </row>
    <row r="153" spans="1:8" x14ac:dyDescent="0.25">
      <c r="A153">
        <v>291</v>
      </c>
      <c r="B153" t="s">
        <v>130</v>
      </c>
      <c r="C153" s="7">
        <v>43584</v>
      </c>
      <c r="D153" t="s">
        <v>690</v>
      </c>
      <c r="E153" t="s">
        <v>691</v>
      </c>
      <c r="F153" s="229">
        <v>20000</v>
      </c>
      <c r="G153">
        <v>0</v>
      </c>
      <c r="H153" s="229">
        <v>-3349500</v>
      </c>
    </row>
    <row r="154" spans="1:8" x14ac:dyDescent="0.25">
      <c r="A154">
        <v>291</v>
      </c>
      <c r="B154" t="s">
        <v>130</v>
      </c>
      <c r="C154" s="7">
        <v>43584</v>
      </c>
      <c r="D154" t="s">
        <v>692</v>
      </c>
      <c r="E154" t="s">
        <v>693</v>
      </c>
      <c r="F154" s="229">
        <v>10000</v>
      </c>
      <c r="G154">
        <v>0</v>
      </c>
      <c r="H154" s="229">
        <v>-3339500</v>
      </c>
    </row>
    <row r="155" spans="1:8" x14ac:dyDescent="0.25">
      <c r="A155">
        <v>291</v>
      </c>
      <c r="B155" t="s">
        <v>130</v>
      </c>
      <c r="C155" s="7">
        <v>43584</v>
      </c>
      <c r="D155" t="s">
        <v>694</v>
      </c>
      <c r="E155" t="s">
        <v>695</v>
      </c>
      <c r="F155" s="229">
        <v>1000</v>
      </c>
      <c r="G155">
        <v>0</v>
      </c>
      <c r="H155" s="229">
        <v>-3338500</v>
      </c>
    </row>
    <row r="156" spans="1:8" x14ac:dyDescent="0.25">
      <c r="A156">
        <v>291</v>
      </c>
      <c r="B156" t="s">
        <v>130</v>
      </c>
      <c r="C156" s="7">
        <v>43584</v>
      </c>
      <c r="D156" t="s">
        <v>696</v>
      </c>
      <c r="E156" t="s">
        <v>697</v>
      </c>
      <c r="F156" s="229">
        <v>6000</v>
      </c>
      <c r="G156">
        <v>0</v>
      </c>
      <c r="H156" s="229">
        <v>-3332500</v>
      </c>
    </row>
    <row r="157" spans="1:8" x14ac:dyDescent="0.25">
      <c r="A157">
        <v>291</v>
      </c>
      <c r="B157" t="s">
        <v>130</v>
      </c>
      <c r="C157" s="7">
        <v>43584</v>
      </c>
      <c r="D157" t="s">
        <v>698</v>
      </c>
      <c r="E157" t="s">
        <v>699</v>
      </c>
      <c r="F157" s="229">
        <v>10000</v>
      </c>
      <c r="G157">
        <v>0</v>
      </c>
      <c r="H157" s="229">
        <v>-3322500</v>
      </c>
    </row>
    <row r="158" spans="1:8" x14ac:dyDescent="0.25">
      <c r="A158">
        <v>291</v>
      </c>
      <c r="B158" t="s">
        <v>130</v>
      </c>
      <c r="C158" s="7">
        <v>43584</v>
      </c>
      <c r="D158" t="s">
        <v>700</v>
      </c>
      <c r="E158" t="s">
        <v>701</v>
      </c>
      <c r="F158">
        <v>500</v>
      </c>
      <c r="G158">
        <v>0</v>
      </c>
      <c r="H158" s="229">
        <v>-3322000</v>
      </c>
    </row>
    <row r="159" spans="1:8" x14ac:dyDescent="0.25">
      <c r="A159">
        <v>291</v>
      </c>
      <c r="B159" t="s">
        <v>130</v>
      </c>
      <c r="C159" s="7">
        <v>43584</v>
      </c>
      <c r="D159" t="s">
        <v>702</v>
      </c>
      <c r="E159" t="s">
        <v>703</v>
      </c>
      <c r="F159" s="229">
        <v>20000</v>
      </c>
      <c r="G159">
        <v>0</v>
      </c>
      <c r="H159" s="229">
        <v>-3302000</v>
      </c>
    </row>
    <row r="160" spans="1:8" x14ac:dyDescent="0.25">
      <c r="A160">
        <v>291</v>
      </c>
      <c r="B160" t="s">
        <v>130</v>
      </c>
      <c r="C160" s="7">
        <v>43584</v>
      </c>
      <c r="D160" t="s">
        <v>704</v>
      </c>
      <c r="E160" t="s">
        <v>705</v>
      </c>
      <c r="F160" s="229">
        <v>10000</v>
      </c>
      <c r="G160">
        <v>0</v>
      </c>
      <c r="H160" s="229">
        <v>-3292000</v>
      </c>
    </row>
    <row r="161" spans="1:8" x14ac:dyDescent="0.25">
      <c r="A161">
        <v>291</v>
      </c>
      <c r="B161" t="s">
        <v>130</v>
      </c>
      <c r="C161" s="7">
        <v>43584</v>
      </c>
      <c r="D161" t="s">
        <v>706</v>
      </c>
      <c r="E161" t="s">
        <v>707</v>
      </c>
      <c r="F161" s="229">
        <v>20000</v>
      </c>
      <c r="G161">
        <v>0</v>
      </c>
      <c r="H161" s="229">
        <v>-3272000</v>
      </c>
    </row>
    <row r="162" spans="1:8" x14ac:dyDescent="0.25">
      <c r="A162">
        <v>291</v>
      </c>
      <c r="B162" t="s">
        <v>130</v>
      </c>
      <c r="C162" s="7">
        <v>43584</v>
      </c>
      <c r="D162" t="s">
        <v>708</v>
      </c>
      <c r="E162" t="s">
        <v>709</v>
      </c>
      <c r="F162" s="229">
        <v>5000</v>
      </c>
      <c r="G162">
        <v>0</v>
      </c>
      <c r="H162" s="229">
        <v>-3267000</v>
      </c>
    </row>
    <row r="163" spans="1:8" x14ac:dyDescent="0.25">
      <c r="A163">
        <v>291</v>
      </c>
      <c r="B163" t="s">
        <v>130</v>
      </c>
      <c r="C163" s="7">
        <v>43584</v>
      </c>
      <c r="D163" t="s">
        <v>710</v>
      </c>
      <c r="E163" t="s">
        <v>711</v>
      </c>
      <c r="F163" s="229">
        <v>20000</v>
      </c>
      <c r="G163">
        <v>0</v>
      </c>
      <c r="H163" s="229">
        <v>-3247000</v>
      </c>
    </row>
    <row r="164" spans="1:8" x14ac:dyDescent="0.25">
      <c r="A164">
        <v>291</v>
      </c>
      <c r="B164" t="s">
        <v>130</v>
      </c>
      <c r="C164" s="7">
        <v>43584</v>
      </c>
      <c r="D164" t="s">
        <v>712</v>
      </c>
      <c r="E164" t="s">
        <v>713</v>
      </c>
      <c r="F164" s="229">
        <v>10000</v>
      </c>
      <c r="G164">
        <v>0</v>
      </c>
      <c r="H164" s="229">
        <v>-3237000</v>
      </c>
    </row>
    <row r="165" spans="1:8" x14ac:dyDescent="0.25">
      <c r="A165">
        <v>291</v>
      </c>
      <c r="B165" t="s">
        <v>130</v>
      </c>
      <c r="C165" s="7">
        <v>43584</v>
      </c>
      <c r="D165" t="s">
        <v>714</v>
      </c>
      <c r="E165" t="s">
        <v>715</v>
      </c>
      <c r="F165" s="229">
        <v>1000</v>
      </c>
      <c r="G165">
        <v>0</v>
      </c>
      <c r="H165" s="229">
        <v>-3236000</v>
      </c>
    </row>
    <row r="166" spans="1:8" x14ac:dyDescent="0.25">
      <c r="A166">
        <v>291</v>
      </c>
      <c r="B166" t="s">
        <v>130</v>
      </c>
      <c r="C166" s="7">
        <v>43584</v>
      </c>
      <c r="D166" t="s">
        <v>716</v>
      </c>
      <c r="E166" t="s">
        <v>717</v>
      </c>
      <c r="F166" s="229">
        <v>2000</v>
      </c>
      <c r="G166">
        <v>0</v>
      </c>
      <c r="H166" s="229">
        <v>-3234000</v>
      </c>
    </row>
    <row r="167" spans="1:8" x14ac:dyDescent="0.25">
      <c r="A167">
        <v>291</v>
      </c>
      <c r="B167" t="s">
        <v>130</v>
      </c>
      <c r="C167" s="7">
        <v>43584</v>
      </c>
      <c r="D167" t="s">
        <v>718</v>
      </c>
      <c r="E167" t="s">
        <v>719</v>
      </c>
      <c r="F167" s="229">
        <v>20000</v>
      </c>
      <c r="G167">
        <v>0</v>
      </c>
      <c r="H167" s="229">
        <v>-3214000</v>
      </c>
    </row>
    <row r="168" spans="1:8" x14ac:dyDescent="0.25">
      <c r="A168">
        <v>291</v>
      </c>
      <c r="B168" t="s">
        <v>130</v>
      </c>
      <c r="C168" s="7">
        <v>43584</v>
      </c>
      <c r="D168" t="s">
        <v>720</v>
      </c>
      <c r="E168" t="s">
        <v>721</v>
      </c>
      <c r="F168" s="229">
        <v>5000</v>
      </c>
      <c r="G168">
        <v>0</v>
      </c>
      <c r="H168" s="229">
        <v>-3209000</v>
      </c>
    </row>
    <row r="169" spans="1:8" x14ac:dyDescent="0.25">
      <c r="A169">
        <v>291</v>
      </c>
      <c r="B169" t="s">
        <v>130</v>
      </c>
      <c r="C169" s="7">
        <v>43584</v>
      </c>
      <c r="D169" t="s">
        <v>722</v>
      </c>
      <c r="E169" t="s">
        <v>723</v>
      </c>
      <c r="F169" s="229">
        <v>10000</v>
      </c>
      <c r="G169">
        <v>0</v>
      </c>
      <c r="H169" s="229">
        <v>-3199000</v>
      </c>
    </row>
    <row r="170" spans="1:8" x14ac:dyDescent="0.25">
      <c r="A170">
        <v>291</v>
      </c>
      <c r="B170" t="s">
        <v>130</v>
      </c>
      <c r="C170" s="7">
        <v>43584</v>
      </c>
      <c r="D170" t="s">
        <v>724</v>
      </c>
      <c r="E170" t="s">
        <v>725</v>
      </c>
      <c r="F170" s="229">
        <v>2000</v>
      </c>
      <c r="G170">
        <v>0</v>
      </c>
      <c r="H170" s="229">
        <v>-3197000</v>
      </c>
    </row>
    <row r="171" spans="1:8" x14ac:dyDescent="0.25">
      <c r="A171">
        <v>291</v>
      </c>
      <c r="B171" t="s">
        <v>130</v>
      </c>
      <c r="C171" s="7">
        <v>43584</v>
      </c>
      <c r="D171" t="s">
        <v>726</v>
      </c>
      <c r="E171" t="s">
        <v>727</v>
      </c>
      <c r="F171" s="229">
        <v>20000</v>
      </c>
      <c r="G171">
        <v>0</v>
      </c>
      <c r="H171" s="229">
        <v>-3177000</v>
      </c>
    </row>
    <row r="172" spans="1:8" x14ac:dyDescent="0.25">
      <c r="A172">
        <v>291</v>
      </c>
      <c r="B172" t="s">
        <v>130</v>
      </c>
      <c r="C172" s="7">
        <v>43584</v>
      </c>
      <c r="D172" t="s">
        <v>728</v>
      </c>
      <c r="E172" t="s">
        <v>729</v>
      </c>
      <c r="F172" s="229">
        <v>20000</v>
      </c>
      <c r="G172">
        <v>0</v>
      </c>
      <c r="H172" s="229">
        <v>-3157000</v>
      </c>
    </row>
    <row r="173" spans="1:8" x14ac:dyDescent="0.25">
      <c r="A173">
        <v>291</v>
      </c>
      <c r="B173" t="s">
        <v>130</v>
      </c>
      <c r="C173" s="7">
        <v>43584</v>
      </c>
      <c r="D173" t="s">
        <v>730</v>
      </c>
      <c r="E173" t="s">
        <v>731</v>
      </c>
      <c r="F173" s="229">
        <v>7000</v>
      </c>
      <c r="G173">
        <v>0</v>
      </c>
      <c r="H173" s="229">
        <v>-3150000</v>
      </c>
    </row>
    <row r="174" spans="1:8" x14ac:dyDescent="0.25">
      <c r="A174">
        <v>291</v>
      </c>
      <c r="B174" t="s">
        <v>130</v>
      </c>
      <c r="C174" s="7">
        <v>43584</v>
      </c>
      <c r="D174" t="s">
        <v>732</v>
      </c>
      <c r="E174" t="s">
        <v>733</v>
      </c>
      <c r="F174" s="229">
        <v>5000</v>
      </c>
      <c r="G174">
        <v>0</v>
      </c>
      <c r="H174" s="229">
        <v>-3145000</v>
      </c>
    </row>
    <row r="175" spans="1:8" x14ac:dyDescent="0.25">
      <c r="A175">
        <v>291</v>
      </c>
      <c r="B175" t="s">
        <v>130</v>
      </c>
      <c r="C175" s="7">
        <v>43584</v>
      </c>
      <c r="D175" t="s">
        <v>734</v>
      </c>
      <c r="E175" t="s">
        <v>735</v>
      </c>
      <c r="F175" s="229">
        <v>10000</v>
      </c>
      <c r="G175">
        <v>0</v>
      </c>
      <c r="H175" s="229">
        <v>-3135000</v>
      </c>
    </row>
    <row r="176" spans="1:8" x14ac:dyDescent="0.25">
      <c r="A176">
        <v>291</v>
      </c>
      <c r="B176" t="s">
        <v>130</v>
      </c>
      <c r="C176" s="7">
        <v>43584</v>
      </c>
      <c r="D176" t="s">
        <v>736</v>
      </c>
      <c r="E176" t="s">
        <v>737</v>
      </c>
      <c r="F176" s="229">
        <v>20000</v>
      </c>
      <c r="G176">
        <v>0</v>
      </c>
      <c r="H176" s="229">
        <v>-3115000</v>
      </c>
    </row>
    <row r="177" spans="1:8" x14ac:dyDescent="0.25">
      <c r="A177">
        <v>291</v>
      </c>
      <c r="B177" t="s">
        <v>130</v>
      </c>
      <c r="C177" s="7">
        <v>43584</v>
      </c>
      <c r="D177" t="s">
        <v>738</v>
      </c>
      <c r="E177" t="s">
        <v>739</v>
      </c>
      <c r="F177" s="229">
        <v>1000</v>
      </c>
      <c r="G177">
        <v>0</v>
      </c>
      <c r="H177" s="229">
        <v>-3114000</v>
      </c>
    </row>
    <row r="178" spans="1:8" x14ac:dyDescent="0.25">
      <c r="A178">
        <v>291</v>
      </c>
      <c r="B178" t="s">
        <v>130</v>
      </c>
      <c r="C178" s="7">
        <v>43584</v>
      </c>
      <c r="D178" t="s">
        <v>740</v>
      </c>
      <c r="E178" t="s">
        <v>741</v>
      </c>
      <c r="F178" s="229">
        <v>2000</v>
      </c>
      <c r="G178">
        <v>0</v>
      </c>
      <c r="H178" s="229">
        <v>-3112000</v>
      </c>
    </row>
    <row r="179" spans="1:8" x14ac:dyDescent="0.25">
      <c r="A179">
        <v>291</v>
      </c>
      <c r="B179" t="s">
        <v>130</v>
      </c>
      <c r="C179" s="7">
        <v>43584</v>
      </c>
      <c r="D179" t="s">
        <v>742</v>
      </c>
      <c r="E179" t="s">
        <v>743</v>
      </c>
      <c r="F179" s="229">
        <v>20000</v>
      </c>
      <c r="G179">
        <v>0</v>
      </c>
      <c r="H179" s="229">
        <v>-3092000</v>
      </c>
    </row>
    <row r="180" spans="1:8" x14ac:dyDescent="0.25">
      <c r="A180">
        <v>291</v>
      </c>
      <c r="B180" t="s">
        <v>130</v>
      </c>
      <c r="C180" s="7">
        <v>43584</v>
      </c>
      <c r="D180" t="s">
        <v>744</v>
      </c>
      <c r="E180" t="s">
        <v>745</v>
      </c>
      <c r="F180" s="229">
        <v>10000</v>
      </c>
      <c r="G180">
        <v>0</v>
      </c>
      <c r="H180" s="229">
        <v>-3082000</v>
      </c>
    </row>
    <row r="181" spans="1:8" x14ac:dyDescent="0.25">
      <c r="A181">
        <v>291</v>
      </c>
      <c r="B181" t="s">
        <v>130</v>
      </c>
      <c r="C181" s="7">
        <v>43584</v>
      </c>
      <c r="D181" t="s">
        <v>746</v>
      </c>
      <c r="E181" t="s">
        <v>747</v>
      </c>
      <c r="F181" s="229">
        <v>2000</v>
      </c>
      <c r="G181">
        <v>0</v>
      </c>
      <c r="H181" s="229">
        <v>-3080000</v>
      </c>
    </row>
    <row r="182" spans="1:8" x14ac:dyDescent="0.25">
      <c r="A182">
        <v>291</v>
      </c>
      <c r="B182" t="s">
        <v>130</v>
      </c>
      <c r="C182" s="7">
        <v>43584</v>
      </c>
      <c r="D182" t="s">
        <v>748</v>
      </c>
      <c r="E182" t="s">
        <v>749</v>
      </c>
      <c r="F182" s="229">
        <v>4000</v>
      </c>
      <c r="G182">
        <v>0</v>
      </c>
      <c r="H182" s="229">
        <v>-3076000</v>
      </c>
    </row>
    <row r="183" spans="1:8" x14ac:dyDescent="0.25">
      <c r="A183">
        <v>291</v>
      </c>
      <c r="B183" t="s">
        <v>130</v>
      </c>
      <c r="C183" s="7">
        <v>43584</v>
      </c>
      <c r="D183" t="s">
        <v>750</v>
      </c>
      <c r="E183" t="s">
        <v>751</v>
      </c>
      <c r="F183" s="229">
        <v>20000</v>
      </c>
      <c r="G183">
        <v>0</v>
      </c>
      <c r="H183" s="229">
        <v>-3056000</v>
      </c>
    </row>
    <row r="184" spans="1:8" x14ac:dyDescent="0.25">
      <c r="A184">
        <v>291</v>
      </c>
      <c r="B184" t="s">
        <v>130</v>
      </c>
      <c r="C184" s="7">
        <v>43584</v>
      </c>
      <c r="D184" t="s">
        <v>752</v>
      </c>
      <c r="E184" t="s">
        <v>753</v>
      </c>
      <c r="F184" s="229">
        <v>1000</v>
      </c>
      <c r="G184">
        <v>0</v>
      </c>
      <c r="H184" s="229">
        <v>-3055000</v>
      </c>
    </row>
    <row r="185" spans="1:8" x14ac:dyDescent="0.25">
      <c r="A185">
        <v>291</v>
      </c>
      <c r="B185" t="s">
        <v>130</v>
      </c>
      <c r="C185" s="7">
        <v>43584</v>
      </c>
      <c r="D185" t="s">
        <v>754</v>
      </c>
      <c r="E185" t="s">
        <v>755</v>
      </c>
      <c r="F185" s="229">
        <v>20000</v>
      </c>
      <c r="G185">
        <v>0</v>
      </c>
      <c r="H185" s="229">
        <v>-3035000</v>
      </c>
    </row>
    <row r="186" spans="1:8" x14ac:dyDescent="0.25">
      <c r="A186">
        <v>291</v>
      </c>
      <c r="B186" t="s">
        <v>130</v>
      </c>
      <c r="C186" s="7">
        <v>43584</v>
      </c>
      <c r="D186" t="s">
        <v>756</v>
      </c>
      <c r="E186" t="s">
        <v>757</v>
      </c>
      <c r="F186" s="229">
        <v>10000</v>
      </c>
      <c r="G186">
        <v>0</v>
      </c>
      <c r="H186" s="229">
        <v>-3025000</v>
      </c>
    </row>
    <row r="187" spans="1:8" x14ac:dyDescent="0.25">
      <c r="A187">
        <v>291</v>
      </c>
      <c r="B187" t="s">
        <v>130</v>
      </c>
      <c r="C187" s="7">
        <v>43584</v>
      </c>
      <c r="D187" t="s">
        <v>758</v>
      </c>
      <c r="E187" t="s">
        <v>759</v>
      </c>
      <c r="F187">
        <v>500</v>
      </c>
      <c r="G187">
        <v>0</v>
      </c>
      <c r="H187" s="229">
        <v>-3024500</v>
      </c>
    </row>
    <row r="188" spans="1:8" x14ac:dyDescent="0.25">
      <c r="A188">
        <v>291</v>
      </c>
      <c r="B188" t="s">
        <v>130</v>
      </c>
      <c r="C188" s="7">
        <v>43584</v>
      </c>
      <c r="D188" t="s">
        <v>760</v>
      </c>
      <c r="E188" t="s">
        <v>761</v>
      </c>
      <c r="F188" s="229">
        <v>20000</v>
      </c>
      <c r="G188">
        <v>0</v>
      </c>
      <c r="H188" s="229">
        <v>-3004500</v>
      </c>
    </row>
    <row r="189" spans="1:8" x14ac:dyDescent="0.25">
      <c r="A189">
        <v>291</v>
      </c>
      <c r="B189" t="s">
        <v>130</v>
      </c>
      <c r="C189" s="7">
        <v>43584</v>
      </c>
      <c r="D189" t="s">
        <v>762</v>
      </c>
      <c r="E189" t="s">
        <v>763</v>
      </c>
      <c r="F189" s="229">
        <v>8000</v>
      </c>
      <c r="G189">
        <v>0</v>
      </c>
      <c r="H189" s="229">
        <v>-2996500</v>
      </c>
    </row>
    <row r="190" spans="1:8" x14ac:dyDescent="0.25">
      <c r="A190">
        <v>291</v>
      </c>
      <c r="B190" t="s">
        <v>130</v>
      </c>
      <c r="C190" s="7">
        <v>43584</v>
      </c>
      <c r="D190" t="s">
        <v>764</v>
      </c>
      <c r="E190" t="s">
        <v>765</v>
      </c>
      <c r="F190" s="229">
        <v>20000</v>
      </c>
      <c r="G190">
        <v>0</v>
      </c>
      <c r="H190" s="229">
        <v>-2976500</v>
      </c>
    </row>
    <row r="191" spans="1:8" x14ac:dyDescent="0.25">
      <c r="A191">
        <v>291</v>
      </c>
      <c r="B191" t="s">
        <v>130</v>
      </c>
      <c r="C191" s="7">
        <v>43584</v>
      </c>
      <c r="D191" t="s">
        <v>766</v>
      </c>
      <c r="E191" t="s">
        <v>767</v>
      </c>
      <c r="F191" s="229">
        <v>10000</v>
      </c>
      <c r="G191">
        <v>0</v>
      </c>
      <c r="H191" s="229">
        <v>-2966500</v>
      </c>
    </row>
    <row r="192" spans="1:8" x14ac:dyDescent="0.25">
      <c r="A192">
        <v>291</v>
      </c>
      <c r="B192" t="s">
        <v>130</v>
      </c>
      <c r="C192" s="7">
        <v>43584</v>
      </c>
      <c r="D192" t="s">
        <v>768</v>
      </c>
      <c r="E192" t="s">
        <v>769</v>
      </c>
      <c r="F192" s="229">
        <v>10000</v>
      </c>
      <c r="G192">
        <v>0</v>
      </c>
      <c r="H192" s="229">
        <v>-2956500</v>
      </c>
    </row>
    <row r="193" spans="1:8" x14ac:dyDescent="0.25">
      <c r="A193">
        <v>291</v>
      </c>
      <c r="B193" t="s">
        <v>130</v>
      </c>
      <c r="C193" s="7">
        <v>43584</v>
      </c>
      <c r="D193" t="s">
        <v>770</v>
      </c>
      <c r="E193" t="s">
        <v>771</v>
      </c>
      <c r="F193" s="229">
        <v>1000</v>
      </c>
      <c r="G193">
        <v>0</v>
      </c>
      <c r="H193" s="229">
        <v>-2955500</v>
      </c>
    </row>
    <row r="194" spans="1:8" x14ac:dyDescent="0.25">
      <c r="A194">
        <v>291</v>
      </c>
      <c r="B194" t="s">
        <v>130</v>
      </c>
      <c r="C194" s="7">
        <v>43584</v>
      </c>
      <c r="D194" t="s">
        <v>772</v>
      </c>
      <c r="E194" t="s">
        <v>773</v>
      </c>
      <c r="F194" s="229">
        <v>20000</v>
      </c>
      <c r="G194">
        <v>0</v>
      </c>
      <c r="H194" s="229">
        <v>-2935500</v>
      </c>
    </row>
    <row r="195" spans="1:8" x14ac:dyDescent="0.25">
      <c r="A195">
        <v>291</v>
      </c>
      <c r="B195" t="s">
        <v>130</v>
      </c>
      <c r="C195" s="7">
        <v>43584</v>
      </c>
      <c r="D195" t="s">
        <v>774</v>
      </c>
      <c r="E195" t="s">
        <v>775</v>
      </c>
      <c r="F195" s="229">
        <v>2000</v>
      </c>
      <c r="G195">
        <v>0</v>
      </c>
      <c r="H195" s="229">
        <v>-2933500</v>
      </c>
    </row>
    <row r="196" spans="1:8" x14ac:dyDescent="0.25">
      <c r="A196">
        <v>291</v>
      </c>
      <c r="B196" t="s">
        <v>130</v>
      </c>
      <c r="C196" s="7">
        <v>43584</v>
      </c>
      <c r="D196" t="s">
        <v>776</v>
      </c>
      <c r="E196" t="s">
        <v>777</v>
      </c>
      <c r="F196" s="229">
        <v>5000</v>
      </c>
      <c r="G196">
        <v>0</v>
      </c>
      <c r="H196" s="229">
        <v>-2928500</v>
      </c>
    </row>
    <row r="197" spans="1:8" x14ac:dyDescent="0.25">
      <c r="A197">
        <v>291</v>
      </c>
      <c r="B197" t="s">
        <v>130</v>
      </c>
      <c r="C197" s="7">
        <v>43584</v>
      </c>
      <c r="D197" t="s">
        <v>778</v>
      </c>
      <c r="E197" t="s">
        <v>779</v>
      </c>
      <c r="F197" s="229">
        <v>5000</v>
      </c>
      <c r="G197">
        <v>0</v>
      </c>
      <c r="H197" s="229">
        <v>-2923500</v>
      </c>
    </row>
    <row r="198" spans="1:8" x14ac:dyDescent="0.25">
      <c r="A198">
        <v>291</v>
      </c>
      <c r="B198" t="s">
        <v>130</v>
      </c>
      <c r="C198" s="7">
        <v>43584</v>
      </c>
      <c r="D198" t="s">
        <v>780</v>
      </c>
      <c r="E198" t="s">
        <v>781</v>
      </c>
      <c r="F198" s="229">
        <v>11000</v>
      </c>
      <c r="G198">
        <v>0</v>
      </c>
      <c r="H198" s="229">
        <v>-2912500</v>
      </c>
    </row>
    <row r="199" spans="1:8" x14ac:dyDescent="0.25">
      <c r="A199">
        <v>291</v>
      </c>
      <c r="B199" t="s">
        <v>130</v>
      </c>
      <c r="C199" s="7">
        <v>43584</v>
      </c>
      <c r="D199" t="s">
        <v>782</v>
      </c>
      <c r="E199" t="s">
        <v>783</v>
      </c>
      <c r="F199" s="229">
        <v>10000</v>
      </c>
      <c r="G199">
        <v>0</v>
      </c>
      <c r="H199" s="229">
        <v>-2902500</v>
      </c>
    </row>
    <row r="200" spans="1:8" x14ac:dyDescent="0.25">
      <c r="A200">
        <v>291</v>
      </c>
      <c r="B200" t="s">
        <v>130</v>
      </c>
      <c r="C200" s="7">
        <v>43584</v>
      </c>
      <c r="D200" t="s">
        <v>784</v>
      </c>
      <c r="E200" t="s">
        <v>785</v>
      </c>
      <c r="F200" s="229">
        <v>20000</v>
      </c>
      <c r="G200">
        <v>0</v>
      </c>
      <c r="H200" s="229">
        <v>-2882500</v>
      </c>
    </row>
    <row r="201" spans="1:8" x14ac:dyDescent="0.25">
      <c r="A201">
        <v>291</v>
      </c>
      <c r="B201" t="s">
        <v>130</v>
      </c>
      <c r="C201" s="7">
        <v>43584</v>
      </c>
      <c r="D201" t="s">
        <v>786</v>
      </c>
      <c r="E201" t="s">
        <v>787</v>
      </c>
      <c r="F201" s="229">
        <v>15000</v>
      </c>
      <c r="G201">
        <v>0</v>
      </c>
      <c r="H201" s="229">
        <v>-2867500</v>
      </c>
    </row>
    <row r="202" spans="1:8" x14ac:dyDescent="0.25">
      <c r="A202">
        <v>291</v>
      </c>
      <c r="B202" t="s">
        <v>130</v>
      </c>
      <c r="C202" s="7">
        <v>43584</v>
      </c>
      <c r="D202" t="s">
        <v>788</v>
      </c>
      <c r="E202" t="s">
        <v>789</v>
      </c>
      <c r="F202" s="229">
        <v>20000</v>
      </c>
      <c r="G202">
        <v>0</v>
      </c>
      <c r="H202" s="229">
        <v>-2847500</v>
      </c>
    </row>
    <row r="203" spans="1:8" x14ac:dyDescent="0.25">
      <c r="A203">
        <v>291</v>
      </c>
      <c r="B203" t="s">
        <v>130</v>
      </c>
      <c r="C203" s="7">
        <v>43584</v>
      </c>
      <c r="D203" t="s">
        <v>790</v>
      </c>
      <c r="E203" t="s">
        <v>791</v>
      </c>
      <c r="F203" s="229">
        <v>1000</v>
      </c>
      <c r="G203">
        <v>0</v>
      </c>
      <c r="H203" s="229">
        <v>-2846500</v>
      </c>
    </row>
    <row r="204" spans="1:8" x14ac:dyDescent="0.25">
      <c r="A204">
        <v>291</v>
      </c>
      <c r="B204" t="s">
        <v>130</v>
      </c>
      <c r="C204" s="7">
        <v>43584</v>
      </c>
      <c r="D204" t="s">
        <v>792</v>
      </c>
      <c r="E204" t="s">
        <v>793</v>
      </c>
      <c r="F204" s="229">
        <v>20000</v>
      </c>
      <c r="G204">
        <v>0</v>
      </c>
      <c r="H204" s="229">
        <v>-2826500</v>
      </c>
    </row>
    <row r="205" spans="1:8" x14ac:dyDescent="0.25">
      <c r="A205">
        <v>291</v>
      </c>
      <c r="B205" t="s">
        <v>130</v>
      </c>
      <c r="C205" s="7">
        <v>43584</v>
      </c>
      <c r="D205" t="s">
        <v>794</v>
      </c>
      <c r="E205" t="s">
        <v>795</v>
      </c>
      <c r="F205" s="229">
        <v>20000</v>
      </c>
      <c r="G205">
        <v>0</v>
      </c>
      <c r="H205" s="229">
        <v>-2806500</v>
      </c>
    </row>
    <row r="206" spans="1:8" x14ac:dyDescent="0.25">
      <c r="A206">
        <v>291</v>
      </c>
      <c r="B206" t="s">
        <v>130</v>
      </c>
      <c r="C206" s="7">
        <v>43584</v>
      </c>
      <c r="D206" t="s">
        <v>796</v>
      </c>
      <c r="E206" t="s">
        <v>797</v>
      </c>
      <c r="F206" s="229">
        <v>3000</v>
      </c>
      <c r="G206">
        <v>0</v>
      </c>
      <c r="H206" s="229">
        <v>-2803500</v>
      </c>
    </row>
    <row r="207" spans="1:8" x14ac:dyDescent="0.25">
      <c r="A207">
        <v>291</v>
      </c>
      <c r="B207" t="s">
        <v>130</v>
      </c>
      <c r="C207" s="7">
        <v>43584</v>
      </c>
      <c r="D207" t="s">
        <v>798</v>
      </c>
      <c r="E207" t="s">
        <v>799</v>
      </c>
      <c r="F207" s="229">
        <v>5000</v>
      </c>
      <c r="G207">
        <v>0</v>
      </c>
      <c r="H207" s="229">
        <v>-2798500</v>
      </c>
    </row>
    <row r="208" spans="1:8" x14ac:dyDescent="0.25">
      <c r="A208">
        <v>291</v>
      </c>
      <c r="B208" t="s">
        <v>130</v>
      </c>
      <c r="C208" s="7">
        <v>43584</v>
      </c>
      <c r="D208" t="s">
        <v>800</v>
      </c>
      <c r="E208" t="s">
        <v>801</v>
      </c>
      <c r="F208" s="229">
        <v>10000</v>
      </c>
      <c r="G208">
        <v>0</v>
      </c>
      <c r="H208" s="229">
        <v>-2788500</v>
      </c>
    </row>
    <row r="209" spans="1:8" x14ac:dyDescent="0.25">
      <c r="A209">
        <v>291</v>
      </c>
      <c r="B209" t="s">
        <v>130</v>
      </c>
      <c r="C209" s="7">
        <v>43584</v>
      </c>
      <c r="D209" t="s">
        <v>802</v>
      </c>
      <c r="E209" t="s">
        <v>803</v>
      </c>
      <c r="F209" s="229">
        <v>4000</v>
      </c>
      <c r="G209">
        <v>0</v>
      </c>
      <c r="H209" s="229">
        <v>-2784500</v>
      </c>
    </row>
    <row r="210" spans="1:8" x14ac:dyDescent="0.25">
      <c r="A210">
        <v>291</v>
      </c>
      <c r="B210" t="s">
        <v>130</v>
      </c>
      <c r="C210" s="7">
        <v>43584</v>
      </c>
      <c r="D210" t="s">
        <v>804</v>
      </c>
      <c r="E210" t="s">
        <v>805</v>
      </c>
      <c r="F210" s="229">
        <v>5000</v>
      </c>
      <c r="G210">
        <v>0</v>
      </c>
      <c r="H210" s="229">
        <v>-2779500</v>
      </c>
    </row>
    <row r="211" spans="1:8" x14ac:dyDescent="0.25">
      <c r="A211">
        <v>291</v>
      </c>
      <c r="B211" t="s">
        <v>130</v>
      </c>
      <c r="C211" s="7">
        <v>43584</v>
      </c>
      <c r="D211" t="s">
        <v>806</v>
      </c>
      <c r="E211" t="s">
        <v>807</v>
      </c>
      <c r="F211" s="229">
        <v>20000</v>
      </c>
      <c r="G211">
        <v>0</v>
      </c>
      <c r="H211" s="229">
        <v>-2759500</v>
      </c>
    </row>
    <row r="212" spans="1:8" x14ac:dyDescent="0.25">
      <c r="A212">
        <v>291</v>
      </c>
      <c r="B212" t="s">
        <v>130</v>
      </c>
      <c r="C212" s="7">
        <v>43584</v>
      </c>
      <c r="D212" t="s">
        <v>808</v>
      </c>
      <c r="E212" t="s">
        <v>809</v>
      </c>
      <c r="F212" s="229">
        <v>5000</v>
      </c>
      <c r="G212">
        <v>0</v>
      </c>
      <c r="H212" s="229">
        <v>-2754500</v>
      </c>
    </row>
    <row r="213" spans="1:8" x14ac:dyDescent="0.25">
      <c r="A213">
        <v>291</v>
      </c>
      <c r="B213" t="s">
        <v>130</v>
      </c>
      <c r="C213" s="7">
        <v>43584</v>
      </c>
      <c r="D213" t="s">
        <v>810</v>
      </c>
      <c r="E213" t="s">
        <v>811</v>
      </c>
      <c r="F213" s="229">
        <v>1000</v>
      </c>
      <c r="G213">
        <v>0</v>
      </c>
      <c r="H213" s="229">
        <v>-2753500</v>
      </c>
    </row>
    <row r="214" spans="1:8" x14ac:dyDescent="0.25">
      <c r="A214">
        <v>291</v>
      </c>
      <c r="B214" t="s">
        <v>130</v>
      </c>
      <c r="C214" s="7">
        <v>43584</v>
      </c>
      <c r="D214" t="s">
        <v>812</v>
      </c>
      <c r="E214" t="s">
        <v>813</v>
      </c>
      <c r="F214" s="229">
        <v>20000</v>
      </c>
      <c r="G214">
        <v>0</v>
      </c>
      <c r="H214" s="229">
        <v>-2733500</v>
      </c>
    </row>
    <row r="215" spans="1:8" x14ac:dyDescent="0.25">
      <c r="A215">
        <v>291</v>
      </c>
      <c r="B215" t="s">
        <v>130</v>
      </c>
      <c r="C215" s="7">
        <v>43584</v>
      </c>
      <c r="D215" t="s">
        <v>814</v>
      </c>
      <c r="E215" t="s">
        <v>815</v>
      </c>
      <c r="F215" s="229">
        <v>20000</v>
      </c>
      <c r="G215">
        <v>0</v>
      </c>
      <c r="H215" s="229">
        <v>-2713500</v>
      </c>
    </row>
    <row r="216" spans="1:8" x14ac:dyDescent="0.25">
      <c r="A216">
        <v>291</v>
      </c>
      <c r="B216" t="s">
        <v>130</v>
      </c>
      <c r="C216" s="7">
        <v>43584</v>
      </c>
      <c r="D216" t="s">
        <v>816</v>
      </c>
      <c r="E216" t="s">
        <v>817</v>
      </c>
      <c r="F216" s="229">
        <v>2000</v>
      </c>
      <c r="G216">
        <v>0</v>
      </c>
      <c r="H216" s="229">
        <v>-2711500</v>
      </c>
    </row>
    <row r="217" spans="1:8" x14ac:dyDescent="0.25">
      <c r="A217">
        <v>291</v>
      </c>
      <c r="B217" t="s">
        <v>130</v>
      </c>
      <c r="C217" s="7">
        <v>43584</v>
      </c>
      <c r="D217" t="s">
        <v>818</v>
      </c>
      <c r="E217" t="s">
        <v>819</v>
      </c>
      <c r="F217" s="229">
        <v>13000</v>
      </c>
      <c r="G217">
        <v>0</v>
      </c>
      <c r="H217" s="229">
        <v>-2698500</v>
      </c>
    </row>
    <row r="218" spans="1:8" x14ac:dyDescent="0.25">
      <c r="A218">
        <v>291</v>
      </c>
      <c r="B218" t="s">
        <v>130</v>
      </c>
      <c r="C218" s="7">
        <v>43584</v>
      </c>
      <c r="D218" t="s">
        <v>820</v>
      </c>
      <c r="E218" t="s">
        <v>821</v>
      </c>
      <c r="F218" s="229">
        <v>10000</v>
      </c>
      <c r="G218">
        <v>0</v>
      </c>
      <c r="H218" s="229">
        <v>-2688500</v>
      </c>
    </row>
    <row r="219" spans="1:8" x14ac:dyDescent="0.25">
      <c r="A219">
        <v>291</v>
      </c>
      <c r="B219" t="s">
        <v>130</v>
      </c>
      <c r="C219" s="7">
        <v>43584</v>
      </c>
      <c r="D219" t="s">
        <v>822</v>
      </c>
      <c r="E219" t="s">
        <v>823</v>
      </c>
      <c r="F219" s="229">
        <v>2000</v>
      </c>
      <c r="G219">
        <v>0</v>
      </c>
      <c r="H219" s="229">
        <v>-2686500</v>
      </c>
    </row>
    <row r="220" spans="1:8" x14ac:dyDescent="0.25">
      <c r="A220">
        <v>291</v>
      </c>
      <c r="B220" t="s">
        <v>130</v>
      </c>
      <c r="C220" s="7">
        <v>43584</v>
      </c>
      <c r="D220" t="s">
        <v>824</v>
      </c>
      <c r="E220" t="s">
        <v>825</v>
      </c>
      <c r="F220" s="229">
        <v>20000</v>
      </c>
      <c r="G220">
        <v>0</v>
      </c>
      <c r="H220" s="229">
        <v>-2666500</v>
      </c>
    </row>
    <row r="221" spans="1:8" x14ac:dyDescent="0.25">
      <c r="A221">
        <v>291</v>
      </c>
      <c r="B221" t="s">
        <v>130</v>
      </c>
      <c r="C221" s="7">
        <v>43584</v>
      </c>
      <c r="D221" t="s">
        <v>826</v>
      </c>
      <c r="E221" t="s">
        <v>827</v>
      </c>
      <c r="F221" s="229">
        <v>14000</v>
      </c>
      <c r="G221">
        <v>0</v>
      </c>
      <c r="H221" s="229">
        <v>-2652500</v>
      </c>
    </row>
    <row r="222" spans="1:8" x14ac:dyDescent="0.25">
      <c r="A222">
        <v>291</v>
      </c>
      <c r="B222" t="s">
        <v>130</v>
      </c>
      <c r="C222" s="7">
        <v>43584</v>
      </c>
      <c r="D222" t="s">
        <v>828</v>
      </c>
      <c r="E222" t="s">
        <v>829</v>
      </c>
      <c r="F222">
        <v>500</v>
      </c>
      <c r="G222">
        <v>0</v>
      </c>
      <c r="H222" s="229">
        <v>-2652000</v>
      </c>
    </row>
    <row r="223" spans="1:8" x14ac:dyDescent="0.25">
      <c r="A223">
        <v>291</v>
      </c>
      <c r="B223" t="s">
        <v>130</v>
      </c>
      <c r="C223" s="7">
        <v>43584</v>
      </c>
      <c r="D223" t="s">
        <v>830</v>
      </c>
      <c r="E223" t="s">
        <v>831</v>
      </c>
      <c r="F223" s="229">
        <v>10000</v>
      </c>
      <c r="G223">
        <v>0</v>
      </c>
      <c r="H223" s="229">
        <v>-2642000</v>
      </c>
    </row>
    <row r="224" spans="1:8" x14ac:dyDescent="0.25">
      <c r="A224">
        <v>291</v>
      </c>
      <c r="B224" t="s">
        <v>130</v>
      </c>
      <c r="C224" s="7">
        <v>43584</v>
      </c>
      <c r="D224" t="s">
        <v>832</v>
      </c>
      <c r="E224" t="s">
        <v>833</v>
      </c>
      <c r="F224" s="229">
        <v>10000</v>
      </c>
      <c r="G224">
        <v>0</v>
      </c>
      <c r="H224" s="229">
        <v>-2632000</v>
      </c>
    </row>
    <row r="225" spans="1:8" x14ac:dyDescent="0.25">
      <c r="A225">
        <v>291</v>
      </c>
      <c r="B225" t="s">
        <v>130</v>
      </c>
      <c r="C225" s="7">
        <v>43584</v>
      </c>
      <c r="D225" t="s">
        <v>834</v>
      </c>
      <c r="E225" t="s">
        <v>835</v>
      </c>
      <c r="F225" s="229">
        <v>10000</v>
      </c>
      <c r="G225">
        <v>0</v>
      </c>
      <c r="H225" s="229">
        <v>-2622000</v>
      </c>
    </row>
    <row r="226" spans="1:8" x14ac:dyDescent="0.25">
      <c r="A226">
        <v>291</v>
      </c>
      <c r="B226" t="s">
        <v>130</v>
      </c>
      <c r="C226" s="7">
        <v>43584</v>
      </c>
      <c r="D226" t="s">
        <v>836</v>
      </c>
      <c r="E226" t="s">
        <v>837</v>
      </c>
      <c r="F226" s="229">
        <v>20000</v>
      </c>
      <c r="G226">
        <v>0</v>
      </c>
      <c r="H226" s="229">
        <v>-2602000</v>
      </c>
    </row>
    <row r="227" spans="1:8" x14ac:dyDescent="0.25">
      <c r="A227">
        <v>291</v>
      </c>
      <c r="B227" t="s">
        <v>130</v>
      </c>
      <c r="C227" s="7">
        <v>43584</v>
      </c>
      <c r="D227" t="s">
        <v>838</v>
      </c>
      <c r="E227" t="s">
        <v>839</v>
      </c>
      <c r="F227" s="229">
        <v>2000</v>
      </c>
      <c r="G227">
        <v>0</v>
      </c>
      <c r="H227" s="229">
        <v>-2600000</v>
      </c>
    </row>
    <row r="228" spans="1:8" x14ac:dyDescent="0.25">
      <c r="A228">
        <v>291</v>
      </c>
      <c r="B228" t="s">
        <v>130</v>
      </c>
      <c r="C228" s="7">
        <v>43584</v>
      </c>
      <c r="D228" t="s">
        <v>840</v>
      </c>
      <c r="E228" t="s">
        <v>841</v>
      </c>
      <c r="F228" s="229">
        <v>20000</v>
      </c>
      <c r="G228">
        <v>0</v>
      </c>
      <c r="H228" s="229">
        <v>-2580000</v>
      </c>
    </row>
    <row r="229" spans="1:8" x14ac:dyDescent="0.25">
      <c r="A229">
        <v>291</v>
      </c>
      <c r="B229" t="s">
        <v>130</v>
      </c>
      <c r="C229" s="7">
        <v>43584</v>
      </c>
      <c r="D229" t="s">
        <v>842</v>
      </c>
      <c r="E229" t="s">
        <v>843</v>
      </c>
      <c r="F229" s="229">
        <v>3000</v>
      </c>
      <c r="G229">
        <v>0</v>
      </c>
      <c r="H229" s="229">
        <v>-2577000</v>
      </c>
    </row>
    <row r="230" spans="1:8" x14ac:dyDescent="0.25">
      <c r="A230">
        <v>291</v>
      </c>
      <c r="B230" t="s">
        <v>130</v>
      </c>
      <c r="C230" s="7">
        <v>43584</v>
      </c>
      <c r="D230" t="s">
        <v>844</v>
      </c>
      <c r="E230" t="s">
        <v>845</v>
      </c>
      <c r="F230" s="229">
        <v>1000</v>
      </c>
      <c r="G230">
        <v>0</v>
      </c>
      <c r="H230" s="229">
        <v>-2576000</v>
      </c>
    </row>
    <row r="231" spans="1:8" x14ac:dyDescent="0.25">
      <c r="A231">
        <v>291</v>
      </c>
      <c r="B231" t="s">
        <v>130</v>
      </c>
      <c r="C231" s="7">
        <v>43584</v>
      </c>
      <c r="D231" t="s">
        <v>846</v>
      </c>
      <c r="E231" t="s">
        <v>847</v>
      </c>
      <c r="F231" s="229">
        <v>20000</v>
      </c>
      <c r="G231">
        <v>0</v>
      </c>
      <c r="H231" s="229">
        <v>-2556000</v>
      </c>
    </row>
    <row r="232" spans="1:8" x14ac:dyDescent="0.25">
      <c r="A232">
        <v>291</v>
      </c>
      <c r="B232" t="s">
        <v>130</v>
      </c>
      <c r="C232" s="7">
        <v>43584</v>
      </c>
      <c r="D232" t="s">
        <v>848</v>
      </c>
      <c r="E232" t="s">
        <v>849</v>
      </c>
      <c r="F232" s="229">
        <v>2000</v>
      </c>
      <c r="G232">
        <v>0</v>
      </c>
      <c r="H232" s="229">
        <v>-2554000</v>
      </c>
    </row>
    <row r="233" spans="1:8" x14ac:dyDescent="0.25">
      <c r="A233">
        <v>291</v>
      </c>
      <c r="B233" t="s">
        <v>130</v>
      </c>
      <c r="C233" s="7">
        <v>43584</v>
      </c>
      <c r="D233" t="s">
        <v>850</v>
      </c>
      <c r="E233" t="s">
        <v>851</v>
      </c>
      <c r="F233" s="229">
        <v>5000</v>
      </c>
      <c r="G233">
        <v>0</v>
      </c>
      <c r="H233" s="229">
        <v>-2549000</v>
      </c>
    </row>
    <row r="234" spans="1:8" x14ac:dyDescent="0.25">
      <c r="A234">
        <v>291</v>
      </c>
      <c r="B234" t="s">
        <v>130</v>
      </c>
      <c r="C234" s="7">
        <v>43584</v>
      </c>
      <c r="D234" t="s">
        <v>852</v>
      </c>
      <c r="E234" t="s">
        <v>853</v>
      </c>
      <c r="F234" s="229">
        <v>10000</v>
      </c>
      <c r="G234">
        <v>0</v>
      </c>
      <c r="H234" s="229">
        <v>-2539000</v>
      </c>
    </row>
    <row r="235" spans="1:8" x14ac:dyDescent="0.25">
      <c r="A235">
        <v>291</v>
      </c>
      <c r="B235" t="s">
        <v>130</v>
      </c>
      <c r="C235" s="7">
        <v>43584</v>
      </c>
      <c r="D235" t="s">
        <v>854</v>
      </c>
      <c r="E235" t="s">
        <v>855</v>
      </c>
      <c r="F235" s="229">
        <v>10000</v>
      </c>
      <c r="G235">
        <v>0</v>
      </c>
      <c r="H235" s="229">
        <v>-2529000</v>
      </c>
    </row>
    <row r="236" spans="1:8" x14ac:dyDescent="0.25">
      <c r="A236">
        <v>291</v>
      </c>
      <c r="B236" t="s">
        <v>130</v>
      </c>
      <c r="C236" s="7">
        <v>43584</v>
      </c>
      <c r="D236" t="s">
        <v>856</v>
      </c>
      <c r="E236" t="s">
        <v>857</v>
      </c>
      <c r="F236" s="229">
        <v>6000</v>
      </c>
      <c r="G236">
        <v>0</v>
      </c>
      <c r="H236" s="229">
        <v>-2523000</v>
      </c>
    </row>
    <row r="237" spans="1:8" x14ac:dyDescent="0.25">
      <c r="A237">
        <v>291</v>
      </c>
      <c r="B237" t="s">
        <v>130</v>
      </c>
      <c r="C237" s="7">
        <v>43584</v>
      </c>
      <c r="D237" t="s">
        <v>858</v>
      </c>
      <c r="E237" t="s">
        <v>859</v>
      </c>
      <c r="F237" s="229">
        <v>20000</v>
      </c>
      <c r="G237">
        <v>0</v>
      </c>
      <c r="H237" s="229">
        <v>-2503000</v>
      </c>
    </row>
    <row r="238" spans="1:8" x14ac:dyDescent="0.25">
      <c r="A238">
        <v>291</v>
      </c>
      <c r="B238" t="s">
        <v>130</v>
      </c>
      <c r="C238" s="7">
        <v>43584</v>
      </c>
      <c r="D238" t="s">
        <v>860</v>
      </c>
      <c r="E238" t="s">
        <v>861</v>
      </c>
      <c r="F238" s="229">
        <v>20000</v>
      </c>
      <c r="G238">
        <v>0</v>
      </c>
      <c r="H238" s="229">
        <v>-2483000</v>
      </c>
    </row>
    <row r="239" spans="1:8" x14ac:dyDescent="0.25">
      <c r="A239">
        <v>291</v>
      </c>
      <c r="B239" t="s">
        <v>130</v>
      </c>
      <c r="C239" s="7">
        <v>43584</v>
      </c>
      <c r="D239" t="s">
        <v>862</v>
      </c>
      <c r="E239" t="s">
        <v>863</v>
      </c>
      <c r="F239" s="229">
        <v>20000</v>
      </c>
      <c r="G239">
        <v>0</v>
      </c>
      <c r="H239" s="229">
        <v>-2463000</v>
      </c>
    </row>
    <row r="240" spans="1:8" x14ac:dyDescent="0.25">
      <c r="A240">
        <v>291</v>
      </c>
      <c r="B240" t="s">
        <v>130</v>
      </c>
      <c r="C240" s="7">
        <v>43584</v>
      </c>
      <c r="D240" t="s">
        <v>864</v>
      </c>
      <c r="E240" t="s">
        <v>865</v>
      </c>
      <c r="F240" s="229">
        <v>15000</v>
      </c>
      <c r="G240">
        <v>0</v>
      </c>
      <c r="H240" s="229">
        <v>-2448000</v>
      </c>
    </row>
    <row r="241" spans="1:8" x14ac:dyDescent="0.25">
      <c r="A241">
        <v>291</v>
      </c>
      <c r="B241" t="s">
        <v>130</v>
      </c>
      <c r="C241" s="7">
        <v>43584</v>
      </c>
      <c r="D241" t="s">
        <v>866</v>
      </c>
      <c r="E241" t="s">
        <v>867</v>
      </c>
      <c r="F241" s="229">
        <v>5000</v>
      </c>
      <c r="G241">
        <v>0</v>
      </c>
      <c r="H241" s="229">
        <v>-2443000</v>
      </c>
    </row>
    <row r="242" spans="1:8" x14ac:dyDescent="0.25">
      <c r="A242">
        <v>291</v>
      </c>
      <c r="B242" t="s">
        <v>130</v>
      </c>
      <c r="C242" s="7">
        <v>43584</v>
      </c>
      <c r="D242" t="s">
        <v>868</v>
      </c>
      <c r="E242" t="s">
        <v>869</v>
      </c>
      <c r="F242" s="229">
        <v>20000</v>
      </c>
      <c r="G242">
        <v>0</v>
      </c>
      <c r="H242" s="229">
        <v>-2423000</v>
      </c>
    </row>
    <row r="243" spans="1:8" x14ac:dyDescent="0.25">
      <c r="A243">
        <v>291</v>
      </c>
      <c r="B243" t="s">
        <v>130</v>
      </c>
      <c r="C243" s="7">
        <v>43584</v>
      </c>
      <c r="D243" t="s">
        <v>870</v>
      </c>
      <c r="E243" t="s">
        <v>871</v>
      </c>
      <c r="F243" s="229">
        <v>20000</v>
      </c>
      <c r="G243">
        <v>0</v>
      </c>
      <c r="H243" s="229">
        <v>-2403000</v>
      </c>
    </row>
    <row r="244" spans="1:8" x14ac:dyDescent="0.25">
      <c r="A244">
        <v>291</v>
      </c>
      <c r="B244" t="s">
        <v>130</v>
      </c>
      <c r="C244" s="7">
        <v>43584</v>
      </c>
      <c r="D244" t="s">
        <v>872</v>
      </c>
      <c r="E244" t="s">
        <v>873</v>
      </c>
      <c r="F244" s="229">
        <v>3000</v>
      </c>
      <c r="G244">
        <v>0</v>
      </c>
      <c r="H244" s="229">
        <v>-2400000</v>
      </c>
    </row>
    <row r="245" spans="1:8" x14ac:dyDescent="0.25">
      <c r="A245">
        <v>291</v>
      </c>
      <c r="B245" t="s">
        <v>130</v>
      </c>
      <c r="C245" s="7">
        <v>43584</v>
      </c>
      <c r="D245" t="s">
        <v>874</v>
      </c>
      <c r="E245" t="s">
        <v>875</v>
      </c>
      <c r="F245" s="229">
        <v>1000</v>
      </c>
      <c r="G245">
        <v>0</v>
      </c>
      <c r="H245" s="229">
        <v>-2399000</v>
      </c>
    </row>
    <row r="246" spans="1:8" x14ac:dyDescent="0.25">
      <c r="A246">
        <v>291</v>
      </c>
      <c r="B246" t="s">
        <v>130</v>
      </c>
      <c r="C246" s="7">
        <v>43584</v>
      </c>
      <c r="D246" t="s">
        <v>876</v>
      </c>
      <c r="E246" t="s">
        <v>877</v>
      </c>
      <c r="F246" s="229">
        <v>20000</v>
      </c>
      <c r="G246">
        <v>0</v>
      </c>
      <c r="H246" s="229">
        <v>-2379000</v>
      </c>
    </row>
    <row r="247" spans="1:8" x14ac:dyDescent="0.25">
      <c r="A247">
        <v>291</v>
      </c>
      <c r="B247" t="s">
        <v>130</v>
      </c>
      <c r="C247" s="7">
        <v>43584</v>
      </c>
      <c r="D247" t="s">
        <v>878</v>
      </c>
      <c r="E247" t="s">
        <v>879</v>
      </c>
      <c r="F247" s="229">
        <v>20000</v>
      </c>
      <c r="G247">
        <v>0</v>
      </c>
      <c r="H247" s="229">
        <v>-2359000</v>
      </c>
    </row>
    <row r="248" spans="1:8" x14ac:dyDescent="0.25">
      <c r="A248">
        <v>291</v>
      </c>
      <c r="B248" t="s">
        <v>130</v>
      </c>
      <c r="C248" s="7">
        <v>43584</v>
      </c>
      <c r="D248" t="s">
        <v>880</v>
      </c>
      <c r="E248" t="s">
        <v>881</v>
      </c>
      <c r="F248" s="229">
        <v>20000</v>
      </c>
      <c r="G248">
        <v>0</v>
      </c>
      <c r="H248" s="229">
        <v>-2339000</v>
      </c>
    </row>
    <row r="249" spans="1:8" x14ac:dyDescent="0.25">
      <c r="A249">
        <v>291</v>
      </c>
      <c r="B249" t="s">
        <v>130</v>
      </c>
      <c r="C249" s="7">
        <v>43584</v>
      </c>
      <c r="D249" t="s">
        <v>882</v>
      </c>
      <c r="E249" t="s">
        <v>883</v>
      </c>
      <c r="F249" s="229">
        <v>20000</v>
      </c>
      <c r="G249">
        <v>0</v>
      </c>
      <c r="H249" s="229">
        <v>-2319000</v>
      </c>
    </row>
    <row r="250" spans="1:8" x14ac:dyDescent="0.25">
      <c r="A250">
        <v>291</v>
      </c>
      <c r="B250" t="s">
        <v>130</v>
      </c>
      <c r="C250" s="7">
        <v>43584</v>
      </c>
      <c r="D250" t="s">
        <v>884</v>
      </c>
      <c r="E250" t="s">
        <v>885</v>
      </c>
      <c r="F250" s="229">
        <v>12000</v>
      </c>
      <c r="G250">
        <v>0</v>
      </c>
      <c r="H250" s="229">
        <v>-2307000</v>
      </c>
    </row>
    <row r="251" spans="1:8" x14ac:dyDescent="0.25">
      <c r="A251">
        <v>291</v>
      </c>
      <c r="B251" t="s">
        <v>130</v>
      </c>
      <c r="C251" s="7">
        <v>43584</v>
      </c>
      <c r="D251" t="s">
        <v>886</v>
      </c>
      <c r="E251" t="s">
        <v>887</v>
      </c>
      <c r="F251" s="229">
        <v>1000</v>
      </c>
      <c r="G251">
        <v>0</v>
      </c>
      <c r="H251" s="229">
        <v>-2306000</v>
      </c>
    </row>
    <row r="252" spans="1:8" x14ac:dyDescent="0.25">
      <c r="A252">
        <v>291</v>
      </c>
      <c r="B252" t="s">
        <v>130</v>
      </c>
      <c r="C252" s="7">
        <v>43584</v>
      </c>
      <c r="D252" t="s">
        <v>888</v>
      </c>
      <c r="E252" t="s">
        <v>889</v>
      </c>
      <c r="F252" s="229">
        <v>10000</v>
      </c>
      <c r="G252">
        <v>0</v>
      </c>
      <c r="H252" s="229">
        <v>-2296000</v>
      </c>
    </row>
    <row r="253" spans="1:8" x14ac:dyDescent="0.25">
      <c r="A253">
        <v>291</v>
      </c>
      <c r="B253" t="s">
        <v>130</v>
      </c>
      <c r="C253" s="7">
        <v>43584</v>
      </c>
      <c r="D253" t="s">
        <v>890</v>
      </c>
      <c r="E253" t="s">
        <v>891</v>
      </c>
      <c r="F253" s="229">
        <v>20000</v>
      </c>
      <c r="G253">
        <v>0</v>
      </c>
      <c r="H253" s="229">
        <v>-2276000</v>
      </c>
    </row>
    <row r="254" spans="1:8" x14ac:dyDescent="0.25">
      <c r="A254">
        <v>291</v>
      </c>
      <c r="B254" t="s">
        <v>130</v>
      </c>
      <c r="C254" s="7">
        <v>43584</v>
      </c>
      <c r="D254" t="s">
        <v>892</v>
      </c>
      <c r="E254" t="s">
        <v>893</v>
      </c>
      <c r="F254" s="229">
        <v>20000</v>
      </c>
      <c r="G254">
        <v>0</v>
      </c>
      <c r="H254" s="229">
        <v>-2256000</v>
      </c>
    </row>
    <row r="255" spans="1:8" x14ac:dyDescent="0.25">
      <c r="A255">
        <v>291</v>
      </c>
      <c r="B255" t="s">
        <v>130</v>
      </c>
      <c r="C255" s="7">
        <v>43584</v>
      </c>
      <c r="D255" t="s">
        <v>894</v>
      </c>
      <c r="E255" t="s">
        <v>895</v>
      </c>
      <c r="F255" s="229">
        <v>1500</v>
      </c>
      <c r="G255">
        <v>0</v>
      </c>
      <c r="H255" s="229">
        <v>-2254500</v>
      </c>
    </row>
    <row r="256" spans="1:8" x14ac:dyDescent="0.25">
      <c r="A256">
        <v>291</v>
      </c>
      <c r="B256" t="s">
        <v>130</v>
      </c>
      <c r="C256" s="7">
        <v>43584</v>
      </c>
      <c r="D256" t="s">
        <v>896</v>
      </c>
      <c r="E256" t="s">
        <v>897</v>
      </c>
      <c r="F256" s="229">
        <v>20000</v>
      </c>
      <c r="G256">
        <v>0</v>
      </c>
      <c r="H256" s="229">
        <v>-2234500</v>
      </c>
    </row>
    <row r="257" spans="1:8" x14ac:dyDescent="0.25">
      <c r="A257">
        <v>291</v>
      </c>
      <c r="B257" t="s">
        <v>130</v>
      </c>
      <c r="C257" s="7">
        <v>43584</v>
      </c>
      <c r="D257" t="s">
        <v>898</v>
      </c>
      <c r="E257" t="s">
        <v>899</v>
      </c>
      <c r="F257" s="229">
        <v>1000</v>
      </c>
      <c r="G257">
        <v>0</v>
      </c>
      <c r="H257" s="229">
        <v>-2233500</v>
      </c>
    </row>
    <row r="258" spans="1:8" x14ac:dyDescent="0.25">
      <c r="A258">
        <v>291</v>
      </c>
      <c r="B258" t="s">
        <v>130</v>
      </c>
      <c r="C258" s="7">
        <v>43584</v>
      </c>
      <c r="D258" t="s">
        <v>900</v>
      </c>
      <c r="E258" t="s">
        <v>901</v>
      </c>
      <c r="F258">
        <v>500</v>
      </c>
      <c r="G258">
        <v>0</v>
      </c>
      <c r="H258" s="229">
        <v>-2233000</v>
      </c>
    </row>
    <row r="259" spans="1:8" x14ac:dyDescent="0.25">
      <c r="A259">
        <v>291</v>
      </c>
      <c r="B259" t="s">
        <v>130</v>
      </c>
      <c r="C259" s="7">
        <v>43584</v>
      </c>
      <c r="D259" t="s">
        <v>902</v>
      </c>
      <c r="E259" t="s">
        <v>903</v>
      </c>
      <c r="F259" s="229">
        <v>5000</v>
      </c>
      <c r="G259">
        <v>0</v>
      </c>
      <c r="H259" s="229">
        <v>-2228000</v>
      </c>
    </row>
    <row r="260" spans="1:8" x14ac:dyDescent="0.25">
      <c r="A260">
        <v>291</v>
      </c>
      <c r="B260" t="s">
        <v>130</v>
      </c>
      <c r="C260" s="7">
        <v>43584</v>
      </c>
      <c r="D260" t="s">
        <v>904</v>
      </c>
      <c r="E260" t="s">
        <v>905</v>
      </c>
      <c r="F260" s="229">
        <v>20000</v>
      </c>
      <c r="G260">
        <v>0</v>
      </c>
      <c r="H260" s="229">
        <v>-2208000</v>
      </c>
    </row>
    <row r="261" spans="1:8" x14ac:dyDescent="0.25">
      <c r="A261">
        <v>291</v>
      </c>
      <c r="B261" t="s">
        <v>130</v>
      </c>
      <c r="C261" s="7">
        <v>43584</v>
      </c>
      <c r="D261" t="s">
        <v>906</v>
      </c>
      <c r="E261" t="s">
        <v>907</v>
      </c>
      <c r="F261" s="229">
        <v>5000</v>
      </c>
      <c r="G261">
        <v>0</v>
      </c>
      <c r="H261" s="229">
        <v>-2203000</v>
      </c>
    </row>
    <row r="262" spans="1:8" x14ac:dyDescent="0.25">
      <c r="A262">
        <v>291</v>
      </c>
      <c r="B262" t="s">
        <v>130</v>
      </c>
      <c r="C262" s="7">
        <v>43584</v>
      </c>
      <c r="D262" t="s">
        <v>908</v>
      </c>
      <c r="E262" t="s">
        <v>909</v>
      </c>
      <c r="F262" s="229">
        <v>10000</v>
      </c>
      <c r="G262">
        <v>0</v>
      </c>
      <c r="H262" s="229">
        <v>-2193000</v>
      </c>
    </row>
    <row r="263" spans="1:8" x14ac:dyDescent="0.25">
      <c r="A263">
        <v>291</v>
      </c>
      <c r="B263" t="s">
        <v>130</v>
      </c>
      <c r="C263" s="7">
        <v>43584</v>
      </c>
      <c r="D263" t="s">
        <v>910</v>
      </c>
      <c r="E263" t="s">
        <v>911</v>
      </c>
      <c r="F263" s="229">
        <v>20000</v>
      </c>
      <c r="G263">
        <v>0</v>
      </c>
      <c r="H263" s="229">
        <v>-2173000</v>
      </c>
    </row>
    <row r="264" spans="1:8" x14ac:dyDescent="0.25">
      <c r="A264">
        <v>291</v>
      </c>
      <c r="B264" t="s">
        <v>130</v>
      </c>
      <c r="C264" s="7">
        <v>43584</v>
      </c>
      <c r="D264" t="s">
        <v>912</v>
      </c>
      <c r="E264" t="s">
        <v>913</v>
      </c>
      <c r="F264" s="229">
        <v>5000</v>
      </c>
      <c r="G264">
        <v>0</v>
      </c>
      <c r="H264" s="229">
        <v>-2168000</v>
      </c>
    </row>
    <row r="265" spans="1:8" x14ac:dyDescent="0.25">
      <c r="A265">
        <v>291</v>
      </c>
      <c r="B265" t="s">
        <v>130</v>
      </c>
      <c r="C265" s="7">
        <v>43584</v>
      </c>
      <c r="D265" t="s">
        <v>914</v>
      </c>
      <c r="E265" t="s">
        <v>915</v>
      </c>
      <c r="F265" s="229">
        <v>5000</v>
      </c>
      <c r="G265">
        <v>0</v>
      </c>
      <c r="H265" s="229">
        <v>-2163000</v>
      </c>
    </row>
    <row r="266" spans="1:8" x14ac:dyDescent="0.25">
      <c r="A266">
        <v>291</v>
      </c>
      <c r="B266" t="s">
        <v>130</v>
      </c>
      <c r="C266" s="7">
        <v>43584</v>
      </c>
      <c r="D266" t="s">
        <v>916</v>
      </c>
      <c r="E266" t="s">
        <v>917</v>
      </c>
      <c r="F266" s="229">
        <v>20000</v>
      </c>
      <c r="G266">
        <v>0</v>
      </c>
      <c r="H266" s="229">
        <v>-2143000</v>
      </c>
    </row>
    <row r="267" spans="1:8" x14ac:dyDescent="0.25">
      <c r="A267">
        <v>291</v>
      </c>
      <c r="B267" t="s">
        <v>130</v>
      </c>
      <c r="C267" s="7">
        <v>43584</v>
      </c>
      <c r="D267" t="s">
        <v>918</v>
      </c>
      <c r="E267" t="s">
        <v>919</v>
      </c>
      <c r="F267" s="229">
        <v>20000</v>
      </c>
      <c r="G267">
        <v>0</v>
      </c>
      <c r="H267" s="229">
        <v>-2123000</v>
      </c>
    </row>
    <row r="268" spans="1:8" x14ac:dyDescent="0.25">
      <c r="A268">
        <v>291</v>
      </c>
      <c r="B268" t="s">
        <v>130</v>
      </c>
      <c r="C268" s="7">
        <v>43584</v>
      </c>
      <c r="D268" t="s">
        <v>920</v>
      </c>
      <c r="E268" t="s">
        <v>921</v>
      </c>
      <c r="F268" s="229">
        <v>8000</v>
      </c>
      <c r="G268">
        <v>0</v>
      </c>
      <c r="H268" s="229">
        <v>-2115000</v>
      </c>
    </row>
    <row r="269" spans="1:8" x14ac:dyDescent="0.25">
      <c r="A269">
        <v>291</v>
      </c>
      <c r="B269" t="s">
        <v>130</v>
      </c>
      <c r="C269" s="7">
        <v>43584</v>
      </c>
      <c r="D269" t="s">
        <v>922</v>
      </c>
      <c r="E269" t="s">
        <v>923</v>
      </c>
      <c r="F269" s="229">
        <v>15000</v>
      </c>
      <c r="G269">
        <v>0</v>
      </c>
      <c r="H269" s="229">
        <v>-2100000</v>
      </c>
    </row>
    <row r="270" spans="1:8" x14ac:dyDescent="0.25">
      <c r="A270">
        <v>291</v>
      </c>
      <c r="B270" t="s">
        <v>130</v>
      </c>
      <c r="C270" s="7">
        <v>43584</v>
      </c>
      <c r="D270" t="s">
        <v>924</v>
      </c>
      <c r="E270" t="s">
        <v>925</v>
      </c>
      <c r="F270" s="229">
        <v>4500</v>
      </c>
      <c r="G270">
        <v>0</v>
      </c>
      <c r="H270" s="229">
        <v>-2095500</v>
      </c>
    </row>
    <row r="271" spans="1:8" x14ac:dyDescent="0.25">
      <c r="A271">
        <v>291</v>
      </c>
      <c r="B271" t="s">
        <v>130</v>
      </c>
      <c r="C271" s="7">
        <v>43584</v>
      </c>
      <c r="D271" t="s">
        <v>926</v>
      </c>
      <c r="E271" t="s">
        <v>927</v>
      </c>
      <c r="F271" s="229">
        <v>3000</v>
      </c>
      <c r="G271">
        <v>0</v>
      </c>
      <c r="H271" s="229">
        <v>-2092500</v>
      </c>
    </row>
    <row r="272" spans="1:8" x14ac:dyDescent="0.25">
      <c r="A272">
        <v>291</v>
      </c>
      <c r="B272" t="s">
        <v>130</v>
      </c>
      <c r="C272" s="7">
        <v>43584</v>
      </c>
      <c r="D272" t="s">
        <v>928</v>
      </c>
      <c r="E272" t="s">
        <v>929</v>
      </c>
      <c r="F272" s="229">
        <v>20000</v>
      </c>
      <c r="G272">
        <v>0</v>
      </c>
      <c r="H272" s="229">
        <v>-2072500</v>
      </c>
    </row>
    <row r="273" spans="1:8" x14ac:dyDescent="0.25">
      <c r="A273">
        <v>291</v>
      </c>
      <c r="B273" t="s">
        <v>130</v>
      </c>
      <c r="C273" s="7">
        <v>43584</v>
      </c>
      <c r="D273" t="s">
        <v>930</v>
      </c>
      <c r="E273" t="s">
        <v>931</v>
      </c>
      <c r="F273" s="229">
        <v>1000</v>
      </c>
      <c r="G273">
        <v>0</v>
      </c>
      <c r="H273" s="229">
        <v>-2071500</v>
      </c>
    </row>
    <row r="274" spans="1:8" x14ac:dyDescent="0.25">
      <c r="A274">
        <v>291</v>
      </c>
      <c r="B274" t="s">
        <v>130</v>
      </c>
      <c r="C274" s="7">
        <v>43584</v>
      </c>
      <c r="D274" t="s">
        <v>932</v>
      </c>
      <c r="E274" t="s">
        <v>933</v>
      </c>
      <c r="F274" s="229">
        <v>10000</v>
      </c>
      <c r="G274">
        <v>0</v>
      </c>
      <c r="H274" s="229">
        <v>-2061500</v>
      </c>
    </row>
    <row r="275" spans="1:8" x14ac:dyDescent="0.25">
      <c r="A275">
        <v>291</v>
      </c>
      <c r="B275" t="s">
        <v>130</v>
      </c>
      <c r="C275" s="7">
        <v>43584</v>
      </c>
      <c r="D275" t="s">
        <v>934</v>
      </c>
      <c r="E275" t="s">
        <v>935</v>
      </c>
      <c r="F275" s="229">
        <v>20000</v>
      </c>
      <c r="G275">
        <v>0</v>
      </c>
      <c r="H275" s="229">
        <v>-2041500</v>
      </c>
    </row>
    <row r="276" spans="1:8" x14ac:dyDescent="0.25">
      <c r="A276">
        <v>291</v>
      </c>
      <c r="B276" t="s">
        <v>130</v>
      </c>
      <c r="C276" s="7">
        <v>43584</v>
      </c>
      <c r="D276" t="s">
        <v>936</v>
      </c>
      <c r="E276" t="s">
        <v>937</v>
      </c>
      <c r="F276" s="229">
        <v>5000</v>
      </c>
      <c r="G276">
        <v>0</v>
      </c>
      <c r="H276" s="229">
        <v>-2036500</v>
      </c>
    </row>
    <row r="277" spans="1:8" x14ac:dyDescent="0.25">
      <c r="A277">
        <v>291</v>
      </c>
      <c r="B277" t="s">
        <v>130</v>
      </c>
      <c r="C277" s="7">
        <v>43584</v>
      </c>
      <c r="D277" t="s">
        <v>938</v>
      </c>
      <c r="E277" t="s">
        <v>939</v>
      </c>
      <c r="F277" s="229">
        <v>20000</v>
      </c>
      <c r="G277">
        <v>0</v>
      </c>
      <c r="H277" s="229">
        <v>-2016500</v>
      </c>
    </row>
    <row r="278" spans="1:8" x14ac:dyDescent="0.25">
      <c r="A278">
        <v>291</v>
      </c>
      <c r="B278" t="s">
        <v>130</v>
      </c>
      <c r="C278" s="7">
        <v>43584</v>
      </c>
      <c r="D278" t="s">
        <v>940</v>
      </c>
      <c r="E278" t="s">
        <v>941</v>
      </c>
      <c r="F278" s="229">
        <v>3000</v>
      </c>
      <c r="G278">
        <v>0</v>
      </c>
      <c r="H278" s="229">
        <v>-2013500</v>
      </c>
    </row>
    <row r="279" spans="1:8" x14ac:dyDescent="0.25">
      <c r="A279">
        <v>291</v>
      </c>
      <c r="B279" t="s">
        <v>130</v>
      </c>
      <c r="C279" s="7">
        <v>43584</v>
      </c>
      <c r="D279" t="s">
        <v>942</v>
      </c>
      <c r="E279" t="s">
        <v>943</v>
      </c>
      <c r="F279" s="229">
        <v>20000</v>
      </c>
      <c r="G279">
        <v>0</v>
      </c>
      <c r="H279" s="229">
        <v>-1993500</v>
      </c>
    </row>
    <row r="280" spans="1:8" x14ac:dyDescent="0.25">
      <c r="A280">
        <v>291</v>
      </c>
      <c r="B280" t="s">
        <v>130</v>
      </c>
      <c r="C280" s="7">
        <v>43584</v>
      </c>
      <c r="D280" t="s">
        <v>944</v>
      </c>
      <c r="E280" t="s">
        <v>945</v>
      </c>
      <c r="F280" s="229">
        <v>5000</v>
      </c>
      <c r="G280">
        <v>0</v>
      </c>
      <c r="H280" s="229">
        <v>-1988500</v>
      </c>
    </row>
    <row r="281" spans="1:8" x14ac:dyDescent="0.25">
      <c r="A281">
        <v>291</v>
      </c>
      <c r="B281" t="s">
        <v>130</v>
      </c>
      <c r="C281" s="7">
        <v>43584</v>
      </c>
      <c r="D281" t="s">
        <v>946</v>
      </c>
      <c r="E281" t="s">
        <v>947</v>
      </c>
      <c r="F281" s="229">
        <v>1000</v>
      </c>
      <c r="G281">
        <v>0</v>
      </c>
      <c r="H281" s="229">
        <v>-1987500</v>
      </c>
    </row>
    <row r="282" spans="1:8" x14ac:dyDescent="0.25">
      <c r="A282">
        <v>291</v>
      </c>
      <c r="B282" t="s">
        <v>130</v>
      </c>
      <c r="C282" s="7">
        <v>43584</v>
      </c>
      <c r="D282" t="s">
        <v>948</v>
      </c>
      <c r="E282" t="s">
        <v>949</v>
      </c>
      <c r="F282" s="229">
        <v>20000</v>
      </c>
      <c r="G282">
        <v>0</v>
      </c>
      <c r="H282" s="229">
        <v>-1967500</v>
      </c>
    </row>
    <row r="283" spans="1:8" x14ac:dyDescent="0.25">
      <c r="A283">
        <v>291</v>
      </c>
      <c r="B283" t="s">
        <v>130</v>
      </c>
      <c r="C283" s="7">
        <v>43584</v>
      </c>
      <c r="D283" t="s">
        <v>950</v>
      </c>
      <c r="E283" t="s">
        <v>951</v>
      </c>
      <c r="F283" s="229">
        <v>15000</v>
      </c>
      <c r="G283">
        <v>0</v>
      </c>
      <c r="H283" s="229">
        <v>-1952500</v>
      </c>
    </row>
    <row r="284" spans="1:8" x14ac:dyDescent="0.25">
      <c r="A284">
        <v>291</v>
      </c>
      <c r="B284" t="s">
        <v>130</v>
      </c>
      <c r="C284" s="7">
        <v>43584</v>
      </c>
      <c r="D284" t="s">
        <v>952</v>
      </c>
      <c r="E284" t="s">
        <v>953</v>
      </c>
      <c r="F284" s="229">
        <v>2000</v>
      </c>
      <c r="G284">
        <v>0</v>
      </c>
      <c r="H284" s="229">
        <v>-1950500</v>
      </c>
    </row>
    <row r="285" spans="1:8" x14ac:dyDescent="0.25">
      <c r="A285">
        <v>291</v>
      </c>
      <c r="B285" t="s">
        <v>130</v>
      </c>
      <c r="C285" s="7">
        <v>43584</v>
      </c>
      <c r="D285" t="s">
        <v>954</v>
      </c>
      <c r="E285" t="s">
        <v>955</v>
      </c>
      <c r="F285" s="229">
        <v>15000</v>
      </c>
      <c r="G285">
        <v>0</v>
      </c>
      <c r="H285" s="229">
        <v>-1935500</v>
      </c>
    </row>
    <row r="286" spans="1:8" x14ac:dyDescent="0.25">
      <c r="A286">
        <v>291</v>
      </c>
      <c r="B286" t="s">
        <v>130</v>
      </c>
      <c r="C286" s="7">
        <v>43584</v>
      </c>
      <c r="D286" t="s">
        <v>956</v>
      </c>
      <c r="E286" t="s">
        <v>957</v>
      </c>
      <c r="F286" s="229">
        <v>10000</v>
      </c>
      <c r="G286">
        <v>0</v>
      </c>
      <c r="H286" s="229">
        <v>-1925500</v>
      </c>
    </row>
    <row r="287" spans="1:8" x14ac:dyDescent="0.25">
      <c r="A287">
        <v>291</v>
      </c>
      <c r="B287" t="s">
        <v>130</v>
      </c>
      <c r="C287" s="7">
        <v>43584</v>
      </c>
      <c r="D287" t="s">
        <v>958</v>
      </c>
      <c r="E287" t="s">
        <v>959</v>
      </c>
      <c r="F287" s="229">
        <v>20000</v>
      </c>
      <c r="G287">
        <v>0</v>
      </c>
      <c r="H287" s="229">
        <v>-1905500</v>
      </c>
    </row>
    <row r="288" spans="1:8" x14ac:dyDescent="0.25">
      <c r="A288">
        <v>291</v>
      </c>
      <c r="B288" t="s">
        <v>130</v>
      </c>
      <c r="C288" s="7">
        <v>43584</v>
      </c>
      <c r="D288" t="s">
        <v>960</v>
      </c>
      <c r="E288" t="s">
        <v>961</v>
      </c>
      <c r="F288" s="229">
        <v>20000</v>
      </c>
      <c r="G288">
        <v>0</v>
      </c>
      <c r="H288" s="229">
        <v>-1885500</v>
      </c>
    </row>
    <row r="289" spans="1:8" x14ac:dyDescent="0.25">
      <c r="A289">
        <v>291</v>
      </c>
      <c r="B289" t="s">
        <v>130</v>
      </c>
      <c r="C289" s="7">
        <v>43584</v>
      </c>
      <c r="D289" t="s">
        <v>962</v>
      </c>
      <c r="E289" t="s">
        <v>963</v>
      </c>
      <c r="F289" s="229">
        <v>20000</v>
      </c>
      <c r="G289">
        <v>0</v>
      </c>
      <c r="H289" s="229">
        <v>-1865500</v>
      </c>
    </row>
    <row r="290" spans="1:8" x14ac:dyDescent="0.25">
      <c r="A290">
        <v>291</v>
      </c>
      <c r="B290" t="s">
        <v>130</v>
      </c>
      <c r="C290" s="7">
        <v>43584</v>
      </c>
      <c r="D290" t="s">
        <v>964</v>
      </c>
      <c r="E290" t="s">
        <v>965</v>
      </c>
      <c r="F290" s="229">
        <v>20000</v>
      </c>
      <c r="G290">
        <v>0</v>
      </c>
      <c r="H290" s="229">
        <v>-1845500</v>
      </c>
    </row>
    <row r="291" spans="1:8" x14ac:dyDescent="0.25">
      <c r="A291">
        <v>291</v>
      </c>
      <c r="B291" t="s">
        <v>130</v>
      </c>
      <c r="C291" s="7">
        <v>43584</v>
      </c>
      <c r="D291" t="s">
        <v>966</v>
      </c>
      <c r="E291" t="s">
        <v>967</v>
      </c>
      <c r="F291" s="229">
        <v>1000</v>
      </c>
      <c r="G291">
        <v>0</v>
      </c>
      <c r="H291" s="229">
        <v>-1844500</v>
      </c>
    </row>
    <row r="292" spans="1:8" x14ac:dyDescent="0.25">
      <c r="A292">
        <v>291</v>
      </c>
      <c r="B292" t="s">
        <v>130</v>
      </c>
      <c r="C292" s="7">
        <v>43584</v>
      </c>
      <c r="D292" t="s">
        <v>968</v>
      </c>
      <c r="E292" t="s">
        <v>969</v>
      </c>
      <c r="F292" s="229">
        <v>20000</v>
      </c>
      <c r="G292">
        <v>0</v>
      </c>
      <c r="H292" s="229">
        <v>-1824500</v>
      </c>
    </row>
    <row r="293" spans="1:8" x14ac:dyDescent="0.25">
      <c r="A293">
        <v>291</v>
      </c>
      <c r="B293" t="s">
        <v>130</v>
      </c>
      <c r="C293" s="7">
        <v>43584</v>
      </c>
      <c r="D293" t="s">
        <v>970</v>
      </c>
      <c r="E293" t="s">
        <v>971</v>
      </c>
      <c r="F293" s="229">
        <v>20000</v>
      </c>
      <c r="G293">
        <v>0</v>
      </c>
      <c r="H293" s="229">
        <v>-1804500</v>
      </c>
    </row>
    <row r="294" spans="1:8" x14ac:dyDescent="0.25">
      <c r="A294">
        <v>291</v>
      </c>
      <c r="B294" t="s">
        <v>130</v>
      </c>
      <c r="C294" s="7">
        <v>43584</v>
      </c>
      <c r="D294" t="s">
        <v>972</v>
      </c>
      <c r="E294" t="s">
        <v>973</v>
      </c>
      <c r="F294" s="229">
        <v>10000</v>
      </c>
      <c r="G294">
        <v>0</v>
      </c>
      <c r="H294" s="229">
        <v>-1794500</v>
      </c>
    </row>
    <row r="295" spans="1:8" x14ac:dyDescent="0.25">
      <c r="A295">
        <v>291</v>
      </c>
      <c r="B295" t="s">
        <v>130</v>
      </c>
      <c r="C295" s="7">
        <v>43584</v>
      </c>
      <c r="D295" t="s">
        <v>974</v>
      </c>
      <c r="E295" t="s">
        <v>975</v>
      </c>
      <c r="F295" s="229">
        <v>20000</v>
      </c>
      <c r="G295">
        <v>0</v>
      </c>
      <c r="H295" s="229">
        <v>-1774500</v>
      </c>
    </row>
    <row r="296" spans="1:8" x14ac:dyDescent="0.25">
      <c r="A296">
        <v>291</v>
      </c>
      <c r="B296" t="s">
        <v>130</v>
      </c>
      <c r="C296" s="7">
        <v>43584</v>
      </c>
      <c r="D296" t="s">
        <v>976</v>
      </c>
      <c r="E296" t="s">
        <v>977</v>
      </c>
      <c r="F296" s="229">
        <v>20000</v>
      </c>
      <c r="G296">
        <v>0</v>
      </c>
      <c r="H296" s="229">
        <v>-1754500</v>
      </c>
    </row>
    <row r="297" spans="1:8" x14ac:dyDescent="0.25">
      <c r="A297">
        <v>291</v>
      </c>
      <c r="B297" t="s">
        <v>130</v>
      </c>
      <c r="C297" s="7">
        <v>43584</v>
      </c>
      <c r="D297" t="s">
        <v>978</v>
      </c>
      <c r="E297" t="s">
        <v>979</v>
      </c>
      <c r="F297" s="229">
        <v>5000</v>
      </c>
      <c r="G297">
        <v>0</v>
      </c>
      <c r="H297" s="229">
        <v>-1749500</v>
      </c>
    </row>
    <row r="298" spans="1:8" x14ac:dyDescent="0.25">
      <c r="A298">
        <v>291</v>
      </c>
      <c r="B298" t="s">
        <v>130</v>
      </c>
      <c r="C298" s="7">
        <v>43584</v>
      </c>
      <c r="D298" t="s">
        <v>980</v>
      </c>
      <c r="E298" t="s">
        <v>981</v>
      </c>
      <c r="F298" s="229">
        <v>20000</v>
      </c>
      <c r="G298">
        <v>0</v>
      </c>
      <c r="H298" s="229">
        <v>-1729500</v>
      </c>
    </row>
    <row r="299" spans="1:8" x14ac:dyDescent="0.25">
      <c r="A299">
        <v>291</v>
      </c>
      <c r="B299" t="s">
        <v>130</v>
      </c>
      <c r="C299" s="7">
        <v>43584</v>
      </c>
      <c r="D299" t="s">
        <v>982</v>
      </c>
      <c r="E299" t="s">
        <v>983</v>
      </c>
      <c r="F299" s="229">
        <v>20000</v>
      </c>
      <c r="G299">
        <v>0</v>
      </c>
      <c r="H299" s="229">
        <v>-1709500</v>
      </c>
    </row>
    <row r="300" spans="1:8" x14ac:dyDescent="0.25">
      <c r="A300">
        <v>291</v>
      </c>
      <c r="B300" t="s">
        <v>130</v>
      </c>
      <c r="C300" s="7">
        <v>43584</v>
      </c>
      <c r="D300" t="s">
        <v>984</v>
      </c>
      <c r="E300" t="s">
        <v>985</v>
      </c>
      <c r="F300" s="229">
        <v>10000</v>
      </c>
      <c r="G300">
        <v>0</v>
      </c>
      <c r="H300" s="229">
        <v>-1699500</v>
      </c>
    </row>
    <row r="301" spans="1:8" x14ac:dyDescent="0.25">
      <c r="A301">
        <v>291</v>
      </c>
      <c r="B301" t="s">
        <v>130</v>
      </c>
      <c r="C301" s="7">
        <v>43584</v>
      </c>
      <c r="D301" t="s">
        <v>986</v>
      </c>
      <c r="E301" t="s">
        <v>987</v>
      </c>
      <c r="F301" s="229">
        <v>20000</v>
      </c>
      <c r="G301">
        <v>0</v>
      </c>
      <c r="H301" s="229">
        <v>-1679500</v>
      </c>
    </row>
    <row r="302" spans="1:8" x14ac:dyDescent="0.25">
      <c r="A302">
        <v>291</v>
      </c>
      <c r="B302" t="s">
        <v>130</v>
      </c>
      <c r="C302" s="7">
        <v>43584</v>
      </c>
      <c r="D302" t="s">
        <v>988</v>
      </c>
      <c r="E302" t="s">
        <v>989</v>
      </c>
      <c r="F302" s="229">
        <v>20000</v>
      </c>
      <c r="G302">
        <v>0</v>
      </c>
      <c r="H302" s="229">
        <v>-1659500</v>
      </c>
    </row>
    <row r="303" spans="1:8" x14ac:dyDescent="0.25">
      <c r="A303">
        <v>291</v>
      </c>
      <c r="B303" t="s">
        <v>130</v>
      </c>
      <c r="C303" s="7">
        <v>43584</v>
      </c>
      <c r="D303" t="s">
        <v>990</v>
      </c>
      <c r="E303" t="s">
        <v>991</v>
      </c>
      <c r="F303">
        <v>500</v>
      </c>
      <c r="G303">
        <v>0</v>
      </c>
      <c r="H303" s="229">
        <v>-1659000</v>
      </c>
    </row>
    <row r="304" spans="1:8" x14ac:dyDescent="0.25">
      <c r="A304">
        <v>291</v>
      </c>
      <c r="B304" t="s">
        <v>130</v>
      </c>
      <c r="C304" s="7">
        <v>43584</v>
      </c>
      <c r="D304" t="s">
        <v>992</v>
      </c>
      <c r="E304" t="s">
        <v>993</v>
      </c>
      <c r="F304" s="229">
        <v>5000</v>
      </c>
      <c r="G304">
        <v>0</v>
      </c>
      <c r="H304" s="229">
        <v>-1654000</v>
      </c>
    </row>
    <row r="305" spans="1:8" x14ac:dyDescent="0.25">
      <c r="A305">
        <v>291</v>
      </c>
      <c r="B305" t="s">
        <v>130</v>
      </c>
      <c r="C305" s="7">
        <v>43584</v>
      </c>
      <c r="D305" t="s">
        <v>994</v>
      </c>
      <c r="E305" t="s">
        <v>995</v>
      </c>
      <c r="F305" s="229">
        <v>5000</v>
      </c>
      <c r="G305">
        <v>0</v>
      </c>
      <c r="H305" s="229">
        <v>-1649000</v>
      </c>
    </row>
    <row r="306" spans="1:8" x14ac:dyDescent="0.25">
      <c r="A306">
        <v>291</v>
      </c>
      <c r="B306" t="s">
        <v>130</v>
      </c>
      <c r="C306" s="7">
        <v>43584</v>
      </c>
      <c r="D306" t="s">
        <v>996</v>
      </c>
      <c r="E306" t="s">
        <v>997</v>
      </c>
      <c r="F306" s="229">
        <v>20000</v>
      </c>
      <c r="G306">
        <v>0</v>
      </c>
      <c r="H306" s="229">
        <v>-1629000</v>
      </c>
    </row>
    <row r="307" spans="1:8" x14ac:dyDescent="0.25">
      <c r="A307">
        <v>291</v>
      </c>
      <c r="B307" t="s">
        <v>130</v>
      </c>
      <c r="C307" s="7">
        <v>43584</v>
      </c>
      <c r="D307" t="s">
        <v>998</v>
      </c>
      <c r="E307" t="s">
        <v>999</v>
      </c>
      <c r="F307" s="229">
        <v>5000</v>
      </c>
      <c r="G307">
        <v>0</v>
      </c>
      <c r="H307" s="229">
        <v>-1624000</v>
      </c>
    </row>
    <row r="308" spans="1:8" x14ac:dyDescent="0.25">
      <c r="A308">
        <v>291</v>
      </c>
      <c r="B308" t="s">
        <v>130</v>
      </c>
      <c r="C308" s="7">
        <v>43584</v>
      </c>
      <c r="D308" t="s">
        <v>1000</v>
      </c>
      <c r="E308" t="s">
        <v>1001</v>
      </c>
      <c r="F308" s="229">
        <v>1000</v>
      </c>
      <c r="G308">
        <v>0</v>
      </c>
      <c r="H308" s="229">
        <v>-1623000</v>
      </c>
    </row>
    <row r="309" spans="1:8" x14ac:dyDescent="0.25">
      <c r="A309">
        <v>291</v>
      </c>
      <c r="B309" t="s">
        <v>130</v>
      </c>
      <c r="C309" s="7">
        <v>43584</v>
      </c>
      <c r="D309" t="s">
        <v>1002</v>
      </c>
      <c r="E309" t="s">
        <v>1003</v>
      </c>
      <c r="F309" s="229">
        <v>20000</v>
      </c>
      <c r="G309">
        <v>0</v>
      </c>
      <c r="H309" s="229">
        <v>-1603000</v>
      </c>
    </row>
    <row r="310" spans="1:8" x14ac:dyDescent="0.25">
      <c r="A310">
        <v>291</v>
      </c>
      <c r="B310" t="s">
        <v>130</v>
      </c>
      <c r="C310" s="7">
        <v>43584</v>
      </c>
      <c r="D310" t="s">
        <v>1004</v>
      </c>
      <c r="E310" t="s">
        <v>1005</v>
      </c>
      <c r="F310" s="229">
        <v>20000</v>
      </c>
      <c r="G310">
        <v>0</v>
      </c>
      <c r="H310" s="229">
        <v>-1583000</v>
      </c>
    </row>
    <row r="311" spans="1:8" x14ac:dyDescent="0.25">
      <c r="A311">
        <v>291</v>
      </c>
      <c r="B311" t="s">
        <v>130</v>
      </c>
      <c r="C311" s="7">
        <v>43584</v>
      </c>
      <c r="D311" t="s">
        <v>1006</v>
      </c>
      <c r="E311" t="s">
        <v>1007</v>
      </c>
      <c r="F311" s="229">
        <v>5000</v>
      </c>
      <c r="G311">
        <v>0</v>
      </c>
      <c r="H311" s="229">
        <v>-1578000</v>
      </c>
    </row>
    <row r="312" spans="1:8" x14ac:dyDescent="0.25">
      <c r="A312">
        <v>291</v>
      </c>
      <c r="B312" t="s">
        <v>130</v>
      </c>
      <c r="C312" s="7">
        <v>43584</v>
      </c>
      <c r="D312" t="s">
        <v>1008</v>
      </c>
      <c r="E312" t="s">
        <v>1009</v>
      </c>
      <c r="F312" s="229">
        <v>20000</v>
      </c>
      <c r="G312">
        <v>0</v>
      </c>
      <c r="H312" s="229">
        <v>-1558000</v>
      </c>
    </row>
    <row r="313" spans="1:8" x14ac:dyDescent="0.25">
      <c r="A313">
        <v>291</v>
      </c>
      <c r="B313" t="s">
        <v>130</v>
      </c>
      <c r="C313" s="7">
        <v>43584</v>
      </c>
      <c r="D313" t="s">
        <v>1010</v>
      </c>
      <c r="E313" t="s">
        <v>1011</v>
      </c>
      <c r="F313" s="229">
        <v>7000</v>
      </c>
      <c r="G313">
        <v>0</v>
      </c>
      <c r="H313" s="229">
        <v>-1551000</v>
      </c>
    </row>
    <row r="314" spans="1:8" x14ac:dyDescent="0.25">
      <c r="A314">
        <v>291</v>
      </c>
      <c r="B314" t="s">
        <v>130</v>
      </c>
      <c r="C314" s="7">
        <v>43584</v>
      </c>
      <c r="D314" t="s">
        <v>1012</v>
      </c>
      <c r="E314" t="s">
        <v>1013</v>
      </c>
      <c r="F314" s="229">
        <v>10000</v>
      </c>
      <c r="G314">
        <v>0</v>
      </c>
      <c r="H314" s="229">
        <v>-1541000</v>
      </c>
    </row>
    <row r="315" spans="1:8" x14ac:dyDescent="0.25">
      <c r="A315">
        <v>291</v>
      </c>
      <c r="B315" t="s">
        <v>130</v>
      </c>
      <c r="C315" s="7">
        <v>43584</v>
      </c>
      <c r="D315" t="s">
        <v>1014</v>
      </c>
      <c r="E315" t="s">
        <v>1015</v>
      </c>
      <c r="F315" s="229">
        <v>20000</v>
      </c>
      <c r="G315">
        <v>0</v>
      </c>
      <c r="H315" s="229">
        <v>-1521000</v>
      </c>
    </row>
    <row r="316" spans="1:8" x14ac:dyDescent="0.25">
      <c r="A316">
        <v>291</v>
      </c>
      <c r="B316" t="s">
        <v>130</v>
      </c>
      <c r="C316" s="7">
        <v>43584</v>
      </c>
      <c r="D316" t="s">
        <v>1016</v>
      </c>
      <c r="E316" t="s">
        <v>1017</v>
      </c>
      <c r="F316" s="229">
        <v>5500</v>
      </c>
      <c r="G316">
        <v>0</v>
      </c>
      <c r="H316" s="229">
        <v>-1515500</v>
      </c>
    </row>
    <row r="317" spans="1:8" x14ac:dyDescent="0.25">
      <c r="A317">
        <v>291</v>
      </c>
      <c r="B317" t="s">
        <v>130</v>
      </c>
      <c r="C317" s="7">
        <v>43584</v>
      </c>
      <c r="D317" t="s">
        <v>1018</v>
      </c>
      <c r="E317" t="s">
        <v>1019</v>
      </c>
      <c r="F317" s="229">
        <v>20000</v>
      </c>
      <c r="G317">
        <v>0</v>
      </c>
      <c r="H317" s="229">
        <v>-1495500</v>
      </c>
    </row>
    <row r="318" spans="1:8" x14ac:dyDescent="0.25">
      <c r="A318">
        <v>291</v>
      </c>
      <c r="B318" t="s">
        <v>130</v>
      </c>
      <c r="C318" s="7">
        <v>43584</v>
      </c>
      <c r="D318" t="s">
        <v>1020</v>
      </c>
      <c r="E318" t="s">
        <v>1021</v>
      </c>
      <c r="F318" s="229">
        <v>40000</v>
      </c>
      <c r="G318">
        <v>0</v>
      </c>
      <c r="H318" s="229">
        <v>-1455500</v>
      </c>
    </row>
    <row r="319" spans="1:8" x14ac:dyDescent="0.25">
      <c r="A319">
        <v>291</v>
      </c>
      <c r="B319" t="s">
        <v>130</v>
      </c>
      <c r="C319" s="7">
        <v>43584</v>
      </c>
      <c r="D319" t="s">
        <v>1022</v>
      </c>
      <c r="E319" t="s">
        <v>1023</v>
      </c>
      <c r="F319" s="229">
        <v>20000</v>
      </c>
      <c r="G319">
        <v>0</v>
      </c>
      <c r="H319" s="229">
        <v>-1435500</v>
      </c>
    </row>
    <row r="320" spans="1:8" x14ac:dyDescent="0.25">
      <c r="A320">
        <v>291</v>
      </c>
      <c r="B320" t="s">
        <v>130</v>
      </c>
      <c r="C320" s="7">
        <v>43584</v>
      </c>
      <c r="D320" t="s">
        <v>1024</v>
      </c>
      <c r="E320" t="s">
        <v>1025</v>
      </c>
      <c r="F320" s="229">
        <v>20000</v>
      </c>
      <c r="G320">
        <v>0</v>
      </c>
      <c r="H320" s="229">
        <v>-1415500</v>
      </c>
    </row>
    <row r="321" spans="1:8" x14ac:dyDescent="0.25">
      <c r="A321">
        <v>291</v>
      </c>
      <c r="B321" t="s">
        <v>130</v>
      </c>
      <c r="C321" s="7">
        <v>43584</v>
      </c>
      <c r="D321" t="s">
        <v>1026</v>
      </c>
      <c r="E321" t="s">
        <v>1027</v>
      </c>
      <c r="F321" s="229">
        <v>5000</v>
      </c>
      <c r="G321">
        <v>0</v>
      </c>
      <c r="H321" s="229">
        <v>-1410500</v>
      </c>
    </row>
    <row r="322" spans="1:8" x14ac:dyDescent="0.25">
      <c r="A322">
        <v>291</v>
      </c>
      <c r="B322" t="s">
        <v>130</v>
      </c>
      <c r="C322" s="7">
        <v>43584</v>
      </c>
      <c r="D322" t="s">
        <v>1028</v>
      </c>
      <c r="E322" t="s">
        <v>1029</v>
      </c>
      <c r="F322" s="229">
        <v>3000</v>
      </c>
      <c r="G322">
        <v>0</v>
      </c>
      <c r="H322" s="229">
        <v>-1407500</v>
      </c>
    </row>
    <row r="323" spans="1:8" x14ac:dyDescent="0.25">
      <c r="A323">
        <v>291</v>
      </c>
      <c r="B323" t="s">
        <v>130</v>
      </c>
      <c r="C323" s="7">
        <v>43584</v>
      </c>
      <c r="D323" t="s">
        <v>1030</v>
      </c>
      <c r="E323" t="s">
        <v>1031</v>
      </c>
      <c r="F323" s="229">
        <v>1500</v>
      </c>
      <c r="G323">
        <v>0</v>
      </c>
      <c r="H323" s="229">
        <v>-1406000</v>
      </c>
    </row>
    <row r="324" spans="1:8" x14ac:dyDescent="0.25">
      <c r="A324">
        <v>291</v>
      </c>
      <c r="B324" t="s">
        <v>130</v>
      </c>
      <c r="C324" s="7">
        <v>43584</v>
      </c>
      <c r="D324" t="s">
        <v>1032</v>
      </c>
      <c r="E324" t="s">
        <v>1033</v>
      </c>
      <c r="F324" s="229">
        <v>3000</v>
      </c>
      <c r="G324">
        <v>0</v>
      </c>
      <c r="H324" s="229">
        <v>-1403000</v>
      </c>
    </row>
    <row r="325" spans="1:8" x14ac:dyDescent="0.25">
      <c r="A325">
        <v>291</v>
      </c>
      <c r="B325" t="s">
        <v>130</v>
      </c>
      <c r="C325" s="7">
        <v>43584</v>
      </c>
      <c r="D325" t="s">
        <v>1034</v>
      </c>
      <c r="E325" t="s">
        <v>1035</v>
      </c>
      <c r="F325" s="229">
        <v>1000</v>
      </c>
      <c r="G325">
        <v>0</v>
      </c>
      <c r="H325" s="229">
        <v>-1402000</v>
      </c>
    </row>
    <row r="326" spans="1:8" x14ac:dyDescent="0.25">
      <c r="A326">
        <v>291</v>
      </c>
      <c r="B326" t="s">
        <v>130</v>
      </c>
      <c r="C326" s="7">
        <v>43584</v>
      </c>
      <c r="D326" t="s">
        <v>1036</v>
      </c>
      <c r="E326" t="s">
        <v>1037</v>
      </c>
      <c r="F326" s="229">
        <v>20000</v>
      </c>
      <c r="G326">
        <v>0</v>
      </c>
      <c r="H326" s="229">
        <v>-1382000</v>
      </c>
    </row>
    <row r="327" spans="1:8" x14ac:dyDescent="0.25">
      <c r="A327">
        <v>291</v>
      </c>
      <c r="B327" t="s">
        <v>130</v>
      </c>
      <c r="C327" s="7">
        <v>43584</v>
      </c>
      <c r="D327" t="s">
        <v>1038</v>
      </c>
      <c r="E327" t="s">
        <v>1039</v>
      </c>
      <c r="F327" s="229">
        <v>4000</v>
      </c>
      <c r="G327">
        <v>0</v>
      </c>
      <c r="H327" s="229">
        <v>-1378000</v>
      </c>
    </row>
    <row r="328" spans="1:8" x14ac:dyDescent="0.25">
      <c r="A328">
        <v>291</v>
      </c>
      <c r="B328" t="s">
        <v>130</v>
      </c>
      <c r="C328" s="7">
        <v>43584</v>
      </c>
      <c r="D328" t="s">
        <v>1040</v>
      </c>
      <c r="E328" t="s">
        <v>1041</v>
      </c>
      <c r="F328" s="229">
        <v>5000</v>
      </c>
      <c r="G328">
        <v>0</v>
      </c>
      <c r="H328" s="229">
        <v>-1373000</v>
      </c>
    </row>
    <row r="329" spans="1:8" x14ac:dyDescent="0.25">
      <c r="A329">
        <v>291</v>
      </c>
      <c r="B329" t="s">
        <v>130</v>
      </c>
      <c r="C329" s="7">
        <v>43584</v>
      </c>
      <c r="D329" t="s">
        <v>1042</v>
      </c>
      <c r="E329" t="s">
        <v>1043</v>
      </c>
      <c r="F329" s="229">
        <v>5000</v>
      </c>
      <c r="G329">
        <v>0</v>
      </c>
      <c r="H329" s="229">
        <v>-1368000</v>
      </c>
    </row>
    <row r="330" spans="1:8" x14ac:dyDescent="0.25">
      <c r="A330">
        <v>291</v>
      </c>
      <c r="B330" t="s">
        <v>130</v>
      </c>
      <c r="C330" s="7">
        <v>43584</v>
      </c>
      <c r="D330" t="s">
        <v>1044</v>
      </c>
      <c r="E330" t="s">
        <v>1045</v>
      </c>
      <c r="F330" s="229">
        <v>20000</v>
      </c>
      <c r="G330">
        <v>0</v>
      </c>
      <c r="H330" s="229">
        <v>-1348000</v>
      </c>
    </row>
    <row r="331" spans="1:8" x14ac:dyDescent="0.25">
      <c r="A331">
        <v>291</v>
      </c>
      <c r="B331" t="s">
        <v>130</v>
      </c>
      <c r="C331" s="7">
        <v>43584</v>
      </c>
      <c r="D331" t="s">
        <v>1046</v>
      </c>
      <c r="E331" t="s">
        <v>1047</v>
      </c>
      <c r="F331" s="229">
        <v>20000</v>
      </c>
      <c r="G331">
        <v>0</v>
      </c>
      <c r="H331" s="229">
        <v>-1328000</v>
      </c>
    </row>
    <row r="332" spans="1:8" x14ac:dyDescent="0.25">
      <c r="A332">
        <v>291</v>
      </c>
      <c r="B332" t="s">
        <v>130</v>
      </c>
      <c r="C332" s="7">
        <v>43584</v>
      </c>
      <c r="D332" t="s">
        <v>1048</v>
      </c>
      <c r="E332" t="s">
        <v>1049</v>
      </c>
      <c r="F332" s="229">
        <v>20000</v>
      </c>
      <c r="G332">
        <v>0</v>
      </c>
      <c r="H332" s="229">
        <v>-1308000</v>
      </c>
    </row>
    <row r="333" spans="1:8" x14ac:dyDescent="0.25">
      <c r="A333">
        <v>291</v>
      </c>
      <c r="B333" t="s">
        <v>130</v>
      </c>
      <c r="C333" s="7">
        <v>43584</v>
      </c>
      <c r="D333" t="s">
        <v>1050</v>
      </c>
      <c r="E333" t="s">
        <v>1051</v>
      </c>
      <c r="F333" s="229">
        <v>9000</v>
      </c>
      <c r="G333">
        <v>0</v>
      </c>
      <c r="H333" s="229">
        <v>-1299000</v>
      </c>
    </row>
    <row r="334" spans="1:8" x14ac:dyDescent="0.25">
      <c r="A334">
        <v>291</v>
      </c>
      <c r="B334" t="s">
        <v>130</v>
      </c>
      <c r="C334" s="7">
        <v>43584</v>
      </c>
      <c r="D334" t="s">
        <v>1052</v>
      </c>
      <c r="E334" t="s">
        <v>1053</v>
      </c>
      <c r="F334" s="229">
        <v>1000</v>
      </c>
      <c r="G334">
        <v>0</v>
      </c>
      <c r="H334" s="229">
        <v>-1298000</v>
      </c>
    </row>
    <row r="335" spans="1:8" x14ac:dyDescent="0.25">
      <c r="A335">
        <v>291</v>
      </c>
      <c r="B335" t="s">
        <v>130</v>
      </c>
      <c r="C335" s="7">
        <v>43584</v>
      </c>
      <c r="D335" t="s">
        <v>1054</v>
      </c>
      <c r="E335" t="s">
        <v>1055</v>
      </c>
      <c r="F335" s="229">
        <v>1000</v>
      </c>
      <c r="G335">
        <v>0</v>
      </c>
      <c r="H335" s="229">
        <v>-1297000</v>
      </c>
    </row>
    <row r="336" spans="1:8" x14ac:dyDescent="0.25">
      <c r="A336">
        <v>291</v>
      </c>
      <c r="B336" t="s">
        <v>130</v>
      </c>
      <c r="C336" s="7">
        <v>43584</v>
      </c>
      <c r="D336" t="s">
        <v>1056</v>
      </c>
      <c r="E336" t="s">
        <v>1057</v>
      </c>
      <c r="F336" s="229">
        <v>-20000</v>
      </c>
      <c r="G336">
        <v>0</v>
      </c>
      <c r="H336" s="229">
        <v>-1317000</v>
      </c>
    </row>
    <row r="337" spans="1:8" x14ac:dyDescent="0.25">
      <c r="A337">
        <v>291</v>
      </c>
      <c r="B337" t="s">
        <v>130</v>
      </c>
      <c r="C337" s="7">
        <v>43584</v>
      </c>
      <c r="D337" t="s">
        <v>1058</v>
      </c>
      <c r="E337" t="s">
        <v>1059</v>
      </c>
      <c r="F337" s="229">
        <v>2000</v>
      </c>
      <c r="G337">
        <v>0</v>
      </c>
      <c r="H337" s="229">
        <v>-1315000</v>
      </c>
    </row>
    <row r="338" spans="1:8" x14ac:dyDescent="0.25">
      <c r="A338">
        <v>291</v>
      </c>
      <c r="B338" t="s">
        <v>130</v>
      </c>
      <c r="C338" s="7">
        <v>43584</v>
      </c>
      <c r="D338" t="s">
        <v>1060</v>
      </c>
      <c r="E338" t="s">
        <v>1061</v>
      </c>
      <c r="F338" s="229">
        <v>12000</v>
      </c>
      <c r="G338">
        <v>0</v>
      </c>
      <c r="H338" s="229">
        <v>-1303000</v>
      </c>
    </row>
    <row r="339" spans="1:8" x14ac:dyDescent="0.25">
      <c r="A339">
        <v>291</v>
      </c>
      <c r="B339" t="s">
        <v>130</v>
      </c>
      <c r="C339" s="7">
        <v>43584</v>
      </c>
      <c r="D339" t="s">
        <v>1062</v>
      </c>
      <c r="E339" t="s">
        <v>1063</v>
      </c>
      <c r="F339" s="229">
        <v>10000</v>
      </c>
      <c r="G339">
        <v>0</v>
      </c>
      <c r="H339" s="229">
        <v>-1293000</v>
      </c>
    </row>
    <row r="340" spans="1:8" x14ac:dyDescent="0.25">
      <c r="A340">
        <v>291</v>
      </c>
      <c r="B340" t="s">
        <v>130</v>
      </c>
      <c r="C340" s="7">
        <v>43584</v>
      </c>
      <c r="D340" t="s">
        <v>1064</v>
      </c>
      <c r="E340" t="s">
        <v>1065</v>
      </c>
      <c r="F340" s="229">
        <v>1500</v>
      </c>
      <c r="G340">
        <v>0</v>
      </c>
      <c r="H340" s="229">
        <v>-1291500</v>
      </c>
    </row>
    <row r="341" spans="1:8" x14ac:dyDescent="0.25">
      <c r="A341">
        <v>291</v>
      </c>
      <c r="B341" t="s">
        <v>130</v>
      </c>
      <c r="C341" s="7">
        <v>43584</v>
      </c>
      <c r="D341" t="s">
        <v>1066</v>
      </c>
      <c r="E341" t="s">
        <v>1067</v>
      </c>
      <c r="F341" s="229">
        <v>4000</v>
      </c>
      <c r="G341">
        <v>0</v>
      </c>
      <c r="H341" s="229">
        <v>-1287500</v>
      </c>
    </row>
    <row r="342" spans="1:8" x14ac:dyDescent="0.25">
      <c r="A342">
        <v>291</v>
      </c>
      <c r="B342" t="s">
        <v>130</v>
      </c>
      <c r="C342" s="7">
        <v>43584</v>
      </c>
      <c r="D342" t="s">
        <v>1068</v>
      </c>
      <c r="E342" t="s">
        <v>1069</v>
      </c>
      <c r="F342" s="229">
        <v>20000</v>
      </c>
      <c r="G342">
        <v>0</v>
      </c>
      <c r="H342" s="229">
        <v>-1267500</v>
      </c>
    </row>
    <row r="343" spans="1:8" x14ac:dyDescent="0.25">
      <c r="A343">
        <v>291</v>
      </c>
      <c r="B343" t="s">
        <v>130</v>
      </c>
      <c r="C343" s="7">
        <v>43584</v>
      </c>
      <c r="D343" t="s">
        <v>1070</v>
      </c>
      <c r="E343" t="s">
        <v>1071</v>
      </c>
      <c r="F343" s="229">
        <v>20000</v>
      </c>
      <c r="G343">
        <v>0</v>
      </c>
      <c r="H343" s="229">
        <v>-1247500</v>
      </c>
    </row>
    <row r="344" spans="1:8" x14ac:dyDescent="0.25">
      <c r="A344">
        <v>291</v>
      </c>
      <c r="B344" t="s">
        <v>130</v>
      </c>
      <c r="C344" s="7">
        <v>43584</v>
      </c>
      <c r="D344" t="s">
        <v>1072</v>
      </c>
      <c r="E344" t="s">
        <v>1073</v>
      </c>
      <c r="F344" s="229">
        <v>10000</v>
      </c>
      <c r="G344">
        <v>0</v>
      </c>
      <c r="H344" s="229">
        <v>-1237500</v>
      </c>
    </row>
    <row r="345" spans="1:8" x14ac:dyDescent="0.25">
      <c r="A345">
        <v>291</v>
      </c>
      <c r="B345" t="s">
        <v>130</v>
      </c>
      <c r="C345" s="7">
        <v>43584</v>
      </c>
      <c r="D345" t="s">
        <v>1074</v>
      </c>
      <c r="E345" t="s">
        <v>1075</v>
      </c>
      <c r="F345" s="229">
        <v>10000</v>
      </c>
      <c r="G345">
        <v>0</v>
      </c>
      <c r="H345" s="229">
        <v>-1227500</v>
      </c>
    </row>
    <row r="346" spans="1:8" x14ac:dyDescent="0.25">
      <c r="A346">
        <v>291</v>
      </c>
      <c r="B346" t="s">
        <v>130</v>
      </c>
      <c r="C346" s="7">
        <v>43584</v>
      </c>
      <c r="D346" t="s">
        <v>1076</v>
      </c>
      <c r="E346" t="s">
        <v>1077</v>
      </c>
      <c r="F346" s="229">
        <v>20000</v>
      </c>
      <c r="G346">
        <v>0</v>
      </c>
      <c r="H346" s="229">
        <v>-1207500</v>
      </c>
    </row>
    <row r="347" spans="1:8" x14ac:dyDescent="0.25">
      <c r="A347">
        <v>291</v>
      </c>
      <c r="B347" t="s">
        <v>130</v>
      </c>
      <c r="C347" s="7">
        <v>43584</v>
      </c>
      <c r="D347" t="s">
        <v>1078</v>
      </c>
      <c r="E347" t="s">
        <v>1079</v>
      </c>
      <c r="F347" s="229">
        <v>20000</v>
      </c>
      <c r="G347">
        <v>0</v>
      </c>
      <c r="H347" s="229">
        <v>-1187500</v>
      </c>
    </row>
    <row r="348" spans="1:8" x14ac:dyDescent="0.25">
      <c r="A348">
        <v>291</v>
      </c>
      <c r="B348" t="s">
        <v>130</v>
      </c>
      <c r="C348" s="7">
        <v>43584</v>
      </c>
      <c r="D348" t="s">
        <v>1080</v>
      </c>
      <c r="E348" t="s">
        <v>1081</v>
      </c>
      <c r="F348" s="229">
        <v>4000</v>
      </c>
      <c r="G348">
        <v>0</v>
      </c>
      <c r="H348" s="229">
        <v>-1183500</v>
      </c>
    </row>
    <row r="349" spans="1:8" x14ac:dyDescent="0.25">
      <c r="A349">
        <v>291</v>
      </c>
      <c r="B349" t="s">
        <v>130</v>
      </c>
      <c r="C349" s="7">
        <v>43584</v>
      </c>
      <c r="D349" t="s">
        <v>1082</v>
      </c>
      <c r="E349" t="s">
        <v>1083</v>
      </c>
      <c r="F349" s="229">
        <v>20000</v>
      </c>
      <c r="G349">
        <v>0</v>
      </c>
      <c r="H349" s="229">
        <v>-1163500</v>
      </c>
    </row>
    <row r="350" spans="1:8" x14ac:dyDescent="0.25">
      <c r="A350">
        <v>291</v>
      </c>
      <c r="B350" t="s">
        <v>130</v>
      </c>
      <c r="C350" s="7">
        <v>43584</v>
      </c>
      <c r="D350" t="s">
        <v>1084</v>
      </c>
      <c r="E350" t="s">
        <v>1085</v>
      </c>
      <c r="F350" s="229">
        <v>20000</v>
      </c>
      <c r="G350">
        <v>0</v>
      </c>
      <c r="H350" s="229">
        <v>-1143500</v>
      </c>
    </row>
    <row r="351" spans="1:8" x14ac:dyDescent="0.25">
      <c r="A351">
        <v>291</v>
      </c>
      <c r="B351" t="s">
        <v>130</v>
      </c>
      <c r="C351" s="7">
        <v>43584</v>
      </c>
      <c r="D351" t="s">
        <v>1086</v>
      </c>
      <c r="E351" t="s">
        <v>1087</v>
      </c>
      <c r="F351" s="229">
        <v>6000</v>
      </c>
      <c r="G351">
        <v>0</v>
      </c>
      <c r="H351" s="229">
        <v>-1137500</v>
      </c>
    </row>
    <row r="352" spans="1:8" x14ac:dyDescent="0.25">
      <c r="A352">
        <v>291</v>
      </c>
      <c r="B352" t="s">
        <v>130</v>
      </c>
      <c r="C352" s="7">
        <v>43584</v>
      </c>
      <c r="D352" t="s">
        <v>1088</v>
      </c>
      <c r="E352" t="s">
        <v>1089</v>
      </c>
      <c r="F352" s="229">
        <v>20000</v>
      </c>
      <c r="G352">
        <v>0</v>
      </c>
      <c r="H352" s="229">
        <v>-1117500</v>
      </c>
    </row>
    <row r="353" spans="1:8" x14ac:dyDescent="0.25">
      <c r="A353">
        <v>291</v>
      </c>
      <c r="B353" t="s">
        <v>130</v>
      </c>
      <c r="C353" s="7">
        <v>43584</v>
      </c>
      <c r="D353" t="s">
        <v>1090</v>
      </c>
      <c r="E353" t="s">
        <v>1091</v>
      </c>
      <c r="F353" s="229">
        <v>10000</v>
      </c>
      <c r="G353">
        <v>0</v>
      </c>
      <c r="H353" s="229">
        <v>-1107500</v>
      </c>
    </row>
    <row r="354" spans="1:8" x14ac:dyDescent="0.25">
      <c r="A354">
        <v>291</v>
      </c>
      <c r="B354" t="s">
        <v>130</v>
      </c>
      <c r="C354" s="7">
        <v>43584</v>
      </c>
      <c r="D354" t="s">
        <v>1092</v>
      </c>
      <c r="E354" t="s">
        <v>1093</v>
      </c>
      <c r="F354" s="229">
        <v>15000</v>
      </c>
      <c r="G354">
        <v>0</v>
      </c>
      <c r="H354" s="229">
        <v>-1092500</v>
      </c>
    </row>
    <row r="355" spans="1:8" x14ac:dyDescent="0.25">
      <c r="A355">
        <v>291</v>
      </c>
      <c r="B355" t="s">
        <v>130</v>
      </c>
      <c r="C355" s="7">
        <v>43584</v>
      </c>
      <c r="D355" t="s">
        <v>1094</v>
      </c>
      <c r="E355" t="s">
        <v>1095</v>
      </c>
      <c r="F355" s="229">
        <v>20000</v>
      </c>
      <c r="G355">
        <v>0</v>
      </c>
      <c r="H355" s="229">
        <v>-1072500</v>
      </c>
    </row>
    <row r="356" spans="1:8" x14ac:dyDescent="0.25">
      <c r="A356">
        <v>291</v>
      </c>
      <c r="B356" t="s">
        <v>130</v>
      </c>
      <c r="C356" s="7">
        <v>43584</v>
      </c>
      <c r="D356" t="s">
        <v>1096</v>
      </c>
      <c r="E356" t="s">
        <v>1097</v>
      </c>
      <c r="F356" s="229">
        <v>20000</v>
      </c>
      <c r="G356">
        <v>0</v>
      </c>
      <c r="H356" s="229">
        <v>-1052500</v>
      </c>
    </row>
    <row r="357" spans="1:8" x14ac:dyDescent="0.25">
      <c r="A357">
        <v>291</v>
      </c>
      <c r="B357" t="s">
        <v>130</v>
      </c>
      <c r="C357" s="7">
        <v>43584</v>
      </c>
      <c r="D357" t="s">
        <v>1098</v>
      </c>
      <c r="E357" t="s">
        <v>1099</v>
      </c>
      <c r="F357" s="229">
        <v>2000</v>
      </c>
      <c r="G357">
        <v>0</v>
      </c>
      <c r="H357" s="229">
        <v>-1050500</v>
      </c>
    </row>
    <row r="358" spans="1:8" x14ac:dyDescent="0.25">
      <c r="A358">
        <v>291</v>
      </c>
      <c r="B358" t="s">
        <v>130</v>
      </c>
      <c r="C358" s="7">
        <v>43584</v>
      </c>
      <c r="D358" t="s">
        <v>1100</v>
      </c>
      <c r="E358" t="s">
        <v>1101</v>
      </c>
      <c r="F358" s="229">
        <v>15000</v>
      </c>
      <c r="G358">
        <v>0</v>
      </c>
      <c r="H358" s="229">
        <v>-1035500</v>
      </c>
    </row>
    <row r="359" spans="1:8" x14ac:dyDescent="0.25">
      <c r="A359">
        <v>291</v>
      </c>
      <c r="B359" t="s">
        <v>130</v>
      </c>
      <c r="C359" s="7">
        <v>43584</v>
      </c>
      <c r="D359" t="s">
        <v>1102</v>
      </c>
      <c r="E359" t="s">
        <v>1103</v>
      </c>
      <c r="F359" s="229">
        <v>20000</v>
      </c>
      <c r="G359">
        <v>0</v>
      </c>
      <c r="H359" s="229">
        <v>-1015500</v>
      </c>
    </row>
    <row r="360" spans="1:8" x14ac:dyDescent="0.25">
      <c r="A360">
        <v>291</v>
      </c>
      <c r="B360" t="s">
        <v>130</v>
      </c>
      <c r="C360" s="7">
        <v>43584</v>
      </c>
      <c r="D360" t="s">
        <v>1104</v>
      </c>
      <c r="E360" t="s">
        <v>1105</v>
      </c>
      <c r="F360" s="229">
        <v>20000</v>
      </c>
      <c r="G360">
        <v>0</v>
      </c>
      <c r="H360" s="229">
        <v>-995500</v>
      </c>
    </row>
    <row r="361" spans="1:8" x14ac:dyDescent="0.25">
      <c r="A361">
        <v>291</v>
      </c>
      <c r="B361" t="s">
        <v>130</v>
      </c>
      <c r="C361" s="7">
        <v>43584</v>
      </c>
      <c r="D361" t="s">
        <v>1106</v>
      </c>
      <c r="E361" t="s">
        <v>1107</v>
      </c>
      <c r="F361" s="229">
        <v>20000</v>
      </c>
      <c r="G361">
        <v>0</v>
      </c>
      <c r="H361" s="229">
        <v>-975500</v>
      </c>
    </row>
    <row r="362" spans="1:8" x14ac:dyDescent="0.25">
      <c r="A362">
        <v>291</v>
      </c>
      <c r="B362" t="s">
        <v>130</v>
      </c>
      <c r="C362" s="7">
        <v>43584</v>
      </c>
      <c r="D362" t="s">
        <v>1108</v>
      </c>
      <c r="E362" t="s">
        <v>1109</v>
      </c>
      <c r="F362" s="229">
        <v>3000</v>
      </c>
      <c r="G362">
        <v>0</v>
      </c>
      <c r="H362" s="229">
        <v>-972500</v>
      </c>
    </row>
    <row r="363" spans="1:8" x14ac:dyDescent="0.25">
      <c r="A363">
        <v>291</v>
      </c>
      <c r="B363" t="s">
        <v>130</v>
      </c>
      <c r="C363" s="7">
        <v>43584</v>
      </c>
      <c r="D363" t="s">
        <v>1110</v>
      </c>
      <c r="E363" t="s">
        <v>1111</v>
      </c>
      <c r="F363" s="229">
        <v>20000</v>
      </c>
      <c r="G363">
        <v>0</v>
      </c>
      <c r="H363" s="229">
        <v>-952500</v>
      </c>
    </row>
    <row r="364" spans="1:8" x14ac:dyDescent="0.25">
      <c r="A364">
        <v>291</v>
      </c>
      <c r="B364" t="s">
        <v>130</v>
      </c>
      <c r="C364" s="7">
        <v>43584</v>
      </c>
      <c r="D364" t="s">
        <v>1112</v>
      </c>
      <c r="E364" t="s">
        <v>1113</v>
      </c>
      <c r="F364" s="229">
        <v>30000</v>
      </c>
      <c r="G364">
        <v>0</v>
      </c>
      <c r="H364" s="229">
        <v>-922500</v>
      </c>
    </row>
    <row r="365" spans="1:8" x14ac:dyDescent="0.25">
      <c r="A365">
        <v>291</v>
      </c>
      <c r="B365" t="s">
        <v>130</v>
      </c>
      <c r="C365" s="7">
        <v>43584</v>
      </c>
      <c r="D365" t="s">
        <v>1114</v>
      </c>
      <c r="E365" t="s">
        <v>1115</v>
      </c>
      <c r="F365" s="229">
        <v>20000</v>
      </c>
      <c r="G365">
        <v>0</v>
      </c>
      <c r="H365" s="229">
        <v>-902500</v>
      </c>
    </row>
    <row r="366" spans="1:8" x14ac:dyDescent="0.25">
      <c r="A366">
        <v>291</v>
      </c>
      <c r="B366" t="s">
        <v>130</v>
      </c>
      <c r="C366" s="7">
        <v>43584</v>
      </c>
      <c r="D366" t="s">
        <v>1116</v>
      </c>
      <c r="E366" t="s">
        <v>1117</v>
      </c>
      <c r="F366" s="229">
        <v>20000</v>
      </c>
      <c r="G366">
        <v>0</v>
      </c>
      <c r="H366" s="229">
        <v>-882500</v>
      </c>
    </row>
    <row r="367" spans="1:8" x14ac:dyDescent="0.25">
      <c r="A367">
        <v>291</v>
      </c>
      <c r="B367" t="s">
        <v>130</v>
      </c>
      <c r="C367" s="7">
        <v>43584</v>
      </c>
      <c r="D367" t="s">
        <v>1118</v>
      </c>
      <c r="E367" t="s">
        <v>1119</v>
      </c>
      <c r="F367" s="229">
        <v>20000</v>
      </c>
      <c r="G367">
        <v>0</v>
      </c>
      <c r="H367" s="229">
        <v>-862500</v>
      </c>
    </row>
    <row r="368" spans="1:8" x14ac:dyDescent="0.25">
      <c r="A368">
        <v>291</v>
      </c>
      <c r="B368" t="s">
        <v>130</v>
      </c>
      <c r="C368" s="7">
        <v>43584</v>
      </c>
      <c r="D368" t="s">
        <v>1120</v>
      </c>
      <c r="E368" t="s">
        <v>1121</v>
      </c>
      <c r="F368" s="229">
        <v>20000</v>
      </c>
      <c r="G368">
        <v>0</v>
      </c>
      <c r="H368" s="229">
        <v>-842500</v>
      </c>
    </row>
    <row r="369" spans="1:8" x14ac:dyDescent="0.25">
      <c r="A369">
        <v>291</v>
      </c>
      <c r="B369" t="s">
        <v>130</v>
      </c>
      <c r="C369" s="7">
        <v>43584</v>
      </c>
      <c r="D369" t="s">
        <v>1122</v>
      </c>
      <c r="E369" t="s">
        <v>1123</v>
      </c>
      <c r="F369" s="229">
        <v>10500</v>
      </c>
      <c r="G369">
        <v>0</v>
      </c>
      <c r="H369" s="229">
        <v>-832000</v>
      </c>
    </row>
    <row r="370" spans="1:8" x14ac:dyDescent="0.25">
      <c r="A370">
        <v>291</v>
      </c>
      <c r="B370" t="s">
        <v>130</v>
      </c>
      <c r="C370" s="7">
        <v>43584</v>
      </c>
      <c r="D370" t="s">
        <v>1056</v>
      </c>
      <c r="E370" t="s">
        <v>1124</v>
      </c>
      <c r="F370" s="229">
        <v>20000</v>
      </c>
      <c r="G370">
        <v>0</v>
      </c>
      <c r="H370" s="229">
        <v>-812000</v>
      </c>
    </row>
    <row r="371" spans="1:8" x14ac:dyDescent="0.25">
      <c r="A371">
        <v>291</v>
      </c>
      <c r="B371" t="s">
        <v>130</v>
      </c>
      <c r="C371" s="7">
        <v>43584</v>
      </c>
      <c r="D371" t="s">
        <v>1125</v>
      </c>
      <c r="E371" t="s">
        <v>1126</v>
      </c>
      <c r="F371" s="229">
        <v>3000</v>
      </c>
      <c r="G371">
        <v>0</v>
      </c>
      <c r="H371" s="229">
        <v>-809000</v>
      </c>
    </row>
    <row r="372" spans="1:8" x14ac:dyDescent="0.25">
      <c r="A372">
        <v>291</v>
      </c>
      <c r="B372" t="s">
        <v>130</v>
      </c>
      <c r="C372" s="7">
        <v>43584</v>
      </c>
      <c r="D372" t="s">
        <v>1127</v>
      </c>
      <c r="E372" t="s">
        <v>1128</v>
      </c>
      <c r="F372" s="229">
        <v>20000</v>
      </c>
      <c r="G372">
        <v>0</v>
      </c>
      <c r="H372" s="229">
        <v>-789000</v>
      </c>
    </row>
    <row r="373" spans="1:8" x14ac:dyDescent="0.25">
      <c r="A373">
        <v>291</v>
      </c>
      <c r="B373" t="s">
        <v>130</v>
      </c>
      <c r="C373" s="7">
        <v>43584</v>
      </c>
      <c r="D373" t="s">
        <v>1129</v>
      </c>
      <c r="E373" t="s">
        <v>1130</v>
      </c>
      <c r="F373" s="229">
        <v>2000</v>
      </c>
      <c r="G373">
        <v>0</v>
      </c>
      <c r="H373" s="229">
        <v>-787000</v>
      </c>
    </row>
    <row r="374" spans="1:8" x14ac:dyDescent="0.25">
      <c r="A374">
        <v>291</v>
      </c>
      <c r="B374" t="s">
        <v>130</v>
      </c>
      <c r="C374" s="7">
        <v>43584</v>
      </c>
      <c r="D374" t="s">
        <v>1131</v>
      </c>
      <c r="E374" t="s">
        <v>1132</v>
      </c>
      <c r="F374" s="229">
        <v>20000</v>
      </c>
      <c r="G374">
        <v>0</v>
      </c>
      <c r="H374" s="229">
        <v>-767000</v>
      </c>
    </row>
    <row r="375" spans="1:8" x14ac:dyDescent="0.25">
      <c r="A375">
        <v>291</v>
      </c>
      <c r="B375" t="s">
        <v>130</v>
      </c>
      <c r="C375" s="7">
        <v>43584</v>
      </c>
      <c r="D375" t="s">
        <v>1133</v>
      </c>
      <c r="E375" t="s">
        <v>1134</v>
      </c>
      <c r="F375">
        <v>500</v>
      </c>
      <c r="G375">
        <v>0</v>
      </c>
      <c r="H375" s="229">
        <v>-766500</v>
      </c>
    </row>
    <row r="376" spans="1:8" x14ac:dyDescent="0.25">
      <c r="A376">
        <v>291</v>
      </c>
      <c r="B376" t="s">
        <v>130</v>
      </c>
      <c r="C376" s="7">
        <v>43584</v>
      </c>
      <c r="D376" t="s">
        <v>1135</v>
      </c>
      <c r="E376" t="s">
        <v>1136</v>
      </c>
      <c r="F376" s="229">
        <v>5000</v>
      </c>
      <c r="G376">
        <v>0</v>
      </c>
      <c r="H376" s="229">
        <v>-761500</v>
      </c>
    </row>
    <row r="377" spans="1:8" x14ac:dyDescent="0.25">
      <c r="A377">
        <v>291</v>
      </c>
      <c r="B377" t="s">
        <v>130</v>
      </c>
      <c r="C377" s="7">
        <v>43584</v>
      </c>
      <c r="D377" t="s">
        <v>1137</v>
      </c>
      <c r="E377" t="s">
        <v>1138</v>
      </c>
      <c r="F377" s="229">
        <v>20000</v>
      </c>
      <c r="G377">
        <v>0</v>
      </c>
      <c r="H377" s="229">
        <v>-741500</v>
      </c>
    </row>
    <row r="378" spans="1:8" x14ac:dyDescent="0.25">
      <c r="A378">
        <v>291</v>
      </c>
      <c r="B378" t="s">
        <v>130</v>
      </c>
      <c r="C378" s="7">
        <v>43584</v>
      </c>
      <c r="D378" t="s">
        <v>1139</v>
      </c>
      <c r="E378" t="s">
        <v>1140</v>
      </c>
      <c r="F378" s="229">
        <v>20000</v>
      </c>
      <c r="G378">
        <v>0</v>
      </c>
      <c r="H378" s="229">
        <v>-721500</v>
      </c>
    </row>
    <row r="379" spans="1:8" x14ac:dyDescent="0.25">
      <c r="A379">
        <v>291</v>
      </c>
      <c r="B379" t="s">
        <v>130</v>
      </c>
      <c r="C379" s="7">
        <v>43584</v>
      </c>
      <c r="D379" t="s">
        <v>1141</v>
      </c>
      <c r="E379" t="s">
        <v>1142</v>
      </c>
      <c r="F379" s="229">
        <v>3500</v>
      </c>
      <c r="G379">
        <v>0</v>
      </c>
      <c r="H379" s="229">
        <v>-718000</v>
      </c>
    </row>
    <row r="380" spans="1:8" x14ac:dyDescent="0.25">
      <c r="A380">
        <v>291</v>
      </c>
      <c r="B380" t="s">
        <v>130</v>
      </c>
      <c r="C380" s="7">
        <v>43584</v>
      </c>
      <c r="D380" t="s">
        <v>1143</v>
      </c>
      <c r="E380" t="s">
        <v>1144</v>
      </c>
      <c r="F380" s="229">
        <v>20000</v>
      </c>
      <c r="G380">
        <v>0</v>
      </c>
      <c r="H380" s="229">
        <v>-698000</v>
      </c>
    </row>
    <row r="381" spans="1:8" x14ac:dyDescent="0.25">
      <c r="A381">
        <v>291</v>
      </c>
      <c r="B381" t="s">
        <v>130</v>
      </c>
      <c r="C381" s="7">
        <v>43584</v>
      </c>
      <c r="D381" t="s">
        <v>1145</v>
      </c>
      <c r="E381" t="s">
        <v>1146</v>
      </c>
      <c r="F381" s="229">
        <v>12000</v>
      </c>
      <c r="G381">
        <v>0</v>
      </c>
      <c r="H381" s="229">
        <v>-686000</v>
      </c>
    </row>
    <row r="382" spans="1:8" x14ac:dyDescent="0.25">
      <c r="A382">
        <v>291</v>
      </c>
      <c r="B382" t="s">
        <v>130</v>
      </c>
      <c r="C382" s="7">
        <v>43584</v>
      </c>
      <c r="D382" t="s">
        <v>1147</v>
      </c>
      <c r="E382" t="s">
        <v>1148</v>
      </c>
      <c r="F382" s="229">
        <v>20000</v>
      </c>
      <c r="G382">
        <v>0</v>
      </c>
      <c r="H382" s="229">
        <v>-666000</v>
      </c>
    </row>
    <row r="383" spans="1:8" x14ac:dyDescent="0.25">
      <c r="A383">
        <v>291</v>
      </c>
      <c r="B383" t="s">
        <v>130</v>
      </c>
      <c r="C383" s="7">
        <v>43584</v>
      </c>
      <c r="D383" t="s">
        <v>1149</v>
      </c>
      <c r="E383" t="s">
        <v>1150</v>
      </c>
      <c r="F383" s="229">
        <v>10000</v>
      </c>
      <c r="G383">
        <v>0</v>
      </c>
      <c r="H383" s="229">
        <v>-656000</v>
      </c>
    </row>
    <row r="384" spans="1:8" x14ac:dyDescent="0.25">
      <c r="A384">
        <v>291</v>
      </c>
      <c r="B384" t="s">
        <v>130</v>
      </c>
      <c r="C384" s="7">
        <v>43584</v>
      </c>
      <c r="D384" t="s">
        <v>1151</v>
      </c>
      <c r="E384" t="s">
        <v>1152</v>
      </c>
      <c r="F384" s="229">
        <v>20000</v>
      </c>
      <c r="G384">
        <v>0</v>
      </c>
      <c r="H384" s="229">
        <v>-636000</v>
      </c>
    </row>
    <row r="385" spans="1:8" x14ac:dyDescent="0.25">
      <c r="A385">
        <v>291</v>
      </c>
      <c r="B385" t="s">
        <v>130</v>
      </c>
      <c r="C385" s="7">
        <v>43584</v>
      </c>
      <c r="D385" t="s">
        <v>1153</v>
      </c>
      <c r="E385" t="s">
        <v>1154</v>
      </c>
      <c r="F385" s="229">
        <v>1500</v>
      </c>
      <c r="G385">
        <v>0</v>
      </c>
      <c r="H385" s="229">
        <v>-634500</v>
      </c>
    </row>
    <row r="386" spans="1:8" x14ac:dyDescent="0.25">
      <c r="A386">
        <v>291</v>
      </c>
      <c r="B386" t="s">
        <v>130</v>
      </c>
      <c r="C386" s="7">
        <v>43584</v>
      </c>
      <c r="D386" t="s">
        <v>1155</v>
      </c>
      <c r="E386" t="s">
        <v>1156</v>
      </c>
      <c r="F386" s="229">
        <v>20000</v>
      </c>
      <c r="G386">
        <v>0</v>
      </c>
      <c r="H386" s="229">
        <v>-614500</v>
      </c>
    </row>
    <row r="387" spans="1:8" x14ac:dyDescent="0.25">
      <c r="A387">
        <v>291</v>
      </c>
      <c r="B387" t="s">
        <v>130</v>
      </c>
      <c r="C387" s="7">
        <v>43584</v>
      </c>
      <c r="D387" t="s">
        <v>1157</v>
      </c>
      <c r="E387" t="s">
        <v>1158</v>
      </c>
      <c r="F387" s="229">
        <v>20000</v>
      </c>
      <c r="G387">
        <v>0</v>
      </c>
      <c r="H387" s="229">
        <v>-594500</v>
      </c>
    </row>
    <row r="388" spans="1:8" x14ac:dyDescent="0.25">
      <c r="A388">
        <v>291</v>
      </c>
      <c r="B388" t="s">
        <v>130</v>
      </c>
      <c r="C388" s="7">
        <v>43584</v>
      </c>
      <c r="D388" t="s">
        <v>1159</v>
      </c>
      <c r="E388" t="s">
        <v>1160</v>
      </c>
      <c r="F388" s="229">
        <v>20000</v>
      </c>
      <c r="G388">
        <v>0</v>
      </c>
      <c r="H388" s="229">
        <v>-574500</v>
      </c>
    </row>
    <row r="389" spans="1:8" x14ac:dyDescent="0.25">
      <c r="A389">
        <v>291</v>
      </c>
      <c r="B389" t="s">
        <v>130</v>
      </c>
      <c r="C389" s="7">
        <v>43584</v>
      </c>
      <c r="D389" t="s">
        <v>1161</v>
      </c>
      <c r="E389" t="s">
        <v>1162</v>
      </c>
      <c r="F389" s="229">
        <v>40000</v>
      </c>
      <c r="G389">
        <v>0</v>
      </c>
      <c r="H389" s="229">
        <v>-534500</v>
      </c>
    </row>
    <row r="390" spans="1:8" x14ac:dyDescent="0.25">
      <c r="A390">
        <v>291</v>
      </c>
      <c r="B390" t="s">
        <v>130</v>
      </c>
      <c r="C390" s="7">
        <v>43584</v>
      </c>
      <c r="D390" t="s">
        <v>1163</v>
      </c>
      <c r="E390" t="s">
        <v>1164</v>
      </c>
      <c r="F390" s="229">
        <v>-20000</v>
      </c>
      <c r="G390">
        <v>0</v>
      </c>
      <c r="H390" s="229">
        <v>-554500</v>
      </c>
    </row>
    <row r="391" spans="1:8" x14ac:dyDescent="0.25">
      <c r="A391">
        <v>291</v>
      </c>
      <c r="B391" t="s">
        <v>130</v>
      </c>
      <c r="C391" s="7">
        <v>43584</v>
      </c>
      <c r="D391" t="s">
        <v>1165</v>
      </c>
      <c r="E391" t="s">
        <v>1166</v>
      </c>
      <c r="F391" s="229">
        <v>1000</v>
      </c>
      <c r="G391">
        <v>0</v>
      </c>
      <c r="H391" s="229">
        <v>-553500</v>
      </c>
    </row>
    <row r="392" spans="1:8" x14ac:dyDescent="0.25">
      <c r="A392">
        <v>291</v>
      </c>
      <c r="B392" t="s">
        <v>130</v>
      </c>
      <c r="C392" s="7">
        <v>43584</v>
      </c>
      <c r="D392" t="s">
        <v>1167</v>
      </c>
      <c r="E392" t="s">
        <v>1168</v>
      </c>
      <c r="F392" s="229">
        <v>10000</v>
      </c>
      <c r="G392">
        <v>0</v>
      </c>
      <c r="H392" s="229">
        <v>-543500</v>
      </c>
    </row>
    <row r="393" spans="1:8" x14ac:dyDescent="0.25">
      <c r="A393">
        <v>291</v>
      </c>
      <c r="B393" t="s">
        <v>130</v>
      </c>
      <c r="C393" s="7">
        <v>43584</v>
      </c>
      <c r="D393" t="s">
        <v>1169</v>
      </c>
      <c r="E393" t="s">
        <v>1170</v>
      </c>
      <c r="F393" s="229">
        <v>20000</v>
      </c>
      <c r="G393">
        <v>0</v>
      </c>
      <c r="H393" s="229">
        <v>-523500</v>
      </c>
    </row>
    <row r="394" spans="1:8" x14ac:dyDescent="0.25">
      <c r="A394">
        <v>291</v>
      </c>
      <c r="B394" t="s">
        <v>130</v>
      </c>
      <c r="C394" s="7">
        <v>43584</v>
      </c>
      <c r="D394" t="s">
        <v>1171</v>
      </c>
      <c r="E394" t="s">
        <v>1172</v>
      </c>
      <c r="F394" s="229">
        <v>18000</v>
      </c>
      <c r="G394">
        <v>0</v>
      </c>
      <c r="H394" s="229">
        <v>-505500</v>
      </c>
    </row>
    <row r="395" spans="1:8" x14ac:dyDescent="0.25">
      <c r="A395">
        <v>291</v>
      </c>
      <c r="B395" t="s">
        <v>130</v>
      </c>
      <c r="C395" s="7">
        <v>43584</v>
      </c>
      <c r="D395" t="s">
        <v>1173</v>
      </c>
      <c r="E395" t="s">
        <v>1174</v>
      </c>
      <c r="F395" s="229">
        <v>20000</v>
      </c>
      <c r="G395">
        <v>0</v>
      </c>
      <c r="H395" s="229">
        <v>-485500</v>
      </c>
    </row>
    <row r="396" spans="1:8" x14ac:dyDescent="0.25">
      <c r="A396">
        <v>291</v>
      </c>
      <c r="B396" t="s">
        <v>130</v>
      </c>
      <c r="C396" s="7">
        <v>43584</v>
      </c>
      <c r="D396" t="s">
        <v>1175</v>
      </c>
      <c r="E396" t="s">
        <v>1176</v>
      </c>
      <c r="F396" s="229">
        <v>10000</v>
      </c>
      <c r="G396">
        <v>0</v>
      </c>
      <c r="H396" s="229">
        <v>-475500</v>
      </c>
    </row>
    <row r="397" spans="1:8" x14ac:dyDescent="0.25">
      <c r="A397">
        <v>291</v>
      </c>
      <c r="B397" t="s">
        <v>130</v>
      </c>
      <c r="C397" s="7">
        <v>43584</v>
      </c>
      <c r="D397" t="s">
        <v>1177</v>
      </c>
      <c r="E397" t="s">
        <v>1178</v>
      </c>
      <c r="F397" s="229">
        <v>2000</v>
      </c>
      <c r="G397">
        <v>0</v>
      </c>
      <c r="H397" s="229">
        <v>-473500</v>
      </c>
    </row>
    <row r="398" spans="1:8" x14ac:dyDescent="0.25">
      <c r="A398">
        <v>291</v>
      </c>
      <c r="B398" t="s">
        <v>130</v>
      </c>
      <c r="C398" s="7">
        <v>43584</v>
      </c>
      <c r="D398" t="s">
        <v>1179</v>
      </c>
      <c r="E398" t="s">
        <v>1180</v>
      </c>
      <c r="F398" s="229">
        <v>20000</v>
      </c>
      <c r="G398">
        <v>0</v>
      </c>
      <c r="H398" s="229">
        <v>-453500</v>
      </c>
    </row>
    <row r="399" spans="1:8" x14ac:dyDescent="0.25">
      <c r="A399">
        <v>291</v>
      </c>
      <c r="B399" t="s">
        <v>130</v>
      </c>
      <c r="C399" s="7">
        <v>43584</v>
      </c>
      <c r="D399" t="s">
        <v>1181</v>
      </c>
      <c r="E399" t="s">
        <v>1182</v>
      </c>
      <c r="F399" s="229">
        <v>20000</v>
      </c>
      <c r="G399">
        <v>0</v>
      </c>
      <c r="H399" s="229">
        <v>-433500</v>
      </c>
    </row>
    <row r="400" spans="1:8" x14ac:dyDescent="0.25">
      <c r="A400">
        <v>291</v>
      </c>
      <c r="B400" t="s">
        <v>130</v>
      </c>
      <c r="C400" s="7">
        <v>43584</v>
      </c>
      <c r="D400" t="s">
        <v>1183</v>
      </c>
      <c r="E400" t="s">
        <v>1184</v>
      </c>
      <c r="F400" s="229">
        <v>10000</v>
      </c>
      <c r="G400">
        <v>0</v>
      </c>
      <c r="H400" s="229">
        <v>-423500</v>
      </c>
    </row>
    <row r="401" spans="1:8" x14ac:dyDescent="0.25">
      <c r="A401">
        <v>291</v>
      </c>
      <c r="B401" t="s">
        <v>130</v>
      </c>
      <c r="C401" s="7">
        <v>43584</v>
      </c>
      <c r="D401" t="s">
        <v>1185</v>
      </c>
      <c r="E401" t="s">
        <v>1186</v>
      </c>
      <c r="F401" s="229">
        <v>1000</v>
      </c>
      <c r="G401">
        <v>0</v>
      </c>
      <c r="H401" s="229">
        <v>-422500</v>
      </c>
    </row>
    <row r="402" spans="1:8" x14ac:dyDescent="0.25">
      <c r="A402">
        <v>291</v>
      </c>
      <c r="B402" t="s">
        <v>130</v>
      </c>
      <c r="C402" s="7">
        <v>43584</v>
      </c>
      <c r="D402" t="s">
        <v>1187</v>
      </c>
      <c r="E402" t="s">
        <v>1188</v>
      </c>
      <c r="F402" s="229">
        <v>20000</v>
      </c>
      <c r="G402">
        <v>0</v>
      </c>
      <c r="H402" s="229">
        <v>-402500</v>
      </c>
    </row>
    <row r="403" spans="1:8" x14ac:dyDescent="0.25">
      <c r="A403">
        <v>291</v>
      </c>
      <c r="B403" t="s">
        <v>130</v>
      </c>
      <c r="C403" s="7">
        <v>43584</v>
      </c>
      <c r="D403" t="s">
        <v>1189</v>
      </c>
      <c r="E403" t="s">
        <v>1190</v>
      </c>
      <c r="F403" s="229">
        <v>8000</v>
      </c>
      <c r="G403">
        <v>0</v>
      </c>
      <c r="H403" s="229">
        <v>-394500</v>
      </c>
    </row>
    <row r="404" spans="1:8" x14ac:dyDescent="0.25">
      <c r="A404">
        <v>291</v>
      </c>
      <c r="B404" t="s">
        <v>130</v>
      </c>
      <c r="C404" s="7">
        <v>43584</v>
      </c>
      <c r="D404" t="s">
        <v>1191</v>
      </c>
      <c r="E404" t="s">
        <v>1192</v>
      </c>
      <c r="F404" s="229">
        <v>5000</v>
      </c>
      <c r="G404">
        <v>0</v>
      </c>
      <c r="H404" s="229">
        <v>-389500</v>
      </c>
    </row>
    <row r="405" spans="1:8" x14ac:dyDescent="0.25">
      <c r="A405">
        <v>291</v>
      </c>
      <c r="B405" t="s">
        <v>130</v>
      </c>
      <c r="C405" s="7">
        <v>43584</v>
      </c>
      <c r="D405" t="s">
        <v>1193</v>
      </c>
      <c r="E405" t="s">
        <v>1194</v>
      </c>
      <c r="F405" s="229">
        <v>10000</v>
      </c>
      <c r="G405">
        <v>0</v>
      </c>
      <c r="H405" s="229">
        <v>-379500</v>
      </c>
    </row>
    <row r="406" spans="1:8" x14ac:dyDescent="0.25">
      <c r="A406">
        <v>291</v>
      </c>
      <c r="B406" t="s">
        <v>130</v>
      </c>
      <c r="C406" s="7">
        <v>43584</v>
      </c>
      <c r="D406" t="s">
        <v>1195</v>
      </c>
      <c r="E406" t="s">
        <v>1196</v>
      </c>
      <c r="F406" s="229">
        <v>20000</v>
      </c>
      <c r="G406">
        <v>0</v>
      </c>
      <c r="H406" s="229">
        <v>-359500</v>
      </c>
    </row>
    <row r="407" spans="1:8" x14ac:dyDescent="0.25">
      <c r="A407">
        <v>291</v>
      </c>
      <c r="B407" t="s">
        <v>130</v>
      </c>
      <c r="C407" s="7">
        <v>43584</v>
      </c>
      <c r="D407" t="s">
        <v>1197</v>
      </c>
      <c r="E407" t="s">
        <v>1198</v>
      </c>
      <c r="F407" s="229">
        <v>2000</v>
      </c>
      <c r="G407">
        <v>0</v>
      </c>
      <c r="H407" s="229">
        <v>-357500</v>
      </c>
    </row>
    <row r="408" spans="1:8" x14ac:dyDescent="0.25">
      <c r="A408">
        <v>291</v>
      </c>
      <c r="B408" t="s">
        <v>130</v>
      </c>
      <c r="C408" s="7">
        <v>43584</v>
      </c>
      <c r="D408" t="s">
        <v>1163</v>
      </c>
      <c r="E408" t="s">
        <v>1199</v>
      </c>
      <c r="F408" s="229">
        <v>20000</v>
      </c>
      <c r="G408">
        <v>0</v>
      </c>
      <c r="H408" s="229">
        <v>-337500</v>
      </c>
    </row>
    <row r="409" spans="1:8" x14ac:dyDescent="0.25">
      <c r="A409">
        <v>291</v>
      </c>
      <c r="B409" t="s">
        <v>130</v>
      </c>
      <c r="C409" s="7">
        <v>43584</v>
      </c>
      <c r="D409" t="s">
        <v>1200</v>
      </c>
      <c r="E409" t="s">
        <v>1201</v>
      </c>
      <c r="F409" s="229">
        <v>8000</v>
      </c>
      <c r="G409">
        <v>0</v>
      </c>
      <c r="H409" s="229">
        <v>-329500</v>
      </c>
    </row>
    <row r="410" spans="1:8" x14ac:dyDescent="0.25">
      <c r="A410">
        <v>291</v>
      </c>
      <c r="B410" t="s">
        <v>130</v>
      </c>
      <c r="C410" s="7">
        <v>43584</v>
      </c>
      <c r="D410" t="s">
        <v>1202</v>
      </c>
      <c r="E410" t="s">
        <v>1203</v>
      </c>
      <c r="F410" s="229">
        <v>15000</v>
      </c>
      <c r="G410">
        <v>0</v>
      </c>
      <c r="H410" s="229">
        <v>-314500</v>
      </c>
    </row>
    <row r="411" spans="1:8" x14ac:dyDescent="0.25">
      <c r="A411">
        <v>291</v>
      </c>
      <c r="B411" t="s">
        <v>130</v>
      </c>
      <c r="C411" s="7">
        <v>43584</v>
      </c>
      <c r="D411" t="s">
        <v>1204</v>
      </c>
      <c r="E411" t="s">
        <v>1205</v>
      </c>
      <c r="F411" s="229">
        <v>20000</v>
      </c>
      <c r="G411">
        <v>0</v>
      </c>
      <c r="H411" s="229">
        <v>-294500</v>
      </c>
    </row>
    <row r="412" spans="1:8" x14ac:dyDescent="0.25">
      <c r="A412">
        <v>291</v>
      </c>
      <c r="B412" t="s">
        <v>130</v>
      </c>
      <c r="C412" s="7">
        <v>43584</v>
      </c>
      <c r="D412" t="s">
        <v>1206</v>
      </c>
      <c r="E412" t="s">
        <v>1207</v>
      </c>
      <c r="F412" s="229">
        <v>20000</v>
      </c>
      <c r="G412">
        <v>0</v>
      </c>
      <c r="H412" s="229">
        <v>-274500</v>
      </c>
    </row>
    <row r="413" spans="1:8" x14ac:dyDescent="0.25">
      <c r="A413">
        <v>291</v>
      </c>
      <c r="B413" t="s">
        <v>130</v>
      </c>
      <c r="C413" s="7">
        <v>43584</v>
      </c>
      <c r="D413" t="s">
        <v>1208</v>
      </c>
      <c r="E413" t="s">
        <v>1209</v>
      </c>
      <c r="F413" s="229">
        <v>2000</v>
      </c>
      <c r="G413">
        <v>0</v>
      </c>
      <c r="H413" s="229">
        <v>-272500</v>
      </c>
    </row>
    <row r="414" spans="1:8" x14ac:dyDescent="0.25">
      <c r="A414">
        <v>291</v>
      </c>
      <c r="B414" t="s">
        <v>130</v>
      </c>
      <c r="C414" s="7">
        <v>43584</v>
      </c>
      <c r="D414" t="s">
        <v>1210</v>
      </c>
      <c r="E414" t="s">
        <v>1211</v>
      </c>
      <c r="F414" s="229">
        <v>20000</v>
      </c>
      <c r="G414">
        <v>0</v>
      </c>
      <c r="H414" s="229">
        <v>-252500</v>
      </c>
    </row>
    <row r="415" spans="1:8" x14ac:dyDescent="0.25">
      <c r="A415">
        <v>291</v>
      </c>
      <c r="B415" t="s">
        <v>130</v>
      </c>
      <c r="C415" s="7">
        <v>43584</v>
      </c>
      <c r="D415" t="s">
        <v>1212</v>
      </c>
      <c r="E415" t="s">
        <v>1213</v>
      </c>
      <c r="F415" s="229">
        <v>20000</v>
      </c>
      <c r="G415">
        <v>0</v>
      </c>
      <c r="H415" s="229">
        <v>-232500</v>
      </c>
    </row>
    <row r="416" spans="1:8" x14ac:dyDescent="0.25">
      <c r="A416">
        <v>291</v>
      </c>
      <c r="B416" t="s">
        <v>130</v>
      </c>
      <c r="C416" s="7">
        <v>43584</v>
      </c>
      <c r="D416" t="s">
        <v>1214</v>
      </c>
      <c r="E416" t="s">
        <v>1215</v>
      </c>
      <c r="F416" s="229">
        <v>6000</v>
      </c>
      <c r="G416">
        <v>0</v>
      </c>
      <c r="H416" s="229">
        <v>-226500</v>
      </c>
    </row>
    <row r="417" spans="1:8" x14ac:dyDescent="0.25">
      <c r="A417">
        <v>291</v>
      </c>
      <c r="B417" t="s">
        <v>130</v>
      </c>
      <c r="C417" s="7">
        <v>43584</v>
      </c>
      <c r="D417" t="s">
        <v>1214</v>
      </c>
      <c r="E417" t="s">
        <v>1216</v>
      </c>
      <c r="F417" s="229">
        <v>-6000</v>
      </c>
      <c r="G417">
        <v>0</v>
      </c>
      <c r="H417" s="229">
        <v>-232500</v>
      </c>
    </row>
    <row r="418" spans="1:8" x14ac:dyDescent="0.25">
      <c r="A418">
        <v>291</v>
      </c>
      <c r="B418" t="s">
        <v>130</v>
      </c>
      <c r="C418" s="7">
        <v>43584</v>
      </c>
      <c r="D418" t="s">
        <v>1217</v>
      </c>
      <c r="E418" t="s">
        <v>1218</v>
      </c>
      <c r="F418" s="229">
        <v>17000</v>
      </c>
      <c r="G418">
        <v>0</v>
      </c>
      <c r="H418" s="229">
        <v>-215500</v>
      </c>
    </row>
    <row r="419" spans="1:8" x14ac:dyDescent="0.25">
      <c r="A419">
        <v>291</v>
      </c>
      <c r="B419" t="s">
        <v>130</v>
      </c>
      <c r="C419" s="7">
        <v>43584</v>
      </c>
      <c r="D419" t="s">
        <v>1219</v>
      </c>
      <c r="E419" t="s">
        <v>1220</v>
      </c>
      <c r="F419" s="229">
        <v>1000</v>
      </c>
      <c r="G419">
        <v>0</v>
      </c>
      <c r="H419" s="229">
        <v>-214500</v>
      </c>
    </row>
    <row r="420" spans="1:8" x14ac:dyDescent="0.25">
      <c r="A420">
        <v>291</v>
      </c>
      <c r="B420" t="s">
        <v>130</v>
      </c>
      <c r="C420" s="7">
        <v>43584</v>
      </c>
      <c r="D420" t="s">
        <v>1221</v>
      </c>
      <c r="E420" t="s">
        <v>1222</v>
      </c>
      <c r="F420">
        <v>500</v>
      </c>
      <c r="G420">
        <v>0</v>
      </c>
      <c r="H420" s="229">
        <v>-214000</v>
      </c>
    </row>
    <row r="421" spans="1:8" x14ac:dyDescent="0.25">
      <c r="A421">
        <v>291</v>
      </c>
      <c r="B421" t="s">
        <v>130</v>
      </c>
      <c r="C421" s="7">
        <v>43584</v>
      </c>
      <c r="D421" t="s">
        <v>1223</v>
      </c>
      <c r="E421" t="s">
        <v>1224</v>
      </c>
      <c r="F421" s="229">
        <v>20000</v>
      </c>
      <c r="G421">
        <v>0</v>
      </c>
      <c r="H421" s="229">
        <v>-194000</v>
      </c>
    </row>
    <row r="422" spans="1:8" x14ac:dyDescent="0.25">
      <c r="A422">
        <v>291</v>
      </c>
      <c r="B422" t="s">
        <v>130</v>
      </c>
      <c r="C422" s="7">
        <v>43584</v>
      </c>
      <c r="D422" t="s">
        <v>1225</v>
      </c>
      <c r="E422" t="s">
        <v>1226</v>
      </c>
      <c r="F422" s="229">
        <v>3000</v>
      </c>
      <c r="G422">
        <v>0</v>
      </c>
      <c r="H422" s="229">
        <v>-191000</v>
      </c>
    </row>
    <row r="423" spans="1:8" x14ac:dyDescent="0.25">
      <c r="A423">
        <v>291</v>
      </c>
      <c r="B423" t="s">
        <v>130</v>
      </c>
      <c r="C423" s="7">
        <v>43584</v>
      </c>
      <c r="D423" t="s">
        <v>1227</v>
      </c>
      <c r="E423" t="s">
        <v>1228</v>
      </c>
      <c r="F423" s="229">
        <v>10000</v>
      </c>
      <c r="G423">
        <v>0</v>
      </c>
      <c r="H423" s="229">
        <v>-181000</v>
      </c>
    </row>
    <row r="424" spans="1:8" x14ac:dyDescent="0.25">
      <c r="A424">
        <v>291</v>
      </c>
      <c r="B424" t="s">
        <v>130</v>
      </c>
      <c r="C424" s="7">
        <v>43584</v>
      </c>
      <c r="D424" t="s">
        <v>1229</v>
      </c>
      <c r="E424" t="s">
        <v>1230</v>
      </c>
      <c r="F424" s="229">
        <v>2000</v>
      </c>
      <c r="G424">
        <v>0</v>
      </c>
      <c r="H424" s="229">
        <v>-179000</v>
      </c>
    </row>
    <row r="425" spans="1:8" x14ac:dyDescent="0.25">
      <c r="A425">
        <v>291</v>
      </c>
      <c r="B425" t="s">
        <v>130</v>
      </c>
      <c r="C425" s="7">
        <v>43584</v>
      </c>
      <c r="D425" t="s">
        <v>1231</v>
      </c>
      <c r="E425" t="s">
        <v>1232</v>
      </c>
      <c r="F425" s="229">
        <v>3000</v>
      </c>
      <c r="G425">
        <v>0</v>
      </c>
      <c r="H425" s="229">
        <v>-176000</v>
      </c>
    </row>
    <row r="426" spans="1:8" x14ac:dyDescent="0.25">
      <c r="A426">
        <v>291</v>
      </c>
      <c r="B426" t="s">
        <v>130</v>
      </c>
      <c r="C426" s="7">
        <v>43584</v>
      </c>
      <c r="D426" t="s">
        <v>1233</v>
      </c>
      <c r="E426" t="s">
        <v>1234</v>
      </c>
      <c r="F426" s="229">
        <v>10000</v>
      </c>
      <c r="G426">
        <v>0</v>
      </c>
      <c r="H426" s="229">
        <v>-166000</v>
      </c>
    </row>
    <row r="427" spans="1:8" x14ac:dyDescent="0.25">
      <c r="A427">
        <v>291</v>
      </c>
      <c r="B427" t="s">
        <v>130</v>
      </c>
      <c r="C427" s="7">
        <v>43584</v>
      </c>
      <c r="D427" t="s">
        <v>1235</v>
      </c>
      <c r="E427" t="s">
        <v>1236</v>
      </c>
      <c r="F427" s="229">
        <v>10000</v>
      </c>
      <c r="G427">
        <v>0</v>
      </c>
      <c r="H427" s="229">
        <v>-156000</v>
      </c>
    </row>
    <row r="428" spans="1:8" x14ac:dyDescent="0.25">
      <c r="A428">
        <v>291</v>
      </c>
      <c r="B428" t="s">
        <v>130</v>
      </c>
      <c r="C428" s="7">
        <v>43584</v>
      </c>
      <c r="D428" t="s">
        <v>1237</v>
      </c>
      <c r="E428" t="s">
        <v>1238</v>
      </c>
      <c r="F428" s="229">
        <v>20000</v>
      </c>
      <c r="G428">
        <v>0</v>
      </c>
      <c r="H428" s="229">
        <v>-136000</v>
      </c>
    </row>
    <row r="429" spans="1:8" x14ac:dyDescent="0.25">
      <c r="A429">
        <v>291</v>
      </c>
      <c r="B429" t="s">
        <v>130</v>
      </c>
      <c r="C429" s="7">
        <v>43584</v>
      </c>
      <c r="D429" t="s">
        <v>1239</v>
      </c>
      <c r="E429" t="s">
        <v>1240</v>
      </c>
      <c r="F429" s="229">
        <v>5000</v>
      </c>
      <c r="G429">
        <v>0</v>
      </c>
      <c r="H429" s="229">
        <v>-131000</v>
      </c>
    </row>
    <row r="430" spans="1:8" x14ac:dyDescent="0.25">
      <c r="A430">
        <v>291</v>
      </c>
      <c r="B430" t="s">
        <v>130</v>
      </c>
      <c r="C430" s="7">
        <v>43584</v>
      </c>
      <c r="D430" t="s">
        <v>1241</v>
      </c>
      <c r="E430" t="s">
        <v>1242</v>
      </c>
      <c r="F430" s="229">
        <v>10000</v>
      </c>
      <c r="G430">
        <v>0</v>
      </c>
      <c r="H430" s="229">
        <v>-121000</v>
      </c>
    </row>
    <row r="431" spans="1:8" x14ac:dyDescent="0.25">
      <c r="A431">
        <v>291</v>
      </c>
      <c r="B431" t="s">
        <v>130</v>
      </c>
      <c r="C431" s="7">
        <v>43584</v>
      </c>
      <c r="D431" t="s">
        <v>1243</v>
      </c>
      <c r="E431" t="s">
        <v>1244</v>
      </c>
      <c r="F431" s="229">
        <v>1000</v>
      </c>
      <c r="G431">
        <v>0</v>
      </c>
      <c r="H431" s="229">
        <v>-120000</v>
      </c>
    </row>
    <row r="432" spans="1:8" x14ac:dyDescent="0.25">
      <c r="A432">
        <v>291</v>
      </c>
      <c r="B432" t="s">
        <v>130</v>
      </c>
      <c r="C432" s="7">
        <v>43584</v>
      </c>
      <c r="D432" t="s">
        <v>1245</v>
      </c>
      <c r="E432" t="s">
        <v>1246</v>
      </c>
      <c r="F432" s="229">
        <v>18000</v>
      </c>
      <c r="G432">
        <v>0</v>
      </c>
      <c r="H432" s="229">
        <v>-102000</v>
      </c>
    </row>
    <row r="433" spans="1:8" x14ac:dyDescent="0.25">
      <c r="A433">
        <v>291</v>
      </c>
      <c r="B433" t="s">
        <v>130</v>
      </c>
      <c r="C433" s="7">
        <v>43584</v>
      </c>
      <c r="D433" t="s">
        <v>1247</v>
      </c>
      <c r="E433" t="s">
        <v>1248</v>
      </c>
      <c r="F433" s="229">
        <v>20000</v>
      </c>
      <c r="G433">
        <v>0</v>
      </c>
      <c r="H433" s="229">
        <v>-82000</v>
      </c>
    </row>
    <row r="434" spans="1:8" x14ac:dyDescent="0.25">
      <c r="A434">
        <v>291</v>
      </c>
      <c r="B434" t="s">
        <v>130</v>
      </c>
      <c r="C434" s="7">
        <v>43584</v>
      </c>
      <c r="D434" t="s">
        <v>1249</v>
      </c>
      <c r="E434" t="s">
        <v>1250</v>
      </c>
      <c r="F434" s="229">
        <v>40000</v>
      </c>
      <c r="G434">
        <v>0</v>
      </c>
      <c r="H434" s="229">
        <v>-42000</v>
      </c>
    </row>
    <row r="435" spans="1:8" x14ac:dyDescent="0.25">
      <c r="A435">
        <v>291</v>
      </c>
      <c r="B435" t="s">
        <v>130</v>
      </c>
      <c r="C435" s="7">
        <v>43584</v>
      </c>
      <c r="D435" t="s">
        <v>1251</v>
      </c>
      <c r="E435" t="s">
        <v>1252</v>
      </c>
      <c r="F435" s="229">
        <v>40000</v>
      </c>
      <c r="G435">
        <v>0</v>
      </c>
      <c r="H435" s="229">
        <v>-2000</v>
      </c>
    </row>
    <row r="436" spans="1:8" x14ac:dyDescent="0.25">
      <c r="A436">
        <v>291</v>
      </c>
      <c r="B436" t="s">
        <v>130</v>
      </c>
      <c r="C436" s="7">
        <v>43584</v>
      </c>
      <c r="D436" t="s">
        <v>1253</v>
      </c>
      <c r="E436" t="s">
        <v>1254</v>
      </c>
      <c r="F436" s="229">
        <v>10000</v>
      </c>
      <c r="G436">
        <v>0</v>
      </c>
      <c r="H436" s="229">
        <v>8000</v>
      </c>
    </row>
    <row r="437" spans="1:8" x14ac:dyDescent="0.25">
      <c r="A437">
        <v>291</v>
      </c>
      <c r="B437" t="s">
        <v>130</v>
      </c>
      <c r="C437" s="7">
        <v>43584</v>
      </c>
      <c r="D437" t="s">
        <v>1255</v>
      </c>
      <c r="E437" t="s">
        <v>1256</v>
      </c>
      <c r="F437" s="229">
        <v>10000</v>
      </c>
      <c r="G437">
        <v>0</v>
      </c>
      <c r="H437" s="229">
        <v>18000</v>
      </c>
    </row>
    <row r="438" spans="1:8" x14ac:dyDescent="0.25">
      <c r="A438">
        <v>291</v>
      </c>
      <c r="B438" t="s">
        <v>130</v>
      </c>
      <c r="C438" s="7">
        <v>43584</v>
      </c>
      <c r="D438" t="s">
        <v>1257</v>
      </c>
      <c r="E438" t="s">
        <v>1258</v>
      </c>
      <c r="F438" s="229">
        <v>20000</v>
      </c>
      <c r="G438">
        <v>0</v>
      </c>
      <c r="H438" s="229">
        <v>38000</v>
      </c>
    </row>
    <row r="439" spans="1:8" x14ac:dyDescent="0.25">
      <c r="A439">
        <v>291</v>
      </c>
      <c r="B439" t="s">
        <v>130</v>
      </c>
      <c r="C439" s="7">
        <v>43584</v>
      </c>
      <c r="D439" t="s">
        <v>1259</v>
      </c>
      <c r="E439" t="s">
        <v>1260</v>
      </c>
      <c r="F439" s="229">
        <v>20000</v>
      </c>
      <c r="G439">
        <v>0</v>
      </c>
      <c r="H439" s="229">
        <v>58000</v>
      </c>
    </row>
    <row r="440" spans="1:8" x14ac:dyDescent="0.25">
      <c r="A440">
        <v>291</v>
      </c>
      <c r="B440" t="s">
        <v>130</v>
      </c>
      <c r="C440" s="7">
        <v>43584</v>
      </c>
      <c r="D440" t="s">
        <v>1261</v>
      </c>
      <c r="E440" t="s">
        <v>1262</v>
      </c>
      <c r="F440" s="229">
        <v>10000</v>
      </c>
      <c r="G440">
        <v>0</v>
      </c>
      <c r="H440" s="229">
        <v>68000</v>
      </c>
    </row>
    <row r="441" spans="1:8" x14ac:dyDescent="0.25">
      <c r="A441">
        <v>291</v>
      </c>
      <c r="B441" t="s">
        <v>130</v>
      </c>
      <c r="C441" s="7">
        <v>43584</v>
      </c>
      <c r="D441" t="s">
        <v>1263</v>
      </c>
      <c r="E441" t="s">
        <v>1264</v>
      </c>
      <c r="F441" s="229">
        <v>20000</v>
      </c>
      <c r="G441">
        <v>0</v>
      </c>
      <c r="H441" s="229">
        <v>88000</v>
      </c>
    </row>
    <row r="442" spans="1:8" x14ac:dyDescent="0.25">
      <c r="A442">
        <v>291</v>
      </c>
      <c r="B442" t="s">
        <v>130</v>
      </c>
      <c r="C442" s="7">
        <v>43584</v>
      </c>
      <c r="D442" t="s">
        <v>1265</v>
      </c>
      <c r="E442" t="s">
        <v>1266</v>
      </c>
      <c r="F442" s="229">
        <v>2000</v>
      </c>
      <c r="G442">
        <v>0</v>
      </c>
      <c r="H442" s="229">
        <v>90000</v>
      </c>
    </row>
    <row r="443" spans="1:8" x14ac:dyDescent="0.25">
      <c r="A443">
        <v>291</v>
      </c>
      <c r="B443" t="s">
        <v>130</v>
      </c>
      <c r="C443" s="7">
        <v>43584</v>
      </c>
      <c r="D443" t="s">
        <v>1267</v>
      </c>
      <c r="E443" t="s">
        <v>1268</v>
      </c>
      <c r="F443" s="229">
        <v>15000</v>
      </c>
      <c r="G443">
        <v>0</v>
      </c>
      <c r="H443" s="229">
        <v>105000</v>
      </c>
    </row>
    <row r="444" spans="1:8" x14ac:dyDescent="0.25">
      <c r="A444">
        <v>291</v>
      </c>
      <c r="B444" t="s">
        <v>130</v>
      </c>
      <c r="C444" s="7">
        <v>43584</v>
      </c>
      <c r="D444" t="s">
        <v>1269</v>
      </c>
      <c r="E444" t="s">
        <v>1270</v>
      </c>
      <c r="F444" s="229">
        <v>12000</v>
      </c>
      <c r="G444">
        <v>0</v>
      </c>
      <c r="H444" s="229">
        <v>117000</v>
      </c>
    </row>
    <row r="445" spans="1:8" x14ac:dyDescent="0.25">
      <c r="A445">
        <v>291</v>
      </c>
      <c r="B445" t="s">
        <v>130</v>
      </c>
      <c r="C445" s="7">
        <v>43584</v>
      </c>
      <c r="D445" t="s">
        <v>1271</v>
      </c>
      <c r="E445" t="s">
        <v>1272</v>
      </c>
      <c r="F445" s="229">
        <v>18000</v>
      </c>
      <c r="G445">
        <v>0</v>
      </c>
      <c r="H445" s="229">
        <v>135000</v>
      </c>
    </row>
    <row r="446" spans="1:8" x14ac:dyDescent="0.25">
      <c r="A446">
        <v>291</v>
      </c>
      <c r="B446" t="s">
        <v>130</v>
      </c>
      <c r="C446" s="7">
        <v>43584</v>
      </c>
      <c r="D446" t="s">
        <v>1273</v>
      </c>
      <c r="E446" t="s">
        <v>1274</v>
      </c>
      <c r="F446" s="229">
        <v>20000</v>
      </c>
      <c r="G446">
        <v>0</v>
      </c>
      <c r="H446" s="229">
        <v>155000</v>
      </c>
    </row>
    <row r="447" spans="1:8" x14ac:dyDescent="0.25">
      <c r="A447">
        <v>291</v>
      </c>
      <c r="B447" t="s">
        <v>130</v>
      </c>
      <c r="C447" s="7">
        <v>43584</v>
      </c>
      <c r="D447" t="s">
        <v>1275</v>
      </c>
      <c r="E447" t="s">
        <v>1276</v>
      </c>
      <c r="F447" s="229">
        <v>20000</v>
      </c>
      <c r="G447">
        <v>0</v>
      </c>
      <c r="H447" s="229">
        <v>175000</v>
      </c>
    </row>
    <row r="448" spans="1:8" x14ac:dyDescent="0.25">
      <c r="A448">
        <v>291</v>
      </c>
      <c r="B448" t="s">
        <v>130</v>
      </c>
      <c r="C448" s="7">
        <v>43584</v>
      </c>
      <c r="D448" t="s">
        <v>1277</v>
      </c>
      <c r="E448" t="s">
        <v>1278</v>
      </c>
      <c r="F448" s="229">
        <v>20000</v>
      </c>
      <c r="G448">
        <v>0</v>
      </c>
      <c r="H448" s="229">
        <v>195000</v>
      </c>
    </row>
    <row r="449" spans="1:8" x14ac:dyDescent="0.25">
      <c r="A449">
        <v>291</v>
      </c>
      <c r="B449" t="s">
        <v>130</v>
      </c>
      <c r="C449" s="7">
        <v>43584</v>
      </c>
      <c r="D449" t="s">
        <v>1279</v>
      </c>
      <c r="E449" t="s">
        <v>1280</v>
      </c>
      <c r="F449" s="229">
        <v>10000</v>
      </c>
      <c r="G449">
        <v>0</v>
      </c>
      <c r="H449" s="229">
        <v>205000</v>
      </c>
    </row>
    <row r="450" spans="1:8" x14ac:dyDescent="0.25">
      <c r="A450">
        <v>291</v>
      </c>
      <c r="B450" t="s">
        <v>130</v>
      </c>
      <c r="C450" s="7">
        <v>43584</v>
      </c>
      <c r="D450" t="s">
        <v>1281</v>
      </c>
      <c r="E450" t="s">
        <v>1282</v>
      </c>
      <c r="F450" s="229">
        <v>10000</v>
      </c>
      <c r="G450">
        <v>0</v>
      </c>
      <c r="H450" s="229">
        <v>215000</v>
      </c>
    </row>
    <row r="451" spans="1:8" x14ac:dyDescent="0.25">
      <c r="A451">
        <v>291</v>
      </c>
      <c r="B451" t="s">
        <v>130</v>
      </c>
      <c r="C451" s="7">
        <v>43584</v>
      </c>
      <c r="D451" t="s">
        <v>1283</v>
      </c>
      <c r="E451" t="s">
        <v>1284</v>
      </c>
      <c r="F451" s="229">
        <v>10000</v>
      </c>
      <c r="G451">
        <v>0</v>
      </c>
      <c r="H451" s="229">
        <v>225000</v>
      </c>
    </row>
    <row r="452" spans="1:8" x14ac:dyDescent="0.25">
      <c r="A452">
        <v>291</v>
      </c>
      <c r="B452" t="s">
        <v>130</v>
      </c>
      <c r="C452" s="7">
        <v>43584</v>
      </c>
      <c r="D452" t="s">
        <v>1285</v>
      </c>
      <c r="E452" t="s">
        <v>1286</v>
      </c>
      <c r="F452" s="229">
        <v>40000</v>
      </c>
      <c r="G452">
        <v>0</v>
      </c>
      <c r="H452" s="229">
        <v>265000</v>
      </c>
    </row>
    <row r="453" spans="1:8" x14ac:dyDescent="0.25">
      <c r="A453">
        <v>291</v>
      </c>
      <c r="B453" t="s">
        <v>130</v>
      </c>
      <c r="C453" s="7">
        <v>43584</v>
      </c>
      <c r="D453" t="s">
        <v>1287</v>
      </c>
      <c r="E453" t="s">
        <v>1288</v>
      </c>
      <c r="F453" s="229">
        <v>20000</v>
      </c>
      <c r="G453">
        <v>0</v>
      </c>
      <c r="H453" s="229">
        <v>285000</v>
      </c>
    </row>
    <row r="454" spans="1:8" x14ac:dyDescent="0.25">
      <c r="A454">
        <v>291</v>
      </c>
      <c r="B454" t="s">
        <v>130</v>
      </c>
      <c r="C454" s="7">
        <v>43584</v>
      </c>
      <c r="D454" t="s">
        <v>1289</v>
      </c>
      <c r="E454" t="s">
        <v>1290</v>
      </c>
      <c r="F454" s="229">
        <v>20000</v>
      </c>
      <c r="G454">
        <v>0</v>
      </c>
      <c r="H454" s="229">
        <v>305000</v>
      </c>
    </row>
    <row r="455" spans="1:8" x14ac:dyDescent="0.25">
      <c r="A455">
        <v>291</v>
      </c>
      <c r="B455" t="s">
        <v>130</v>
      </c>
      <c r="C455" s="7">
        <v>43584</v>
      </c>
      <c r="D455" t="s">
        <v>1291</v>
      </c>
      <c r="E455" t="s">
        <v>1292</v>
      </c>
      <c r="F455" s="229">
        <v>9000</v>
      </c>
      <c r="G455">
        <v>0</v>
      </c>
      <c r="H455" s="229">
        <v>314000</v>
      </c>
    </row>
    <row r="456" spans="1:8" x14ac:dyDescent="0.25">
      <c r="A456">
        <v>291</v>
      </c>
      <c r="B456" t="s">
        <v>130</v>
      </c>
      <c r="C456" s="7">
        <v>43584</v>
      </c>
      <c r="D456" t="s">
        <v>1293</v>
      </c>
      <c r="E456" t="s">
        <v>1294</v>
      </c>
      <c r="F456" s="229">
        <v>6000</v>
      </c>
      <c r="G456">
        <v>0</v>
      </c>
      <c r="H456" s="229">
        <v>320000</v>
      </c>
    </row>
    <row r="457" spans="1:8" x14ac:dyDescent="0.25">
      <c r="A457">
        <v>291</v>
      </c>
      <c r="B457" t="s">
        <v>130</v>
      </c>
      <c r="C457" s="7">
        <v>43584</v>
      </c>
      <c r="D457" t="s">
        <v>1295</v>
      </c>
      <c r="E457" t="s">
        <v>1296</v>
      </c>
      <c r="F457" s="229">
        <v>9000</v>
      </c>
      <c r="G457">
        <v>0</v>
      </c>
      <c r="H457" s="229">
        <v>329000</v>
      </c>
    </row>
    <row r="458" spans="1:8" x14ac:dyDescent="0.25">
      <c r="A458">
        <v>291</v>
      </c>
      <c r="B458" t="s">
        <v>130</v>
      </c>
      <c r="C458" s="7">
        <v>43584</v>
      </c>
      <c r="D458" t="s">
        <v>1297</v>
      </c>
      <c r="E458" t="s">
        <v>1298</v>
      </c>
      <c r="F458" s="229">
        <v>13000</v>
      </c>
      <c r="G458">
        <v>0</v>
      </c>
      <c r="H458" s="229">
        <v>342000</v>
      </c>
    </row>
    <row r="459" spans="1:8" x14ac:dyDescent="0.25">
      <c r="A459">
        <v>291</v>
      </c>
      <c r="B459" t="s">
        <v>130</v>
      </c>
      <c r="C459" s="7">
        <v>43584</v>
      </c>
      <c r="D459" t="s">
        <v>1299</v>
      </c>
      <c r="E459" t="s">
        <v>1300</v>
      </c>
      <c r="F459" s="229">
        <v>10000</v>
      </c>
      <c r="G459">
        <v>0</v>
      </c>
      <c r="H459" s="229">
        <v>352000</v>
      </c>
    </row>
    <row r="460" spans="1:8" x14ac:dyDescent="0.25">
      <c r="A460">
        <v>291</v>
      </c>
      <c r="B460" t="s">
        <v>130</v>
      </c>
      <c r="C460" s="7">
        <v>43584</v>
      </c>
      <c r="D460" t="s">
        <v>1301</v>
      </c>
      <c r="E460" t="s">
        <v>1302</v>
      </c>
      <c r="F460" s="229">
        <v>15000</v>
      </c>
      <c r="G460">
        <v>0</v>
      </c>
      <c r="H460" s="229">
        <v>367000</v>
      </c>
    </row>
    <row r="461" spans="1:8" x14ac:dyDescent="0.25">
      <c r="A461">
        <v>291</v>
      </c>
      <c r="B461" t="s">
        <v>130</v>
      </c>
      <c r="C461" s="7">
        <v>43584</v>
      </c>
      <c r="D461" t="s">
        <v>1303</v>
      </c>
      <c r="E461" t="s">
        <v>1304</v>
      </c>
      <c r="F461" s="229">
        <v>40000</v>
      </c>
      <c r="G461">
        <v>0</v>
      </c>
      <c r="H461" s="229">
        <v>407000</v>
      </c>
    </row>
    <row r="462" spans="1:8" x14ac:dyDescent="0.25">
      <c r="A462">
        <v>291</v>
      </c>
      <c r="B462" t="s">
        <v>130</v>
      </c>
      <c r="C462" s="7">
        <v>43584</v>
      </c>
      <c r="D462" t="s">
        <v>1305</v>
      </c>
      <c r="E462" t="s">
        <v>1306</v>
      </c>
      <c r="F462" s="229">
        <v>17000</v>
      </c>
      <c r="G462">
        <v>0</v>
      </c>
      <c r="H462" s="229">
        <v>424000</v>
      </c>
    </row>
    <row r="463" spans="1:8" x14ac:dyDescent="0.25">
      <c r="A463">
        <v>291</v>
      </c>
      <c r="B463" t="s">
        <v>130</v>
      </c>
      <c r="C463" s="7">
        <v>43584</v>
      </c>
      <c r="D463" t="s">
        <v>1307</v>
      </c>
      <c r="E463" t="s">
        <v>1308</v>
      </c>
      <c r="F463" s="229">
        <v>3000</v>
      </c>
      <c r="G463">
        <v>0</v>
      </c>
      <c r="H463" s="229">
        <v>427000</v>
      </c>
    </row>
    <row r="464" spans="1:8" x14ac:dyDescent="0.25">
      <c r="A464">
        <v>291</v>
      </c>
      <c r="B464" t="s">
        <v>130</v>
      </c>
      <c r="C464" s="7">
        <v>43584</v>
      </c>
      <c r="D464" t="s">
        <v>1309</v>
      </c>
      <c r="E464" t="s">
        <v>1310</v>
      </c>
      <c r="F464" s="229">
        <v>16000</v>
      </c>
      <c r="G464">
        <v>0</v>
      </c>
      <c r="H464" s="229">
        <v>443000</v>
      </c>
    </row>
    <row r="465" spans="1:8" x14ac:dyDescent="0.25">
      <c r="A465">
        <v>291</v>
      </c>
      <c r="B465" t="s">
        <v>130</v>
      </c>
      <c r="C465" s="7">
        <v>43584</v>
      </c>
      <c r="D465" t="s">
        <v>1311</v>
      </c>
      <c r="E465" t="s">
        <v>1312</v>
      </c>
      <c r="F465" s="229">
        <v>20000</v>
      </c>
      <c r="G465">
        <v>0</v>
      </c>
      <c r="H465" s="229">
        <v>463000</v>
      </c>
    </row>
    <row r="466" spans="1:8" x14ac:dyDescent="0.25">
      <c r="A466">
        <v>291</v>
      </c>
      <c r="B466" t="s">
        <v>1313</v>
      </c>
      <c r="C466" s="7">
        <v>43584</v>
      </c>
      <c r="D466" t="s">
        <v>1314</v>
      </c>
      <c r="E466" t="s">
        <v>1315</v>
      </c>
      <c r="F466">
        <v>0</v>
      </c>
      <c r="G466" s="229">
        <v>3000000</v>
      </c>
      <c r="H466" s="229">
        <v>-2537000</v>
      </c>
    </row>
    <row r="467" spans="1:8" x14ac:dyDescent="0.25">
      <c r="A467">
        <v>291</v>
      </c>
      <c r="B467" t="s">
        <v>1313</v>
      </c>
      <c r="C467" s="7">
        <v>43584</v>
      </c>
      <c r="D467" t="s">
        <v>1316</v>
      </c>
      <c r="E467" t="s">
        <v>1317</v>
      </c>
      <c r="F467" s="229">
        <v>811500</v>
      </c>
      <c r="G467">
        <v>0</v>
      </c>
      <c r="H467" s="229">
        <v>-1725500</v>
      </c>
    </row>
    <row r="468" spans="1:8" x14ac:dyDescent="0.25">
      <c r="A468">
        <v>291</v>
      </c>
      <c r="B468" t="s">
        <v>130</v>
      </c>
      <c r="C468" s="7">
        <v>43585</v>
      </c>
      <c r="D468" t="s">
        <v>1318</v>
      </c>
      <c r="E468" t="s">
        <v>1319</v>
      </c>
      <c r="F468" s="229">
        <v>5000</v>
      </c>
      <c r="G468">
        <v>0</v>
      </c>
      <c r="H468" s="229">
        <v>-1720500</v>
      </c>
    </row>
    <row r="469" spans="1:8" x14ac:dyDescent="0.25">
      <c r="A469">
        <v>291</v>
      </c>
      <c r="B469" t="s">
        <v>130</v>
      </c>
      <c r="C469" s="7">
        <v>43585</v>
      </c>
      <c r="D469" t="s">
        <v>1320</v>
      </c>
      <c r="E469" t="s">
        <v>1321</v>
      </c>
      <c r="F469" s="229">
        <v>20000</v>
      </c>
      <c r="G469">
        <v>0</v>
      </c>
      <c r="H469" s="229">
        <v>-1700500</v>
      </c>
    </row>
    <row r="470" spans="1:8" x14ac:dyDescent="0.25">
      <c r="A470">
        <v>291</v>
      </c>
      <c r="B470" t="s">
        <v>130</v>
      </c>
      <c r="C470" s="7">
        <v>43585</v>
      </c>
      <c r="D470" t="s">
        <v>1322</v>
      </c>
      <c r="E470" t="s">
        <v>1323</v>
      </c>
      <c r="F470" s="229">
        <v>3000</v>
      </c>
      <c r="G470">
        <v>0</v>
      </c>
      <c r="H470" s="229">
        <v>-1697500</v>
      </c>
    </row>
    <row r="471" spans="1:8" x14ac:dyDescent="0.25">
      <c r="A471">
        <v>291</v>
      </c>
      <c r="B471" t="s">
        <v>130</v>
      </c>
      <c r="C471" s="7">
        <v>43585</v>
      </c>
      <c r="D471" t="s">
        <v>1324</v>
      </c>
      <c r="E471" t="s">
        <v>1325</v>
      </c>
      <c r="F471" s="229">
        <v>2000</v>
      </c>
      <c r="G471">
        <v>0</v>
      </c>
      <c r="H471" s="229">
        <v>-1695500</v>
      </c>
    </row>
    <row r="472" spans="1:8" x14ac:dyDescent="0.25">
      <c r="A472">
        <v>291</v>
      </c>
      <c r="B472" t="s">
        <v>130</v>
      </c>
      <c r="C472" s="7">
        <v>43585</v>
      </c>
      <c r="D472" t="s">
        <v>1326</v>
      </c>
      <c r="E472" t="s">
        <v>1327</v>
      </c>
      <c r="F472" s="229">
        <v>2000</v>
      </c>
      <c r="G472">
        <v>0</v>
      </c>
      <c r="H472" s="229">
        <v>-1693500</v>
      </c>
    </row>
    <row r="473" spans="1:8" x14ac:dyDescent="0.25">
      <c r="A473">
        <v>291</v>
      </c>
      <c r="B473" t="s">
        <v>130</v>
      </c>
      <c r="C473" s="7">
        <v>43585</v>
      </c>
      <c r="D473" t="s">
        <v>1328</v>
      </c>
      <c r="E473" t="s">
        <v>1329</v>
      </c>
      <c r="F473" s="229">
        <v>3000</v>
      </c>
      <c r="G473">
        <v>0</v>
      </c>
      <c r="H473" s="229">
        <v>-1690500</v>
      </c>
    </row>
    <row r="474" spans="1:8" x14ac:dyDescent="0.25">
      <c r="A474">
        <v>291</v>
      </c>
      <c r="B474" t="s">
        <v>130</v>
      </c>
      <c r="C474" s="7">
        <v>43585</v>
      </c>
      <c r="D474" t="s">
        <v>1330</v>
      </c>
      <c r="E474" t="s">
        <v>1331</v>
      </c>
      <c r="F474" s="229">
        <v>2000</v>
      </c>
      <c r="G474">
        <v>0</v>
      </c>
      <c r="H474" s="229">
        <v>-1688500</v>
      </c>
    </row>
    <row r="475" spans="1:8" x14ac:dyDescent="0.25">
      <c r="A475">
        <v>291</v>
      </c>
      <c r="B475" t="s">
        <v>130</v>
      </c>
      <c r="C475" s="7">
        <v>43585</v>
      </c>
      <c r="D475" t="s">
        <v>1332</v>
      </c>
      <c r="E475" t="s">
        <v>1333</v>
      </c>
      <c r="F475" s="229">
        <v>10000</v>
      </c>
      <c r="G475">
        <v>0</v>
      </c>
      <c r="H475" s="229">
        <v>-1678500</v>
      </c>
    </row>
    <row r="476" spans="1:8" x14ac:dyDescent="0.25">
      <c r="A476">
        <v>291</v>
      </c>
      <c r="B476" t="s">
        <v>130</v>
      </c>
      <c r="C476" s="7">
        <v>43585</v>
      </c>
      <c r="D476" t="s">
        <v>1334</v>
      </c>
      <c r="E476" t="s">
        <v>1335</v>
      </c>
      <c r="F476">
        <v>500</v>
      </c>
      <c r="G476">
        <v>0</v>
      </c>
      <c r="H476" s="229">
        <v>-1678000</v>
      </c>
    </row>
    <row r="477" spans="1:8" x14ac:dyDescent="0.25">
      <c r="A477">
        <v>291</v>
      </c>
      <c r="B477" t="s">
        <v>130</v>
      </c>
      <c r="C477" s="7">
        <v>43585</v>
      </c>
      <c r="D477" t="s">
        <v>1336</v>
      </c>
      <c r="E477" t="s">
        <v>1337</v>
      </c>
      <c r="F477" s="229">
        <v>2000</v>
      </c>
      <c r="G477">
        <v>0</v>
      </c>
      <c r="H477" s="229">
        <v>-1676000</v>
      </c>
    </row>
    <row r="478" spans="1:8" x14ac:dyDescent="0.25">
      <c r="A478">
        <v>291</v>
      </c>
      <c r="B478" t="s">
        <v>130</v>
      </c>
      <c r="C478" s="7">
        <v>43585</v>
      </c>
      <c r="D478" t="s">
        <v>1338</v>
      </c>
      <c r="E478" t="s">
        <v>1339</v>
      </c>
      <c r="F478" s="229">
        <v>10000</v>
      </c>
      <c r="G478">
        <v>0</v>
      </c>
      <c r="H478" s="229">
        <v>-1666000</v>
      </c>
    </row>
    <row r="479" spans="1:8" x14ac:dyDescent="0.25">
      <c r="A479">
        <v>291</v>
      </c>
      <c r="B479" t="s">
        <v>130</v>
      </c>
      <c r="C479" s="7">
        <v>43585</v>
      </c>
      <c r="D479" t="s">
        <v>1340</v>
      </c>
      <c r="E479" t="s">
        <v>1341</v>
      </c>
      <c r="F479" s="229">
        <v>5000</v>
      </c>
      <c r="G479">
        <v>0</v>
      </c>
      <c r="H479" s="229">
        <v>-1661000</v>
      </c>
    </row>
    <row r="480" spans="1:8" x14ac:dyDescent="0.25">
      <c r="A480">
        <v>291</v>
      </c>
      <c r="B480" t="s">
        <v>130</v>
      </c>
      <c r="C480" s="7">
        <v>43585</v>
      </c>
      <c r="D480" t="s">
        <v>1342</v>
      </c>
      <c r="E480" t="s">
        <v>1343</v>
      </c>
      <c r="F480" s="229">
        <v>5000</v>
      </c>
      <c r="G480">
        <v>0</v>
      </c>
      <c r="H480" s="229">
        <v>-1656000</v>
      </c>
    </row>
    <row r="481" spans="1:8" x14ac:dyDescent="0.25">
      <c r="A481">
        <v>291</v>
      </c>
      <c r="B481" t="s">
        <v>130</v>
      </c>
      <c r="C481" s="7">
        <v>43585</v>
      </c>
      <c r="D481" t="s">
        <v>1344</v>
      </c>
      <c r="E481" t="s">
        <v>1345</v>
      </c>
      <c r="F481" s="229">
        <v>20000</v>
      </c>
      <c r="G481">
        <v>0</v>
      </c>
      <c r="H481" s="229">
        <v>-1636000</v>
      </c>
    </row>
    <row r="482" spans="1:8" x14ac:dyDescent="0.25">
      <c r="A482">
        <v>291</v>
      </c>
      <c r="B482" t="s">
        <v>130</v>
      </c>
      <c r="C482" s="7">
        <v>43585</v>
      </c>
      <c r="D482" t="s">
        <v>1346</v>
      </c>
      <c r="E482" t="s">
        <v>1347</v>
      </c>
      <c r="F482" s="229">
        <v>20000</v>
      </c>
      <c r="G482">
        <v>0</v>
      </c>
      <c r="H482" s="229">
        <v>-1616000</v>
      </c>
    </row>
    <row r="483" spans="1:8" x14ac:dyDescent="0.25">
      <c r="A483">
        <v>291</v>
      </c>
      <c r="B483" t="s">
        <v>130</v>
      </c>
      <c r="C483" s="7">
        <v>43585</v>
      </c>
      <c r="D483" t="s">
        <v>1348</v>
      </c>
      <c r="E483" t="s">
        <v>1349</v>
      </c>
      <c r="F483" s="229">
        <v>20000</v>
      </c>
      <c r="G483">
        <v>0</v>
      </c>
      <c r="H483" s="229">
        <v>-1596000</v>
      </c>
    </row>
    <row r="484" spans="1:8" x14ac:dyDescent="0.25">
      <c r="A484">
        <v>291</v>
      </c>
      <c r="B484" t="s">
        <v>130</v>
      </c>
      <c r="C484" s="7">
        <v>43585</v>
      </c>
      <c r="D484" t="s">
        <v>1350</v>
      </c>
      <c r="E484" t="s">
        <v>1351</v>
      </c>
      <c r="F484" s="229">
        <v>1000</v>
      </c>
      <c r="G484">
        <v>0</v>
      </c>
      <c r="H484" s="229">
        <v>-1595000</v>
      </c>
    </row>
    <row r="485" spans="1:8" x14ac:dyDescent="0.25">
      <c r="A485">
        <v>291</v>
      </c>
      <c r="B485" t="s">
        <v>130</v>
      </c>
      <c r="C485" s="7">
        <v>43585</v>
      </c>
      <c r="D485" t="s">
        <v>1352</v>
      </c>
      <c r="E485" t="s">
        <v>1353</v>
      </c>
      <c r="F485" s="229">
        <v>1000</v>
      </c>
      <c r="G485">
        <v>0</v>
      </c>
      <c r="H485" s="229">
        <v>-1594000</v>
      </c>
    </row>
    <row r="486" spans="1:8" x14ac:dyDescent="0.25">
      <c r="A486">
        <v>291</v>
      </c>
      <c r="B486" t="s">
        <v>130</v>
      </c>
      <c r="C486" s="7">
        <v>43585</v>
      </c>
      <c r="D486" t="s">
        <v>1354</v>
      </c>
      <c r="E486" t="s">
        <v>1355</v>
      </c>
      <c r="F486" s="229">
        <v>10000</v>
      </c>
      <c r="G486">
        <v>0</v>
      </c>
      <c r="H486" s="229">
        <v>-1584000</v>
      </c>
    </row>
    <row r="487" spans="1:8" x14ac:dyDescent="0.25">
      <c r="A487">
        <v>291</v>
      </c>
      <c r="B487" t="s">
        <v>130</v>
      </c>
      <c r="C487" s="7">
        <v>43585</v>
      </c>
      <c r="D487" t="s">
        <v>1356</v>
      </c>
      <c r="E487" t="s">
        <v>1357</v>
      </c>
      <c r="F487" s="229">
        <v>2000</v>
      </c>
      <c r="G487">
        <v>0</v>
      </c>
      <c r="H487" s="229">
        <v>-1582000</v>
      </c>
    </row>
    <row r="488" spans="1:8" x14ac:dyDescent="0.25">
      <c r="A488">
        <v>291</v>
      </c>
      <c r="B488" t="s">
        <v>130</v>
      </c>
      <c r="C488" s="7">
        <v>43585</v>
      </c>
      <c r="D488" t="s">
        <v>1358</v>
      </c>
      <c r="E488" t="s">
        <v>1359</v>
      </c>
      <c r="F488" s="229">
        <v>2000</v>
      </c>
      <c r="G488">
        <v>0</v>
      </c>
      <c r="H488" s="229">
        <v>-1580000</v>
      </c>
    </row>
    <row r="489" spans="1:8" x14ac:dyDescent="0.25">
      <c r="A489">
        <v>291</v>
      </c>
      <c r="B489" t="s">
        <v>130</v>
      </c>
      <c r="C489" s="7">
        <v>43585</v>
      </c>
      <c r="D489" t="s">
        <v>1360</v>
      </c>
      <c r="E489" t="s">
        <v>1361</v>
      </c>
      <c r="F489" s="229">
        <v>1000</v>
      </c>
      <c r="G489">
        <v>0</v>
      </c>
      <c r="H489" s="229">
        <v>-1579000</v>
      </c>
    </row>
    <row r="490" spans="1:8" x14ac:dyDescent="0.25">
      <c r="A490">
        <v>291</v>
      </c>
      <c r="B490" t="s">
        <v>130</v>
      </c>
      <c r="C490" s="7">
        <v>43585</v>
      </c>
      <c r="D490" t="s">
        <v>1362</v>
      </c>
      <c r="E490" t="s">
        <v>1363</v>
      </c>
      <c r="F490" s="229">
        <v>3000</v>
      </c>
      <c r="G490">
        <v>0</v>
      </c>
      <c r="H490" s="229">
        <v>-1576000</v>
      </c>
    </row>
    <row r="491" spans="1:8" x14ac:dyDescent="0.25">
      <c r="A491">
        <v>291</v>
      </c>
      <c r="B491" t="s">
        <v>130</v>
      </c>
      <c r="C491" s="7">
        <v>43585</v>
      </c>
      <c r="D491" t="s">
        <v>1364</v>
      </c>
      <c r="E491" t="s">
        <v>1365</v>
      </c>
      <c r="F491" s="229">
        <v>20000</v>
      </c>
      <c r="G491">
        <v>0</v>
      </c>
      <c r="H491" s="229">
        <v>-1556000</v>
      </c>
    </row>
    <row r="492" spans="1:8" x14ac:dyDescent="0.25">
      <c r="A492">
        <v>291</v>
      </c>
      <c r="B492" t="s">
        <v>130</v>
      </c>
      <c r="C492" s="7">
        <v>43585</v>
      </c>
      <c r="D492" t="s">
        <v>1366</v>
      </c>
      <c r="E492" t="s">
        <v>1367</v>
      </c>
      <c r="F492" s="229">
        <v>10000</v>
      </c>
      <c r="G492">
        <v>0</v>
      </c>
      <c r="H492" s="229">
        <v>-1546000</v>
      </c>
    </row>
    <row r="493" spans="1:8" x14ac:dyDescent="0.25">
      <c r="A493">
        <v>291</v>
      </c>
      <c r="B493" t="s">
        <v>130</v>
      </c>
      <c r="C493" s="7">
        <v>43585</v>
      </c>
      <c r="D493" t="s">
        <v>1368</v>
      </c>
      <c r="E493" t="s">
        <v>1369</v>
      </c>
      <c r="F493" s="229">
        <v>20000</v>
      </c>
      <c r="G493">
        <v>0</v>
      </c>
      <c r="H493" s="229">
        <v>-1526000</v>
      </c>
    </row>
    <row r="494" spans="1:8" x14ac:dyDescent="0.25">
      <c r="A494">
        <v>291</v>
      </c>
      <c r="B494" t="s">
        <v>130</v>
      </c>
      <c r="C494" s="7">
        <v>43585</v>
      </c>
      <c r="D494" t="s">
        <v>1370</v>
      </c>
      <c r="E494" t="s">
        <v>1371</v>
      </c>
      <c r="F494" s="229">
        <v>5000</v>
      </c>
      <c r="G494">
        <v>0</v>
      </c>
      <c r="H494" s="229">
        <v>-1521000</v>
      </c>
    </row>
    <row r="495" spans="1:8" x14ac:dyDescent="0.25">
      <c r="A495">
        <v>291</v>
      </c>
      <c r="B495" t="s">
        <v>130</v>
      </c>
      <c r="C495" s="7">
        <v>43585</v>
      </c>
      <c r="D495" t="s">
        <v>1372</v>
      </c>
      <c r="E495" t="s">
        <v>1373</v>
      </c>
      <c r="F495" s="229">
        <v>20000</v>
      </c>
      <c r="G495">
        <v>0</v>
      </c>
      <c r="H495" s="229">
        <v>-1501000</v>
      </c>
    </row>
    <row r="496" spans="1:8" x14ac:dyDescent="0.25">
      <c r="A496">
        <v>291</v>
      </c>
      <c r="B496" t="s">
        <v>130</v>
      </c>
      <c r="C496" s="7">
        <v>43585</v>
      </c>
      <c r="D496" t="s">
        <v>1374</v>
      </c>
      <c r="E496" t="s">
        <v>1375</v>
      </c>
      <c r="F496" s="229">
        <v>20000</v>
      </c>
      <c r="G496">
        <v>0</v>
      </c>
      <c r="H496" s="229">
        <v>-1481000</v>
      </c>
    </row>
    <row r="497" spans="1:8" x14ac:dyDescent="0.25">
      <c r="A497">
        <v>291</v>
      </c>
      <c r="B497" t="s">
        <v>130</v>
      </c>
      <c r="C497" s="7">
        <v>43585</v>
      </c>
      <c r="D497" t="s">
        <v>1376</v>
      </c>
      <c r="E497" t="s">
        <v>1377</v>
      </c>
      <c r="F497" s="229">
        <v>20000</v>
      </c>
      <c r="G497">
        <v>0</v>
      </c>
      <c r="H497" s="229">
        <v>-1461000</v>
      </c>
    </row>
    <row r="498" spans="1:8" x14ac:dyDescent="0.25">
      <c r="A498">
        <v>291</v>
      </c>
      <c r="B498" t="s">
        <v>130</v>
      </c>
      <c r="C498" s="7">
        <v>43585</v>
      </c>
      <c r="D498" t="s">
        <v>1378</v>
      </c>
      <c r="E498" t="s">
        <v>1379</v>
      </c>
      <c r="F498" s="229">
        <v>5000</v>
      </c>
      <c r="G498">
        <v>0</v>
      </c>
      <c r="H498" s="229">
        <v>-1456000</v>
      </c>
    </row>
    <row r="499" spans="1:8" x14ac:dyDescent="0.25">
      <c r="A499">
        <v>291</v>
      </c>
      <c r="B499" t="s">
        <v>130</v>
      </c>
      <c r="C499" s="7">
        <v>43585</v>
      </c>
      <c r="D499" t="s">
        <v>1380</v>
      </c>
      <c r="E499" t="s">
        <v>1381</v>
      </c>
      <c r="F499" s="229">
        <v>20000</v>
      </c>
      <c r="G499">
        <v>0</v>
      </c>
      <c r="H499" s="229">
        <v>-1436000</v>
      </c>
    </row>
    <row r="500" spans="1:8" x14ac:dyDescent="0.25">
      <c r="A500">
        <v>291</v>
      </c>
      <c r="B500" t="s">
        <v>130</v>
      </c>
      <c r="C500" s="7">
        <v>43585</v>
      </c>
      <c r="D500" t="s">
        <v>1382</v>
      </c>
      <c r="E500" t="s">
        <v>1383</v>
      </c>
      <c r="F500" s="229">
        <v>5000</v>
      </c>
      <c r="G500">
        <v>0</v>
      </c>
      <c r="H500" s="229">
        <v>-1431000</v>
      </c>
    </row>
    <row r="501" spans="1:8" x14ac:dyDescent="0.25">
      <c r="A501">
        <v>291</v>
      </c>
      <c r="B501" t="s">
        <v>130</v>
      </c>
      <c r="C501" s="7">
        <v>43585</v>
      </c>
      <c r="D501" t="s">
        <v>1384</v>
      </c>
      <c r="E501" t="s">
        <v>1385</v>
      </c>
      <c r="F501" s="229">
        <v>20000</v>
      </c>
      <c r="G501">
        <v>0</v>
      </c>
      <c r="H501" s="229">
        <v>-1411000</v>
      </c>
    </row>
    <row r="502" spans="1:8" x14ac:dyDescent="0.25">
      <c r="A502">
        <v>291</v>
      </c>
      <c r="B502" t="s">
        <v>130</v>
      </c>
      <c r="C502" s="7">
        <v>43585</v>
      </c>
      <c r="D502" t="s">
        <v>1386</v>
      </c>
      <c r="E502" t="s">
        <v>1387</v>
      </c>
      <c r="F502" s="229">
        <v>5000</v>
      </c>
      <c r="G502">
        <v>0</v>
      </c>
      <c r="H502" s="229">
        <v>-1406000</v>
      </c>
    </row>
    <row r="503" spans="1:8" x14ac:dyDescent="0.25">
      <c r="A503">
        <v>291</v>
      </c>
      <c r="B503" t="s">
        <v>130</v>
      </c>
      <c r="C503" s="7">
        <v>43585</v>
      </c>
      <c r="D503" t="s">
        <v>1388</v>
      </c>
      <c r="E503" t="s">
        <v>1389</v>
      </c>
      <c r="F503" s="229">
        <v>2000</v>
      </c>
      <c r="G503">
        <v>0</v>
      </c>
      <c r="H503" s="229">
        <v>-1404000</v>
      </c>
    </row>
    <row r="504" spans="1:8" x14ac:dyDescent="0.25">
      <c r="A504">
        <v>291</v>
      </c>
      <c r="B504" t="s">
        <v>130</v>
      </c>
      <c r="C504" s="7">
        <v>43585</v>
      </c>
      <c r="D504" t="s">
        <v>1390</v>
      </c>
      <c r="E504" t="s">
        <v>1391</v>
      </c>
      <c r="F504" s="229">
        <v>5000</v>
      </c>
      <c r="G504">
        <v>0</v>
      </c>
      <c r="H504" s="229">
        <v>-1399000</v>
      </c>
    </row>
    <row r="505" spans="1:8" x14ac:dyDescent="0.25">
      <c r="A505">
        <v>291</v>
      </c>
      <c r="B505" t="s">
        <v>130</v>
      </c>
      <c r="C505" s="7">
        <v>43585</v>
      </c>
      <c r="D505" t="s">
        <v>1392</v>
      </c>
      <c r="E505" t="s">
        <v>1393</v>
      </c>
      <c r="F505" s="229">
        <v>20000</v>
      </c>
      <c r="G505">
        <v>0</v>
      </c>
      <c r="H505" s="229">
        <v>-1379000</v>
      </c>
    </row>
    <row r="506" spans="1:8" x14ac:dyDescent="0.25">
      <c r="A506">
        <v>291</v>
      </c>
      <c r="B506" t="s">
        <v>130</v>
      </c>
      <c r="C506" s="7">
        <v>43585</v>
      </c>
      <c r="D506" t="s">
        <v>1394</v>
      </c>
      <c r="E506" t="s">
        <v>1395</v>
      </c>
      <c r="F506" s="229">
        <v>10000</v>
      </c>
      <c r="G506">
        <v>0</v>
      </c>
      <c r="H506" s="229">
        <v>-1369000</v>
      </c>
    </row>
    <row r="507" spans="1:8" x14ac:dyDescent="0.25">
      <c r="A507">
        <v>291</v>
      </c>
      <c r="B507" t="s">
        <v>130</v>
      </c>
      <c r="C507" s="7">
        <v>43585</v>
      </c>
      <c r="D507" t="s">
        <v>1396</v>
      </c>
      <c r="E507" t="s">
        <v>1397</v>
      </c>
      <c r="F507" s="229">
        <v>5000</v>
      </c>
      <c r="G507">
        <v>0</v>
      </c>
      <c r="H507" s="229">
        <v>-1364000</v>
      </c>
    </row>
    <row r="508" spans="1:8" x14ac:dyDescent="0.25">
      <c r="A508">
        <v>291</v>
      </c>
      <c r="B508" t="s">
        <v>130</v>
      </c>
      <c r="C508" s="7">
        <v>43585</v>
      </c>
      <c r="D508" t="s">
        <v>1398</v>
      </c>
      <c r="E508" t="s">
        <v>1399</v>
      </c>
      <c r="F508" s="229">
        <v>2000</v>
      </c>
      <c r="G508">
        <v>0</v>
      </c>
      <c r="H508" s="229">
        <v>-1362000</v>
      </c>
    </row>
    <row r="509" spans="1:8" x14ac:dyDescent="0.25">
      <c r="A509">
        <v>291</v>
      </c>
      <c r="B509" t="s">
        <v>130</v>
      </c>
      <c r="C509" s="7">
        <v>43585</v>
      </c>
      <c r="D509" t="s">
        <v>1400</v>
      </c>
      <c r="E509" t="s">
        <v>1401</v>
      </c>
      <c r="F509" s="229">
        <v>5000</v>
      </c>
      <c r="G509">
        <v>0</v>
      </c>
      <c r="H509" s="229">
        <v>-1357000</v>
      </c>
    </row>
    <row r="510" spans="1:8" x14ac:dyDescent="0.25">
      <c r="A510">
        <v>291</v>
      </c>
      <c r="B510" t="s">
        <v>130</v>
      </c>
      <c r="C510" s="7">
        <v>43585</v>
      </c>
      <c r="D510" t="s">
        <v>1402</v>
      </c>
      <c r="E510" t="s">
        <v>1403</v>
      </c>
      <c r="F510" s="229">
        <v>10000</v>
      </c>
      <c r="G510">
        <v>0</v>
      </c>
      <c r="H510" s="229">
        <v>-1347000</v>
      </c>
    </row>
    <row r="511" spans="1:8" x14ac:dyDescent="0.25">
      <c r="A511">
        <v>291</v>
      </c>
      <c r="B511" t="s">
        <v>130</v>
      </c>
      <c r="C511" s="7">
        <v>43585</v>
      </c>
      <c r="D511" t="s">
        <v>1404</v>
      </c>
      <c r="E511" t="s">
        <v>1405</v>
      </c>
      <c r="F511" s="229">
        <v>4000</v>
      </c>
      <c r="G511">
        <v>0</v>
      </c>
      <c r="H511" s="229">
        <v>-1343000</v>
      </c>
    </row>
    <row r="512" spans="1:8" x14ac:dyDescent="0.25">
      <c r="A512">
        <v>291</v>
      </c>
      <c r="B512" t="s">
        <v>130</v>
      </c>
      <c r="C512" s="7">
        <v>43585</v>
      </c>
      <c r="D512" t="s">
        <v>1406</v>
      </c>
      <c r="E512" t="s">
        <v>1407</v>
      </c>
      <c r="F512" s="229">
        <v>6000</v>
      </c>
      <c r="G512">
        <v>0</v>
      </c>
      <c r="H512" s="229">
        <v>-1337000</v>
      </c>
    </row>
    <row r="513" spans="1:8" x14ac:dyDescent="0.25">
      <c r="A513">
        <v>291</v>
      </c>
      <c r="B513" t="s">
        <v>130</v>
      </c>
      <c r="C513" s="7">
        <v>43585</v>
      </c>
      <c r="D513" t="s">
        <v>1408</v>
      </c>
      <c r="E513" t="s">
        <v>1409</v>
      </c>
      <c r="F513" s="229">
        <v>9000</v>
      </c>
      <c r="G513">
        <v>0</v>
      </c>
      <c r="H513" s="229">
        <v>-1328000</v>
      </c>
    </row>
    <row r="514" spans="1:8" x14ac:dyDescent="0.25">
      <c r="A514">
        <v>291</v>
      </c>
      <c r="B514" t="s">
        <v>130</v>
      </c>
      <c r="C514" s="7">
        <v>43585</v>
      </c>
      <c r="D514" t="s">
        <v>1410</v>
      </c>
      <c r="E514" t="s">
        <v>1411</v>
      </c>
      <c r="F514" s="229">
        <v>15000</v>
      </c>
      <c r="G514">
        <v>0</v>
      </c>
      <c r="H514" s="229">
        <v>-1313000</v>
      </c>
    </row>
    <row r="515" spans="1:8" x14ac:dyDescent="0.25">
      <c r="A515">
        <v>291</v>
      </c>
      <c r="B515" t="s">
        <v>130</v>
      </c>
      <c r="C515" s="7">
        <v>43585</v>
      </c>
      <c r="D515" t="s">
        <v>1412</v>
      </c>
      <c r="E515" t="s">
        <v>1413</v>
      </c>
      <c r="F515" s="229">
        <v>20000</v>
      </c>
      <c r="G515">
        <v>0</v>
      </c>
      <c r="H515" s="229">
        <v>-1293000</v>
      </c>
    </row>
    <row r="516" spans="1:8" x14ac:dyDescent="0.25">
      <c r="A516">
        <v>291</v>
      </c>
      <c r="B516" t="s">
        <v>130</v>
      </c>
      <c r="C516" s="7">
        <v>43585</v>
      </c>
      <c r="D516" t="s">
        <v>1414</v>
      </c>
      <c r="E516" t="s">
        <v>1415</v>
      </c>
      <c r="F516" s="229">
        <v>9000</v>
      </c>
      <c r="G516">
        <v>0</v>
      </c>
      <c r="H516" s="229">
        <v>-1284000</v>
      </c>
    </row>
    <row r="517" spans="1:8" x14ac:dyDescent="0.25">
      <c r="A517">
        <v>291</v>
      </c>
      <c r="B517" t="s">
        <v>130</v>
      </c>
      <c r="C517" s="7">
        <v>43585</v>
      </c>
      <c r="D517" t="s">
        <v>1416</v>
      </c>
      <c r="E517" t="s">
        <v>1417</v>
      </c>
      <c r="F517" s="229">
        <v>8000</v>
      </c>
      <c r="G517">
        <v>0</v>
      </c>
      <c r="H517" s="229">
        <v>-1276000</v>
      </c>
    </row>
    <row r="518" spans="1:8" x14ac:dyDescent="0.25">
      <c r="A518">
        <v>291</v>
      </c>
      <c r="B518" t="s">
        <v>130</v>
      </c>
      <c r="C518" s="7">
        <v>43585</v>
      </c>
      <c r="D518" t="s">
        <v>1418</v>
      </c>
      <c r="E518" t="s">
        <v>1419</v>
      </c>
      <c r="F518" s="229">
        <v>20000</v>
      </c>
      <c r="G518">
        <v>0</v>
      </c>
      <c r="H518" s="229">
        <v>-1256000</v>
      </c>
    </row>
    <row r="519" spans="1:8" x14ac:dyDescent="0.25">
      <c r="A519">
        <v>291</v>
      </c>
      <c r="B519" t="s">
        <v>130</v>
      </c>
      <c r="C519" s="7">
        <v>43585</v>
      </c>
      <c r="D519" t="s">
        <v>1420</v>
      </c>
      <c r="E519" t="s">
        <v>1421</v>
      </c>
      <c r="F519" s="229">
        <v>20000</v>
      </c>
      <c r="G519">
        <v>0</v>
      </c>
      <c r="H519" s="229">
        <v>-1236000</v>
      </c>
    </row>
    <row r="520" spans="1:8" x14ac:dyDescent="0.25">
      <c r="A520">
        <v>291</v>
      </c>
      <c r="B520" t="s">
        <v>130</v>
      </c>
      <c r="C520" s="7">
        <v>43585</v>
      </c>
      <c r="D520" t="s">
        <v>1422</v>
      </c>
      <c r="E520" t="s">
        <v>1423</v>
      </c>
      <c r="F520" s="229">
        <v>3500</v>
      </c>
      <c r="G520">
        <v>0</v>
      </c>
      <c r="H520" s="229">
        <v>-1232500</v>
      </c>
    </row>
    <row r="521" spans="1:8" x14ac:dyDescent="0.25">
      <c r="A521">
        <v>291</v>
      </c>
      <c r="B521" t="s">
        <v>130</v>
      </c>
      <c r="C521" s="7">
        <v>43585</v>
      </c>
      <c r="D521" t="s">
        <v>1424</v>
      </c>
      <c r="E521" t="s">
        <v>1425</v>
      </c>
      <c r="F521" s="229">
        <v>20000</v>
      </c>
      <c r="G521">
        <v>0</v>
      </c>
      <c r="H521" s="229">
        <v>-1212500</v>
      </c>
    </row>
    <row r="522" spans="1:8" x14ac:dyDescent="0.25">
      <c r="A522">
        <v>291</v>
      </c>
      <c r="B522" t="s">
        <v>130</v>
      </c>
      <c r="C522" s="7">
        <v>43585</v>
      </c>
      <c r="D522" t="s">
        <v>1426</v>
      </c>
      <c r="E522" t="s">
        <v>1427</v>
      </c>
      <c r="F522" s="229">
        <v>5000</v>
      </c>
      <c r="G522">
        <v>0</v>
      </c>
      <c r="H522" s="229">
        <v>-1207500</v>
      </c>
    </row>
    <row r="523" spans="1:8" x14ac:dyDescent="0.25">
      <c r="A523">
        <v>291</v>
      </c>
      <c r="B523" t="s">
        <v>130</v>
      </c>
      <c r="C523" s="7">
        <v>43585</v>
      </c>
      <c r="D523" t="s">
        <v>1428</v>
      </c>
      <c r="E523" t="s">
        <v>1429</v>
      </c>
      <c r="F523" s="229">
        <v>10000</v>
      </c>
      <c r="G523">
        <v>0</v>
      </c>
      <c r="H523" s="229">
        <v>-1197500</v>
      </c>
    </row>
    <row r="524" spans="1:8" x14ac:dyDescent="0.25">
      <c r="A524">
        <v>291</v>
      </c>
      <c r="B524" t="s">
        <v>130</v>
      </c>
      <c r="C524" s="7">
        <v>43585</v>
      </c>
      <c r="D524" t="s">
        <v>1430</v>
      </c>
      <c r="E524" t="s">
        <v>1431</v>
      </c>
      <c r="F524">
        <v>500</v>
      </c>
      <c r="G524">
        <v>0</v>
      </c>
      <c r="H524" s="229">
        <v>-1197000</v>
      </c>
    </row>
    <row r="525" spans="1:8" x14ac:dyDescent="0.25">
      <c r="A525">
        <v>291</v>
      </c>
      <c r="B525" t="s">
        <v>130</v>
      </c>
      <c r="C525" s="7">
        <v>43585</v>
      </c>
      <c r="D525" t="s">
        <v>1432</v>
      </c>
      <c r="E525" t="s">
        <v>1433</v>
      </c>
      <c r="F525" s="229">
        <v>1000</v>
      </c>
      <c r="G525">
        <v>0</v>
      </c>
      <c r="H525" s="229">
        <v>-1196000</v>
      </c>
    </row>
    <row r="526" spans="1:8" x14ac:dyDescent="0.25">
      <c r="A526">
        <v>291</v>
      </c>
      <c r="B526" t="s">
        <v>130</v>
      </c>
      <c r="C526" s="7">
        <v>43585</v>
      </c>
      <c r="D526" t="s">
        <v>1434</v>
      </c>
      <c r="E526" t="s">
        <v>1435</v>
      </c>
      <c r="F526" s="229">
        <v>20000</v>
      </c>
      <c r="G526">
        <v>0</v>
      </c>
      <c r="H526" s="229">
        <v>-1176000</v>
      </c>
    </row>
    <row r="527" spans="1:8" x14ac:dyDescent="0.25">
      <c r="A527">
        <v>291</v>
      </c>
      <c r="B527" t="s">
        <v>130</v>
      </c>
      <c r="C527" s="7">
        <v>43585</v>
      </c>
      <c r="D527" t="s">
        <v>1436</v>
      </c>
      <c r="E527" t="s">
        <v>1437</v>
      </c>
      <c r="F527" s="229">
        <v>20000</v>
      </c>
      <c r="G527">
        <v>0</v>
      </c>
      <c r="H527" s="229">
        <v>-1156000</v>
      </c>
    </row>
    <row r="528" spans="1:8" x14ac:dyDescent="0.25">
      <c r="A528">
        <v>291</v>
      </c>
      <c r="B528" t="s">
        <v>130</v>
      </c>
      <c r="C528" s="7">
        <v>43585</v>
      </c>
      <c r="D528" t="s">
        <v>1438</v>
      </c>
      <c r="E528" t="s">
        <v>1439</v>
      </c>
      <c r="F528" s="229">
        <v>20000</v>
      </c>
      <c r="G528">
        <v>0</v>
      </c>
      <c r="H528" s="229">
        <v>-1136000</v>
      </c>
    </row>
    <row r="529" spans="1:8" x14ac:dyDescent="0.25">
      <c r="A529">
        <v>291</v>
      </c>
      <c r="B529" t="s">
        <v>130</v>
      </c>
      <c r="C529" s="7">
        <v>43585</v>
      </c>
      <c r="D529" t="s">
        <v>1440</v>
      </c>
      <c r="E529" t="s">
        <v>1441</v>
      </c>
      <c r="F529">
        <v>500</v>
      </c>
      <c r="G529">
        <v>0</v>
      </c>
      <c r="H529" s="229">
        <v>-1135500</v>
      </c>
    </row>
    <row r="530" spans="1:8" x14ac:dyDescent="0.25">
      <c r="A530">
        <v>291</v>
      </c>
      <c r="B530" t="s">
        <v>130</v>
      </c>
      <c r="C530" s="7">
        <v>43585</v>
      </c>
      <c r="D530" t="s">
        <v>1442</v>
      </c>
      <c r="E530" t="s">
        <v>1443</v>
      </c>
      <c r="F530" s="229">
        <v>1000</v>
      </c>
      <c r="G530">
        <v>0</v>
      </c>
      <c r="H530" s="229">
        <v>-1134500</v>
      </c>
    </row>
    <row r="531" spans="1:8" x14ac:dyDescent="0.25">
      <c r="A531">
        <v>291</v>
      </c>
      <c r="B531" t="s">
        <v>130</v>
      </c>
      <c r="C531" s="7">
        <v>43585</v>
      </c>
      <c r="D531" t="s">
        <v>1444</v>
      </c>
      <c r="E531" t="s">
        <v>1445</v>
      </c>
      <c r="F531" s="229">
        <v>20000</v>
      </c>
      <c r="G531">
        <v>0</v>
      </c>
      <c r="H531" s="229">
        <v>-1114500</v>
      </c>
    </row>
    <row r="532" spans="1:8" x14ac:dyDescent="0.25">
      <c r="A532">
        <v>291</v>
      </c>
      <c r="B532" t="s">
        <v>130</v>
      </c>
      <c r="C532" s="7">
        <v>43585</v>
      </c>
      <c r="D532" t="s">
        <v>1446</v>
      </c>
      <c r="E532" t="s">
        <v>1447</v>
      </c>
      <c r="F532" s="229">
        <v>10000</v>
      </c>
      <c r="G532">
        <v>0</v>
      </c>
      <c r="H532" s="229">
        <v>-1104500</v>
      </c>
    </row>
    <row r="533" spans="1:8" x14ac:dyDescent="0.25">
      <c r="A533">
        <v>291</v>
      </c>
      <c r="B533" t="s">
        <v>130</v>
      </c>
      <c r="C533" s="7">
        <v>43585</v>
      </c>
      <c r="D533" t="s">
        <v>1448</v>
      </c>
      <c r="E533" t="s">
        <v>1449</v>
      </c>
      <c r="F533" s="229">
        <v>20000</v>
      </c>
      <c r="G533">
        <v>0</v>
      </c>
      <c r="H533" s="229">
        <v>-1084500</v>
      </c>
    </row>
    <row r="534" spans="1:8" x14ac:dyDescent="0.25">
      <c r="A534">
        <v>291</v>
      </c>
      <c r="B534" t="s">
        <v>130</v>
      </c>
      <c r="C534" s="7">
        <v>43585</v>
      </c>
      <c r="D534" t="s">
        <v>1450</v>
      </c>
      <c r="E534" t="s">
        <v>1451</v>
      </c>
      <c r="F534" s="229">
        <v>19000</v>
      </c>
      <c r="G534">
        <v>0</v>
      </c>
      <c r="H534" s="229">
        <v>-1065500</v>
      </c>
    </row>
    <row r="535" spans="1:8" x14ac:dyDescent="0.25">
      <c r="A535">
        <v>291</v>
      </c>
      <c r="B535" t="s">
        <v>130</v>
      </c>
      <c r="C535" s="7">
        <v>43585</v>
      </c>
      <c r="D535" t="s">
        <v>1452</v>
      </c>
      <c r="E535" t="s">
        <v>1453</v>
      </c>
      <c r="F535" s="229">
        <v>20000</v>
      </c>
      <c r="G535">
        <v>0</v>
      </c>
      <c r="H535" s="229">
        <v>-1045500</v>
      </c>
    </row>
    <row r="536" spans="1:8" x14ac:dyDescent="0.25">
      <c r="A536">
        <v>291</v>
      </c>
      <c r="B536" t="s">
        <v>130</v>
      </c>
      <c r="C536" s="7">
        <v>43585</v>
      </c>
      <c r="D536" t="s">
        <v>1454</v>
      </c>
      <c r="E536" t="s">
        <v>1455</v>
      </c>
      <c r="F536" s="229">
        <v>6000</v>
      </c>
      <c r="G536">
        <v>0</v>
      </c>
      <c r="H536" s="229">
        <v>-1039500</v>
      </c>
    </row>
    <row r="537" spans="1:8" x14ac:dyDescent="0.25">
      <c r="A537">
        <v>291</v>
      </c>
      <c r="B537" t="s">
        <v>130</v>
      </c>
      <c r="C537" s="7">
        <v>43585</v>
      </c>
      <c r="D537" t="s">
        <v>1456</v>
      </c>
      <c r="E537" t="s">
        <v>1457</v>
      </c>
      <c r="F537" s="229">
        <v>20000</v>
      </c>
      <c r="G537">
        <v>0</v>
      </c>
      <c r="H537" s="229">
        <v>-1019500</v>
      </c>
    </row>
    <row r="538" spans="1:8" x14ac:dyDescent="0.25">
      <c r="A538">
        <v>291</v>
      </c>
      <c r="B538" t="s">
        <v>130</v>
      </c>
      <c r="C538" s="7">
        <v>43585</v>
      </c>
      <c r="D538" t="s">
        <v>1458</v>
      </c>
      <c r="E538" t="s">
        <v>1459</v>
      </c>
      <c r="F538" s="229">
        <v>9500</v>
      </c>
      <c r="G538">
        <v>0</v>
      </c>
      <c r="H538" s="229">
        <v>-1010000</v>
      </c>
    </row>
    <row r="539" spans="1:8" x14ac:dyDescent="0.25">
      <c r="A539">
        <v>291</v>
      </c>
      <c r="B539" t="s">
        <v>130</v>
      </c>
      <c r="C539" s="7">
        <v>43585</v>
      </c>
      <c r="D539" t="s">
        <v>1460</v>
      </c>
      <c r="E539" t="s">
        <v>1461</v>
      </c>
      <c r="F539" s="229">
        <v>10000</v>
      </c>
      <c r="G539">
        <v>0</v>
      </c>
      <c r="H539" s="229">
        <v>-1000000</v>
      </c>
    </row>
    <row r="540" spans="1:8" x14ac:dyDescent="0.25">
      <c r="A540">
        <v>291</v>
      </c>
      <c r="B540" t="s">
        <v>130</v>
      </c>
      <c r="C540" s="7">
        <v>43585</v>
      </c>
      <c r="D540" t="s">
        <v>1462</v>
      </c>
      <c r="E540" t="s">
        <v>1463</v>
      </c>
      <c r="F540" s="229">
        <v>20000</v>
      </c>
      <c r="G540">
        <v>0</v>
      </c>
      <c r="H540" s="229">
        <v>-980000</v>
      </c>
    </row>
    <row r="541" spans="1:8" x14ac:dyDescent="0.25">
      <c r="A541">
        <v>291</v>
      </c>
      <c r="B541" t="s">
        <v>130</v>
      </c>
      <c r="C541" s="7">
        <v>43585</v>
      </c>
      <c r="D541" t="s">
        <v>1464</v>
      </c>
      <c r="E541" t="s">
        <v>1465</v>
      </c>
      <c r="F541" s="229">
        <v>20000</v>
      </c>
      <c r="G541">
        <v>0</v>
      </c>
      <c r="H541" s="229">
        <v>-960000</v>
      </c>
    </row>
    <row r="542" spans="1:8" x14ac:dyDescent="0.25">
      <c r="A542">
        <v>291</v>
      </c>
      <c r="B542" t="s">
        <v>130</v>
      </c>
      <c r="C542" s="7">
        <v>43585</v>
      </c>
      <c r="D542" t="s">
        <v>1466</v>
      </c>
      <c r="E542" t="s">
        <v>1467</v>
      </c>
      <c r="F542" s="229">
        <v>15000</v>
      </c>
      <c r="G542">
        <v>0</v>
      </c>
      <c r="H542" s="229">
        <v>-945000</v>
      </c>
    </row>
    <row r="543" spans="1:8" x14ac:dyDescent="0.25">
      <c r="A543">
        <v>291</v>
      </c>
      <c r="B543" t="s">
        <v>130</v>
      </c>
      <c r="C543" s="7">
        <v>43585</v>
      </c>
      <c r="D543" t="s">
        <v>1468</v>
      </c>
      <c r="E543" t="s">
        <v>1469</v>
      </c>
      <c r="F543" s="229">
        <v>5000</v>
      </c>
      <c r="G543">
        <v>0</v>
      </c>
      <c r="H543" s="229">
        <v>-940000</v>
      </c>
    </row>
    <row r="544" spans="1:8" x14ac:dyDescent="0.25">
      <c r="A544">
        <v>291</v>
      </c>
      <c r="B544" t="s">
        <v>130</v>
      </c>
      <c r="C544" s="7">
        <v>43585</v>
      </c>
      <c r="D544" t="s">
        <v>1470</v>
      </c>
      <c r="E544" t="s">
        <v>1471</v>
      </c>
      <c r="F544" s="229">
        <v>2000</v>
      </c>
      <c r="G544">
        <v>0</v>
      </c>
      <c r="H544" s="229">
        <v>-938000</v>
      </c>
    </row>
    <row r="545" spans="1:8" x14ac:dyDescent="0.25">
      <c r="A545">
        <v>291</v>
      </c>
      <c r="B545" t="s">
        <v>130</v>
      </c>
      <c r="C545" s="7">
        <v>43585</v>
      </c>
      <c r="D545" t="s">
        <v>1472</v>
      </c>
      <c r="E545" t="s">
        <v>1473</v>
      </c>
      <c r="F545" s="229">
        <v>20000</v>
      </c>
      <c r="G545">
        <v>0</v>
      </c>
      <c r="H545" s="229">
        <v>-918000</v>
      </c>
    </row>
    <row r="546" spans="1:8" x14ac:dyDescent="0.25">
      <c r="A546">
        <v>291</v>
      </c>
      <c r="B546" t="s">
        <v>130</v>
      </c>
      <c r="C546" s="7">
        <v>43585</v>
      </c>
      <c r="D546" t="s">
        <v>1474</v>
      </c>
      <c r="E546" t="s">
        <v>1475</v>
      </c>
      <c r="F546" s="229">
        <v>20000</v>
      </c>
      <c r="G546">
        <v>0</v>
      </c>
      <c r="H546" s="229">
        <v>-898000</v>
      </c>
    </row>
    <row r="547" spans="1:8" x14ac:dyDescent="0.25">
      <c r="A547">
        <v>291</v>
      </c>
      <c r="B547" t="s">
        <v>130</v>
      </c>
      <c r="C547" s="7">
        <v>43585</v>
      </c>
      <c r="D547" t="s">
        <v>1476</v>
      </c>
      <c r="E547" t="s">
        <v>1477</v>
      </c>
      <c r="F547" s="229">
        <v>1000</v>
      </c>
      <c r="G547">
        <v>0</v>
      </c>
      <c r="H547" s="229">
        <v>-897000</v>
      </c>
    </row>
    <row r="548" spans="1:8" x14ac:dyDescent="0.25">
      <c r="A548">
        <v>291</v>
      </c>
      <c r="B548" t="s">
        <v>130</v>
      </c>
      <c r="C548" s="7">
        <v>43585</v>
      </c>
      <c r="D548" t="s">
        <v>1478</v>
      </c>
      <c r="E548" t="s">
        <v>1479</v>
      </c>
      <c r="F548" s="229">
        <v>4500</v>
      </c>
      <c r="G548">
        <v>0</v>
      </c>
      <c r="H548" s="229">
        <v>-892500</v>
      </c>
    </row>
    <row r="549" spans="1:8" x14ac:dyDescent="0.25">
      <c r="A549">
        <v>291</v>
      </c>
      <c r="B549" t="s">
        <v>130</v>
      </c>
      <c r="C549" s="7">
        <v>43585</v>
      </c>
      <c r="D549" t="s">
        <v>1480</v>
      </c>
      <c r="E549" t="s">
        <v>1481</v>
      </c>
      <c r="F549">
        <v>500</v>
      </c>
      <c r="G549">
        <v>0</v>
      </c>
      <c r="H549" s="229">
        <v>-892000</v>
      </c>
    </row>
    <row r="550" spans="1:8" x14ac:dyDescent="0.25">
      <c r="A550">
        <v>291</v>
      </c>
      <c r="B550" t="s">
        <v>130</v>
      </c>
      <c r="C550" s="7">
        <v>43585</v>
      </c>
      <c r="D550" t="s">
        <v>1482</v>
      </c>
      <c r="E550" t="s">
        <v>1483</v>
      </c>
      <c r="F550" s="229">
        <v>20000</v>
      </c>
      <c r="G550">
        <v>0</v>
      </c>
      <c r="H550" s="229">
        <v>-872000</v>
      </c>
    </row>
    <row r="551" spans="1:8" x14ac:dyDescent="0.25">
      <c r="A551">
        <v>291</v>
      </c>
      <c r="B551" t="s">
        <v>130</v>
      </c>
      <c r="C551" s="7">
        <v>43585</v>
      </c>
      <c r="D551" t="s">
        <v>1484</v>
      </c>
      <c r="E551" t="s">
        <v>1485</v>
      </c>
      <c r="F551" s="229">
        <v>20000</v>
      </c>
      <c r="G551">
        <v>0</v>
      </c>
      <c r="H551" s="229">
        <v>-852000</v>
      </c>
    </row>
    <row r="552" spans="1:8" x14ac:dyDescent="0.25">
      <c r="A552">
        <v>291</v>
      </c>
      <c r="B552" t="s">
        <v>130</v>
      </c>
      <c r="C552" s="7">
        <v>43585</v>
      </c>
      <c r="D552" t="s">
        <v>1486</v>
      </c>
      <c r="E552" t="s">
        <v>1487</v>
      </c>
      <c r="F552" s="229">
        <v>1000</v>
      </c>
      <c r="G552">
        <v>0</v>
      </c>
      <c r="H552" s="229">
        <v>-851000</v>
      </c>
    </row>
    <row r="553" spans="1:8" x14ac:dyDescent="0.25">
      <c r="A553">
        <v>291</v>
      </c>
      <c r="B553" t="s">
        <v>130</v>
      </c>
      <c r="C553" s="7">
        <v>43585</v>
      </c>
      <c r="D553" t="s">
        <v>1488</v>
      </c>
      <c r="E553" t="s">
        <v>1489</v>
      </c>
      <c r="F553" s="229">
        <v>10000</v>
      </c>
      <c r="G553">
        <v>0</v>
      </c>
      <c r="H553" s="229">
        <v>-841000</v>
      </c>
    </row>
    <row r="554" spans="1:8" x14ac:dyDescent="0.25">
      <c r="A554">
        <v>291</v>
      </c>
      <c r="B554" t="s">
        <v>130</v>
      </c>
      <c r="C554" s="7">
        <v>43585</v>
      </c>
      <c r="D554" t="s">
        <v>1490</v>
      </c>
      <c r="E554" t="s">
        <v>1491</v>
      </c>
      <c r="F554" s="229">
        <v>5000</v>
      </c>
      <c r="G554">
        <v>0</v>
      </c>
      <c r="H554" s="229">
        <v>-836000</v>
      </c>
    </row>
    <row r="555" spans="1:8" x14ac:dyDescent="0.25">
      <c r="A555">
        <v>291</v>
      </c>
      <c r="B555" t="s">
        <v>130</v>
      </c>
      <c r="C555" s="7">
        <v>43585</v>
      </c>
      <c r="D555" t="s">
        <v>1492</v>
      </c>
      <c r="E555" t="s">
        <v>1493</v>
      </c>
      <c r="F555" s="229">
        <v>10000</v>
      </c>
      <c r="G555">
        <v>0</v>
      </c>
      <c r="H555" s="229">
        <v>-826000</v>
      </c>
    </row>
    <row r="556" spans="1:8" x14ac:dyDescent="0.25">
      <c r="A556">
        <v>291</v>
      </c>
      <c r="B556" t="s">
        <v>130</v>
      </c>
      <c r="C556" s="7">
        <v>43585</v>
      </c>
      <c r="D556" t="s">
        <v>1494</v>
      </c>
      <c r="E556" t="s">
        <v>1495</v>
      </c>
      <c r="F556" s="229">
        <v>20000</v>
      </c>
      <c r="G556">
        <v>0</v>
      </c>
      <c r="H556" s="229">
        <v>-806000</v>
      </c>
    </row>
    <row r="557" spans="1:8" x14ac:dyDescent="0.25">
      <c r="A557">
        <v>291</v>
      </c>
      <c r="B557" t="s">
        <v>130</v>
      </c>
      <c r="C557" s="7">
        <v>43585</v>
      </c>
      <c r="D557" t="s">
        <v>1496</v>
      </c>
      <c r="E557" t="s">
        <v>1497</v>
      </c>
      <c r="F557" s="229">
        <v>20000</v>
      </c>
      <c r="G557">
        <v>0</v>
      </c>
      <c r="H557" s="229">
        <v>-786000</v>
      </c>
    </row>
    <row r="558" spans="1:8" x14ac:dyDescent="0.25">
      <c r="A558">
        <v>291</v>
      </c>
      <c r="B558" t="s">
        <v>130</v>
      </c>
      <c r="C558" s="7">
        <v>43585</v>
      </c>
      <c r="D558" t="s">
        <v>1498</v>
      </c>
      <c r="E558" t="s">
        <v>1499</v>
      </c>
      <c r="F558" s="229">
        <v>20000</v>
      </c>
      <c r="G558">
        <v>0</v>
      </c>
      <c r="H558" s="229">
        <v>-766000</v>
      </c>
    </row>
    <row r="559" spans="1:8" x14ac:dyDescent="0.25">
      <c r="A559">
        <v>291</v>
      </c>
      <c r="B559" t="s">
        <v>130</v>
      </c>
      <c r="C559" s="7">
        <v>43585</v>
      </c>
      <c r="D559" t="s">
        <v>1500</v>
      </c>
      <c r="E559" t="s">
        <v>1501</v>
      </c>
      <c r="F559">
        <v>500</v>
      </c>
      <c r="G559">
        <v>0</v>
      </c>
      <c r="H559" s="229">
        <v>-765500</v>
      </c>
    </row>
    <row r="560" spans="1:8" x14ac:dyDescent="0.25">
      <c r="A560">
        <v>291</v>
      </c>
      <c r="B560" t="s">
        <v>130</v>
      </c>
      <c r="C560" s="7">
        <v>43585</v>
      </c>
      <c r="D560" t="s">
        <v>1502</v>
      </c>
      <c r="E560" t="s">
        <v>1503</v>
      </c>
      <c r="F560" s="229">
        <v>10000</v>
      </c>
      <c r="G560">
        <v>0</v>
      </c>
      <c r="H560" s="229">
        <v>-755500</v>
      </c>
    </row>
    <row r="561" spans="1:8" x14ac:dyDescent="0.25">
      <c r="A561">
        <v>291</v>
      </c>
      <c r="B561" t="s">
        <v>130</v>
      </c>
      <c r="C561" s="7">
        <v>43585</v>
      </c>
      <c r="D561" t="s">
        <v>1504</v>
      </c>
      <c r="E561" t="s">
        <v>1505</v>
      </c>
      <c r="F561" s="229">
        <v>20000</v>
      </c>
      <c r="G561">
        <v>0</v>
      </c>
      <c r="H561" s="229">
        <v>-735500</v>
      </c>
    </row>
    <row r="562" spans="1:8" x14ac:dyDescent="0.25">
      <c r="A562">
        <v>291</v>
      </c>
      <c r="B562" t="s">
        <v>130</v>
      </c>
      <c r="C562" s="7">
        <v>43585</v>
      </c>
      <c r="D562" t="s">
        <v>1506</v>
      </c>
      <c r="E562" t="s">
        <v>1507</v>
      </c>
      <c r="F562" s="229">
        <v>1000</v>
      </c>
      <c r="G562">
        <v>0</v>
      </c>
      <c r="H562" s="229">
        <v>-734500</v>
      </c>
    </row>
    <row r="563" spans="1:8" x14ac:dyDescent="0.25">
      <c r="A563">
        <v>291</v>
      </c>
      <c r="B563" t="s">
        <v>130</v>
      </c>
      <c r="C563" s="7">
        <v>43585</v>
      </c>
      <c r="D563" t="s">
        <v>1508</v>
      </c>
      <c r="E563" t="s">
        <v>1509</v>
      </c>
      <c r="F563" s="229">
        <v>10000</v>
      </c>
      <c r="G563">
        <v>0</v>
      </c>
      <c r="H563" s="229">
        <v>-724500</v>
      </c>
    </row>
    <row r="564" spans="1:8" x14ac:dyDescent="0.25">
      <c r="A564">
        <v>291</v>
      </c>
      <c r="B564" t="s">
        <v>130</v>
      </c>
      <c r="C564" s="7">
        <v>43585</v>
      </c>
      <c r="D564" t="s">
        <v>1510</v>
      </c>
      <c r="E564" t="s">
        <v>1511</v>
      </c>
      <c r="F564" s="229">
        <v>10000</v>
      </c>
      <c r="G564">
        <v>0</v>
      </c>
      <c r="H564" s="229">
        <v>-714500</v>
      </c>
    </row>
    <row r="565" spans="1:8" x14ac:dyDescent="0.25">
      <c r="A565">
        <v>291</v>
      </c>
      <c r="B565" t="s">
        <v>130</v>
      </c>
      <c r="C565" s="7">
        <v>43585</v>
      </c>
      <c r="D565" t="s">
        <v>1512</v>
      </c>
      <c r="E565" t="s">
        <v>1513</v>
      </c>
      <c r="F565" s="229">
        <v>8000</v>
      </c>
      <c r="G565">
        <v>0</v>
      </c>
      <c r="H565" s="229">
        <v>-706500</v>
      </c>
    </row>
    <row r="566" spans="1:8" x14ac:dyDescent="0.25">
      <c r="A566">
        <v>291</v>
      </c>
      <c r="B566" t="s">
        <v>130</v>
      </c>
      <c r="C566" s="7">
        <v>43585</v>
      </c>
      <c r="D566" t="s">
        <v>1514</v>
      </c>
      <c r="E566" t="s">
        <v>1515</v>
      </c>
      <c r="F566" s="229">
        <v>20000</v>
      </c>
      <c r="G566">
        <v>0</v>
      </c>
      <c r="H566" s="229">
        <v>-686500</v>
      </c>
    </row>
    <row r="567" spans="1:8" x14ac:dyDescent="0.25">
      <c r="A567">
        <v>291</v>
      </c>
      <c r="B567" t="s">
        <v>130</v>
      </c>
      <c r="C567" s="7">
        <v>43585</v>
      </c>
      <c r="D567" t="s">
        <v>1516</v>
      </c>
      <c r="E567" t="s">
        <v>1517</v>
      </c>
      <c r="F567" s="229">
        <v>10000</v>
      </c>
      <c r="G567">
        <v>0</v>
      </c>
      <c r="H567" s="229">
        <v>-676500</v>
      </c>
    </row>
    <row r="568" spans="1:8" x14ac:dyDescent="0.25">
      <c r="A568">
        <v>291</v>
      </c>
      <c r="B568" t="s">
        <v>130</v>
      </c>
      <c r="C568" s="7">
        <v>43585</v>
      </c>
      <c r="D568" t="s">
        <v>1518</v>
      </c>
      <c r="E568" t="s">
        <v>1519</v>
      </c>
      <c r="F568" s="229">
        <v>5000</v>
      </c>
      <c r="G568">
        <v>0</v>
      </c>
      <c r="H568" s="229">
        <v>-671500</v>
      </c>
    </row>
    <row r="569" spans="1:8" x14ac:dyDescent="0.25">
      <c r="A569">
        <v>291</v>
      </c>
      <c r="B569" t="s">
        <v>130</v>
      </c>
      <c r="C569" s="7">
        <v>43585</v>
      </c>
      <c r="D569" t="s">
        <v>1520</v>
      </c>
      <c r="E569" t="s">
        <v>1521</v>
      </c>
      <c r="F569" s="229">
        <v>1000</v>
      </c>
      <c r="G569">
        <v>0</v>
      </c>
      <c r="H569" s="229">
        <v>-670500</v>
      </c>
    </row>
    <row r="570" spans="1:8" x14ac:dyDescent="0.25">
      <c r="A570">
        <v>291</v>
      </c>
      <c r="B570" t="s">
        <v>130</v>
      </c>
      <c r="C570" s="7">
        <v>43585</v>
      </c>
      <c r="D570" t="s">
        <v>1522</v>
      </c>
      <c r="E570" t="s">
        <v>1523</v>
      </c>
      <c r="F570" s="229">
        <v>7000</v>
      </c>
      <c r="G570">
        <v>0</v>
      </c>
      <c r="H570" s="229">
        <v>-663500</v>
      </c>
    </row>
    <row r="571" spans="1:8" x14ac:dyDescent="0.25">
      <c r="A571">
        <v>291</v>
      </c>
      <c r="B571" t="s">
        <v>130</v>
      </c>
      <c r="C571" s="7">
        <v>43585</v>
      </c>
      <c r="D571" t="s">
        <v>1524</v>
      </c>
      <c r="E571" t="s">
        <v>1525</v>
      </c>
      <c r="F571" s="229">
        <v>5000</v>
      </c>
      <c r="G571">
        <v>0</v>
      </c>
      <c r="H571" s="229">
        <v>-658500</v>
      </c>
    </row>
    <row r="572" spans="1:8" x14ac:dyDescent="0.25">
      <c r="A572">
        <v>291</v>
      </c>
      <c r="B572" t="s">
        <v>130</v>
      </c>
      <c r="C572" s="7">
        <v>43585</v>
      </c>
      <c r="D572" t="s">
        <v>1526</v>
      </c>
      <c r="E572" t="s">
        <v>1527</v>
      </c>
      <c r="F572" s="229">
        <v>20000</v>
      </c>
      <c r="G572">
        <v>0</v>
      </c>
      <c r="H572" s="229">
        <v>-638500</v>
      </c>
    </row>
    <row r="573" spans="1:8" x14ac:dyDescent="0.25">
      <c r="A573">
        <v>291</v>
      </c>
      <c r="B573" t="s">
        <v>130</v>
      </c>
      <c r="C573" s="7">
        <v>43585</v>
      </c>
      <c r="D573" t="s">
        <v>1528</v>
      </c>
      <c r="E573" t="s">
        <v>1529</v>
      </c>
      <c r="F573" s="229">
        <v>10000</v>
      </c>
      <c r="G573">
        <v>0</v>
      </c>
      <c r="H573" s="229">
        <v>-628500</v>
      </c>
    </row>
    <row r="574" spans="1:8" x14ac:dyDescent="0.25">
      <c r="A574">
        <v>291</v>
      </c>
      <c r="B574" t="s">
        <v>130</v>
      </c>
      <c r="C574" s="7">
        <v>43585</v>
      </c>
      <c r="D574" t="s">
        <v>1530</v>
      </c>
      <c r="E574" t="s">
        <v>1531</v>
      </c>
      <c r="F574" s="229">
        <v>20000</v>
      </c>
      <c r="G574">
        <v>0</v>
      </c>
      <c r="H574" s="229">
        <v>-608500</v>
      </c>
    </row>
    <row r="575" spans="1:8" x14ac:dyDescent="0.25">
      <c r="A575">
        <v>291</v>
      </c>
      <c r="B575" t="s">
        <v>130</v>
      </c>
      <c r="C575" s="7">
        <v>43585</v>
      </c>
      <c r="D575" t="s">
        <v>1532</v>
      </c>
      <c r="E575" t="s">
        <v>1533</v>
      </c>
      <c r="F575" s="229">
        <v>2500</v>
      </c>
      <c r="G575">
        <v>0</v>
      </c>
      <c r="H575" s="229">
        <v>-606000</v>
      </c>
    </row>
    <row r="576" spans="1:8" x14ac:dyDescent="0.25">
      <c r="A576">
        <v>291</v>
      </c>
      <c r="B576" t="s">
        <v>130</v>
      </c>
      <c r="C576" s="7">
        <v>43585</v>
      </c>
      <c r="D576" t="s">
        <v>1534</v>
      </c>
      <c r="E576" t="s">
        <v>1535</v>
      </c>
      <c r="F576" s="229">
        <v>2000</v>
      </c>
      <c r="G576">
        <v>0</v>
      </c>
      <c r="H576" s="229">
        <v>-604000</v>
      </c>
    </row>
    <row r="577" spans="1:8" x14ac:dyDescent="0.25">
      <c r="A577">
        <v>291</v>
      </c>
      <c r="B577" t="s">
        <v>130</v>
      </c>
      <c r="C577" s="7">
        <v>43585</v>
      </c>
      <c r="D577" t="s">
        <v>1536</v>
      </c>
      <c r="E577" t="s">
        <v>1537</v>
      </c>
      <c r="F577" s="229">
        <v>15000</v>
      </c>
      <c r="G577">
        <v>0</v>
      </c>
      <c r="H577" s="229">
        <v>-589000</v>
      </c>
    </row>
    <row r="578" spans="1:8" x14ac:dyDescent="0.25">
      <c r="A578">
        <v>291</v>
      </c>
      <c r="B578" t="s">
        <v>130</v>
      </c>
      <c r="C578" s="7">
        <v>43585</v>
      </c>
      <c r="D578" t="s">
        <v>1538</v>
      </c>
      <c r="E578" t="s">
        <v>1539</v>
      </c>
      <c r="F578" s="229">
        <v>20000</v>
      </c>
      <c r="G578">
        <v>0</v>
      </c>
      <c r="H578" s="229">
        <v>-569000</v>
      </c>
    </row>
    <row r="579" spans="1:8" x14ac:dyDescent="0.25">
      <c r="A579">
        <v>291</v>
      </c>
      <c r="B579" t="s">
        <v>130</v>
      </c>
      <c r="C579" s="7">
        <v>43585</v>
      </c>
      <c r="D579" t="s">
        <v>1540</v>
      </c>
      <c r="E579" t="s">
        <v>1541</v>
      </c>
      <c r="F579" s="229">
        <v>20000</v>
      </c>
      <c r="G579">
        <v>0</v>
      </c>
      <c r="H579" s="229">
        <v>-549000</v>
      </c>
    </row>
    <row r="580" spans="1:8" x14ac:dyDescent="0.25">
      <c r="A580">
        <v>291</v>
      </c>
      <c r="B580" t="s">
        <v>130</v>
      </c>
      <c r="C580" s="7">
        <v>43585</v>
      </c>
      <c r="D580" t="s">
        <v>1542</v>
      </c>
      <c r="E580" t="s">
        <v>1543</v>
      </c>
      <c r="F580" s="229">
        <v>2000</v>
      </c>
      <c r="G580">
        <v>0</v>
      </c>
      <c r="H580" s="229">
        <v>-547000</v>
      </c>
    </row>
    <row r="581" spans="1:8" x14ac:dyDescent="0.25">
      <c r="A581">
        <v>291</v>
      </c>
      <c r="B581" t="s">
        <v>130</v>
      </c>
      <c r="C581" s="7">
        <v>43585</v>
      </c>
      <c r="D581" t="s">
        <v>1544</v>
      </c>
      <c r="E581" t="s">
        <v>1545</v>
      </c>
      <c r="F581" s="229">
        <v>10000</v>
      </c>
      <c r="G581">
        <v>0</v>
      </c>
      <c r="H581" s="229">
        <v>-537000</v>
      </c>
    </row>
    <row r="582" spans="1:8" x14ac:dyDescent="0.25">
      <c r="A582">
        <v>291</v>
      </c>
      <c r="B582" t="s">
        <v>130</v>
      </c>
      <c r="C582" s="7">
        <v>43585</v>
      </c>
      <c r="D582" t="s">
        <v>1546</v>
      </c>
      <c r="E582" t="s">
        <v>1547</v>
      </c>
      <c r="F582" s="229">
        <v>1000</v>
      </c>
      <c r="G582">
        <v>0</v>
      </c>
      <c r="H582" s="229">
        <v>-536000</v>
      </c>
    </row>
    <row r="583" spans="1:8" x14ac:dyDescent="0.25">
      <c r="A583">
        <v>291</v>
      </c>
      <c r="B583" t="s">
        <v>130</v>
      </c>
      <c r="C583" s="7">
        <v>43585</v>
      </c>
      <c r="D583" t="s">
        <v>1548</v>
      </c>
      <c r="E583" t="s">
        <v>1549</v>
      </c>
      <c r="F583" s="229">
        <v>14000</v>
      </c>
      <c r="G583">
        <v>0</v>
      </c>
      <c r="H583" s="229">
        <v>-522000</v>
      </c>
    </row>
    <row r="584" spans="1:8" x14ac:dyDescent="0.25">
      <c r="A584">
        <v>291</v>
      </c>
      <c r="B584" t="s">
        <v>130</v>
      </c>
      <c r="C584" s="7">
        <v>43585</v>
      </c>
      <c r="D584" t="s">
        <v>1550</v>
      </c>
      <c r="E584" t="s">
        <v>1551</v>
      </c>
      <c r="F584" s="229">
        <v>20000</v>
      </c>
      <c r="G584">
        <v>0</v>
      </c>
      <c r="H584" s="229">
        <v>-502000</v>
      </c>
    </row>
    <row r="585" spans="1:8" x14ac:dyDescent="0.25">
      <c r="A585">
        <v>291</v>
      </c>
      <c r="B585" t="s">
        <v>130</v>
      </c>
      <c r="C585" s="7">
        <v>43585</v>
      </c>
      <c r="D585" t="s">
        <v>1552</v>
      </c>
      <c r="E585" t="s">
        <v>1553</v>
      </c>
      <c r="F585" s="229">
        <v>3000</v>
      </c>
      <c r="G585">
        <v>0</v>
      </c>
      <c r="H585" s="229">
        <v>-499000</v>
      </c>
    </row>
    <row r="586" spans="1:8" x14ac:dyDescent="0.25">
      <c r="A586">
        <v>291</v>
      </c>
      <c r="B586" t="s">
        <v>130</v>
      </c>
      <c r="C586" s="7">
        <v>43585</v>
      </c>
      <c r="D586" t="s">
        <v>1554</v>
      </c>
      <c r="E586" t="s">
        <v>1555</v>
      </c>
      <c r="F586" s="229">
        <v>2000</v>
      </c>
      <c r="G586">
        <v>0</v>
      </c>
      <c r="H586" s="229">
        <v>-497000</v>
      </c>
    </row>
    <row r="587" spans="1:8" x14ac:dyDescent="0.25">
      <c r="A587">
        <v>291</v>
      </c>
      <c r="B587" t="s">
        <v>130</v>
      </c>
      <c r="C587" s="7">
        <v>43585</v>
      </c>
      <c r="D587" t="s">
        <v>1556</v>
      </c>
      <c r="E587" t="s">
        <v>1557</v>
      </c>
      <c r="F587" s="229">
        <v>10000</v>
      </c>
      <c r="G587">
        <v>0</v>
      </c>
      <c r="H587" s="229">
        <v>-487000</v>
      </c>
    </row>
    <row r="588" spans="1:8" x14ac:dyDescent="0.25">
      <c r="A588">
        <v>291</v>
      </c>
      <c r="B588" t="s">
        <v>130</v>
      </c>
      <c r="C588" s="7">
        <v>43585</v>
      </c>
      <c r="D588" t="s">
        <v>1558</v>
      </c>
      <c r="E588" t="s">
        <v>1559</v>
      </c>
      <c r="F588" s="229">
        <v>20000</v>
      </c>
      <c r="G588">
        <v>0</v>
      </c>
      <c r="H588" s="229">
        <v>-467000</v>
      </c>
    </row>
    <row r="589" spans="1:8" x14ac:dyDescent="0.25">
      <c r="A589">
        <v>291</v>
      </c>
      <c r="B589" t="s">
        <v>130</v>
      </c>
      <c r="C589" s="7">
        <v>43585</v>
      </c>
      <c r="D589" t="s">
        <v>1560</v>
      </c>
      <c r="E589" t="s">
        <v>1561</v>
      </c>
      <c r="F589" s="229">
        <v>20000</v>
      </c>
      <c r="G589">
        <v>0</v>
      </c>
      <c r="H589" s="229">
        <v>-447000</v>
      </c>
    </row>
    <row r="590" spans="1:8" x14ac:dyDescent="0.25">
      <c r="A590">
        <v>291</v>
      </c>
      <c r="B590" t="s">
        <v>130</v>
      </c>
      <c r="C590" s="7">
        <v>43585</v>
      </c>
      <c r="D590" t="s">
        <v>1562</v>
      </c>
      <c r="E590" t="s">
        <v>1563</v>
      </c>
      <c r="F590" s="229">
        <v>1000</v>
      </c>
      <c r="G590">
        <v>0</v>
      </c>
      <c r="H590" s="229">
        <v>-446000</v>
      </c>
    </row>
    <row r="591" spans="1:8" x14ac:dyDescent="0.25">
      <c r="A591">
        <v>291</v>
      </c>
      <c r="B591" t="s">
        <v>130</v>
      </c>
      <c r="C591" s="7">
        <v>43585</v>
      </c>
      <c r="D591" t="s">
        <v>1564</v>
      </c>
      <c r="E591" t="s">
        <v>1565</v>
      </c>
      <c r="F591" s="229">
        <v>20000</v>
      </c>
      <c r="G591">
        <v>0</v>
      </c>
      <c r="H591" s="229">
        <v>-426000</v>
      </c>
    </row>
    <row r="592" spans="1:8" x14ac:dyDescent="0.25">
      <c r="A592">
        <v>291</v>
      </c>
      <c r="B592" t="s">
        <v>130</v>
      </c>
      <c r="C592" s="7">
        <v>43585</v>
      </c>
      <c r="D592" t="s">
        <v>1566</v>
      </c>
      <c r="E592" t="s">
        <v>1567</v>
      </c>
      <c r="F592" s="229">
        <v>3000</v>
      </c>
      <c r="G592">
        <v>0</v>
      </c>
      <c r="H592" s="229">
        <v>-423000</v>
      </c>
    </row>
    <row r="593" spans="1:8" x14ac:dyDescent="0.25">
      <c r="A593">
        <v>291</v>
      </c>
      <c r="B593" t="s">
        <v>130</v>
      </c>
      <c r="C593" s="7">
        <v>43585</v>
      </c>
      <c r="D593" t="s">
        <v>1568</v>
      </c>
      <c r="E593" t="s">
        <v>1569</v>
      </c>
      <c r="F593" s="229">
        <v>40000</v>
      </c>
      <c r="G593">
        <v>0</v>
      </c>
      <c r="H593" s="229">
        <v>-383000</v>
      </c>
    </row>
    <row r="594" spans="1:8" x14ac:dyDescent="0.25">
      <c r="A594">
        <v>291</v>
      </c>
      <c r="B594" t="s">
        <v>130</v>
      </c>
      <c r="C594" s="7">
        <v>43585</v>
      </c>
      <c r="D594" t="s">
        <v>1570</v>
      </c>
      <c r="E594" t="s">
        <v>1571</v>
      </c>
      <c r="F594" s="229">
        <v>1000</v>
      </c>
      <c r="G594">
        <v>0</v>
      </c>
      <c r="H594" s="229">
        <v>-382000</v>
      </c>
    </row>
    <row r="595" spans="1:8" x14ac:dyDescent="0.25">
      <c r="A595">
        <v>291</v>
      </c>
      <c r="B595" t="s">
        <v>130</v>
      </c>
      <c r="C595" s="7">
        <v>43585</v>
      </c>
      <c r="D595" t="s">
        <v>1572</v>
      </c>
      <c r="E595" t="s">
        <v>1573</v>
      </c>
      <c r="F595" s="229">
        <v>10000</v>
      </c>
      <c r="G595">
        <v>0</v>
      </c>
      <c r="H595" s="229">
        <v>-372000</v>
      </c>
    </row>
    <row r="596" spans="1:8" x14ac:dyDescent="0.25">
      <c r="A596">
        <v>291</v>
      </c>
      <c r="B596" t="s">
        <v>130</v>
      </c>
      <c r="C596" s="7">
        <v>43585</v>
      </c>
      <c r="D596" t="s">
        <v>1574</v>
      </c>
      <c r="E596" t="s">
        <v>1575</v>
      </c>
      <c r="F596" s="229">
        <v>10000</v>
      </c>
      <c r="G596">
        <v>0</v>
      </c>
      <c r="H596" s="229">
        <v>-362000</v>
      </c>
    </row>
    <row r="597" spans="1:8" x14ac:dyDescent="0.25">
      <c r="A597">
        <v>291</v>
      </c>
      <c r="B597" t="s">
        <v>130</v>
      </c>
      <c r="C597" s="7">
        <v>43585</v>
      </c>
      <c r="D597" t="s">
        <v>1576</v>
      </c>
      <c r="E597" t="s">
        <v>1577</v>
      </c>
      <c r="F597" s="229">
        <v>16500</v>
      </c>
      <c r="G597">
        <v>0</v>
      </c>
      <c r="H597" s="229">
        <v>-345500</v>
      </c>
    </row>
    <row r="598" spans="1:8" x14ac:dyDescent="0.25">
      <c r="A598">
        <v>291</v>
      </c>
      <c r="B598" t="s">
        <v>130</v>
      </c>
      <c r="C598" s="7">
        <v>43585</v>
      </c>
      <c r="D598" t="s">
        <v>1578</v>
      </c>
      <c r="E598" t="s">
        <v>1579</v>
      </c>
      <c r="F598" s="229">
        <v>10000</v>
      </c>
      <c r="G598">
        <v>0</v>
      </c>
      <c r="H598" s="229">
        <v>-335500</v>
      </c>
    </row>
    <row r="599" spans="1:8" x14ac:dyDescent="0.25">
      <c r="A599">
        <v>291</v>
      </c>
      <c r="B599" t="s">
        <v>130</v>
      </c>
      <c r="C599" s="7">
        <v>43585</v>
      </c>
      <c r="D599" t="s">
        <v>1580</v>
      </c>
      <c r="E599" t="s">
        <v>1581</v>
      </c>
      <c r="F599" s="229">
        <v>20000</v>
      </c>
      <c r="G599">
        <v>0</v>
      </c>
      <c r="H599" s="229">
        <v>-315500</v>
      </c>
    </row>
    <row r="600" spans="1:8" x14ac:dyDescent="0.25">
      <c r="A600">
        <v>291</v>
      </c>
      <c r="B600" t="s">
        <v>130</v>
      </c>
      <c r="C600" s="7">
        <v>43585</v>
      </c>
      <c r="D600" t="s">
        <v>1582</v>
      </c>
      <c r="E600" t="s">
        <v>1583</v>
      </c>
      <c r="F600" s="229">
        <v>20000</v>
      </c>
      <c r="G600">
        <v>0</v>
      </c>
      <c r="H600" s="229">
        <v>-295500</v>
      </c>
    </row>
    <row r="601" spans="1:8" x14ac:dyDescent="0.25">
      <c r="A601">
        <v>291</v>
      </c>
      <c r="B601" t="s">
        <v>130</v>
      </c>
      <c r="C601" s="7">
        <v>43585</v>
      </c>
      <c r="D601" t="s">
        <v>1584</v>
      </c>
      <c r="E601" t="s">
        <v>1585</v>
      </c>
      <c r="F601" s="229">
        <v>20000</v>
      </c>
      <c r="G601">
        <v>0</v>
      </c>
      <c r="H601" s="229">
        <v>-275500</v>
      </c>
    </row>
    <row r="602" spans="1:8" x14ac:dyDescent="0.25">
      <c r="A602">
        <v>291</v>
      </c>
      <c r="B602" t="s">
        <v>130</v>
      </c>
      <c r="C602" s="7">
        <v>43585</v>
      </c>
      <c r="D602" t="s">
        <v>1586</v>
      </c>
      <c r="E602" t="s">
        <v>1587</v>
      </c>
      <c r="F602" s="229">
        <v>40000</v>
      </c>
      <c r="G602">
        <v>0</v>
      </c>
      <c r="H602" s="229">
        <v>-235500</v>
      </c>
    </row>
    <row r="603" spans="1:8" x14ac:dyDescent="0.25">
      <c r="A603">
        <v>291</v>
      </c>
      <c r="B603" t="s">
        <v>130</v>
      </c>
      <c r="C603" s="7">
        <v>43585</v>
      </c>
      <c r="D603" t="s">
        <v>1588</v>
      </c>
      <c r="E603" t="s">
        <v>1589</v>
      </c>
      <c r="F603" s="229">
        <v>5000</v>
      </c>
      <c r="G603">
        <v>0</v>
      </c>
      <c r="H603" s="229">
        <v>-230500</v>
      </c>
    </row>
    <row r="604" spans="1:8" x14ac:dyDescent="0.25">
      <c r="A604">
        <v>291</v>
      </c>
      <c r="B604" t="s">
        <v>130</v>
      </c>
      <c r="C604" s="7">
        <v>43585</v>
      </c>
      <c r="D604" t="s">
        <v>1590</v>
      </c>
      <c r="E604" t="s">
        <v>1591</v>
      </c>
      <c r="F604" s="229">
        <v>5000</v>
      </c>
      <c r="G604">
        <v>0</v>
      </c>
      <c r="H604" s="229">
        <v>-225500</v>
      </c>
    </row>
    <row r="605" spans="1:8" x14ac:dyDescent="0.25">
      <c r="A605">
        <v>291</v>
      </c>
      <c r="B605" t="s">
        <v>130</v>
      </c>
      <c r="C605" s="7">
        <v>43585</v>
      </c>
      <c r="D605" t="s">
        <v>1592</v>
      </c>
      <c r="E605" t="s">
        <v>1593</v>
      </c>
      <c r="F605" s="229">
        <v>20000</v>
      </c>
      <c r="G605">
        <v>0</v>
      </c>
      <c r="H605" s="229">
        <v>-205500</v>
      </c>
    </row>
    <row r="606" spans="1:8" x14ac:dyDescent="0.25">
      <c r="A606">
        <v>291</v>
      </c>
      <c r="B606" t="s">
        <v>130</v>
      </c>
      <c r="C606" s="7">
        <v>43585</v>
      </c>
      <c r="D606" t="s">
        <v>1594</v>
      </c>
      <c r="E606" t="s">
        <v>1595</v>
      </c>
      <c r="F606" s="229">
        <v>7000</v>
      </c>
      <c r="G606">
        <v>0</v>
      </c>
      <c r="H606" s="229">
        <v>-198500</v>
      </c>
    </row>
    <row r="607" spans="1:8" x14ac:dyDescent="0.25">
      <c r="A607">
        <v>291</v>
      </c>
      <c r="B607" t="s">
        <v>130</v>
      </c>
      <c r="C607" s="7">
        <v>43585</v>
      </c>
      <c r="D607" t="s">
        <v>1596</v>
      </c>
      <c r="E607" t="s">
        <v>1597</v>
      </c>
      <c r="F607" s="229">
        <v>40000</v>
      </c>
      <c r="G607">
        <v>0</v>
      </c>
      <c r="H607" s="229">
        <v>-158500</v>
      </c>
    </row>
    <row r="608" spans="1:8" x14ac:dyDescent="0.25">
      <c r="A608">
        <v>291</v>
      </c>
      <c r="B608" t="s">
        <v>130</v>
      </c>
      <c r="C608" s="7">
        <v>43585</v>
      </c>
      <c r="D608" t="s">
        <v>1598</v>
      </c>
      <c r="E608" t="s">
        <v>1599</v>
      </c>
      <c r="F608" s="229">
        <v>5000</v>
      </c>
      <c r="G608">
        <v>0</v>
      </c>
      <c r="H608" s="229">
        <v>-153500</v>
      </c>
    </row>
    <row r="609" spans="1:8" x14ac:dyDescent="0.25">
      <c r="A609">
        <v>291</v>
      </c>
      <c r="B609" t="s">
        <v>130</v>
      </c>
      <c r="C609" s="7">
        <v>43585</v>
      </c>
      <c r="D609" t="s">
        <v>1600</v>
      </c>
      <c r="E609" t="s">
        <v>1601</v>
      </c>
      <c r="F609">
        <v>500</v>
      </c>
      <c r="G609">
        <v>0</v>
      </c>
      <c r="H609" s="229">
        <v>-153000</v>
      </c>
    </row>
    <row r="610" spans="1:8" x14ac:dyDescent="0.25">
      <c r="A610">
        <v>291</v>
      </c>
      <c r="B610" t="s">
        <v>130</v>
      </c>
      <c r="C610" s="7">
        <v>43585</v>
      </c>
      <c r="D610" t="s">
        <v>1602</v>
      </c>
      <c r="E610" t="s">
        <v>1603</v>
      </c>
      <c r="F610" s="229">
        <v>40000</v>
      </c>
      <c r="G610">
        <v>0</v>
      </c>
      <c r="H610" s="229">
        <v>-113000</v>
      </c>
    </row>
    <row r="611" spans="1:8" x14ac:dyDescent="0.25">
      <c r="A611">
        <v>291</v>
      </c>
      <c r="B611" t="s">
        <v>130</v>
      </c>
      <c r="C611" s="7">
        <v>43585</v>
      </c>
      <c r="D611" t="s">
        <v>1604</v>
      </c>
      <c r="E611" t="s">
        <v>1605</v>
      </c>
      <c r="F611" s="229">
        <v>30000</v>
      </c>
      <c r="G611">
        <v>0</v>
      </c>
      <c r="H611" s="229">
        <v>-83000</v>
      </c>
    </row>
    <row r="612" spans="1:8" x14ac:dyDescent="0.25">
      <c r="A612">
        <v>291</v>
      </c>
      <c r="B612" t="s">
        <v>130</v>
      </c>
      <c r="C612" s="7">
        <v>43585</v>
      </c>
      <c r="D612" t="s">
        <v>1606</v>
      </c>
      <c r="E612" t="s">
        <v>1607</v>
      </c>
      <c r="F612" s="229">
        <v>20000</v>
      </c>
      <c r="G612">
        <v>0</v>
      </c>
      <c r="H612" s="229">
        <v>-63000</v>
      </c>
    </row>
    <row r="613" spans="1:8" x14ac:dyDescent="0.25">
      <c r="A613">
        <v>291</v>
      </c>
      <c r="B613" t="s">
        <v>130</v>
      </c>
      <c r="C613" s="7">
        <v>43585</v>
      </c>
      <c r="D613" t="s">
        <v>1608</v>
      </c>
      <c r="E613" t="s">
        <v>1609</v>
      </c>
      <c r="F613" s="229">
        <v>20000</v>
      </c>
      <c r="G613">
        <v>0</v>
      </c>
      <c r="H613" s="229">
        <v>-43000</v>
      </c>
    </row>
    <row r="614" spans="1:8" x14ac:dyDescent="0.25">
      <c r="A614">
        <v>291</v>
      </c>
      <c r="B614" t="s">
        <v>130</v>
      </c>
      <c r="C614" s="7">
        <v>43585</v>
      </c>
      <c r="D614" t="s">
        <v>1592</v>
      </c>
      <c r="E614" t="s">
        <v>1610</v>
      </c>
      <c r="F614" s="229">
        <v>-20000</v>
      </c>
      <c r="G614">
        <v>0</v>
      </c>
      <c r="H614" s="229">
        <v>-63000</v>
      </c>
    </row>
    <row r="615" spans="1:8" x14ac:dyDescent="0.25">
      <c r="A615">
        <v>291</v>
      </c>
      <c r="B615" t="s">
        <v>130</v>
      </c>
      <c r="C615" s="7">
        <v>43585</v>
      </c>
      <c r="D615" t="s">
        <v>1611</v>
      </c>
      <c r="E615" t="s">
        <v>1612</v>
      </c>
      <c r="F615" s="229">
        <v>10000</v>
      </c>
      <c r="G615">
        <v>0</v>
      </c>
      <c r="H615" s="229">
        <v>-53000</v>
      </c>
    </row>
    <row r="616" spans="1:8" x14ac:dyDescent="0.25">
      <c r="A616">
        <v>291</v>
      </c>
      <c r="B616" t="s">
        <v>130</v>
      </c>
      <c r="C616" s="7">
        <v>43585</v>
      </c>
      <c r="D616" t="s">
        <v>1613</v>
      </c>
      <c r="E616" t="s">
        <v>1614</v>
      </c>
      <c r="F616" s="229">
        <v>10000</v>
      </c>
      <c r="G616">
        <v>0</v>
      </c>
      <c r="H616" s="229">
        <v>-43000</v>
      </c>
    </row>
    <row r="617" spans="1:8" x14ac:dyDescent="0.25">
      <c r="A617">
        <v>291</v>
      </c>
      <c r="B617" t="s">
        <v>130</v>
      </c>
      <c r="C617" s="7">
        <v>43585</v>
      </c>
      <c r="D617" t="s">
        <v>1615</v>
      </c>
      <c r="E617" t="s">
        <v>1616</v>
      </c>
      <c r="F617" s="229">
        <v>40000</v>
      </c>
      <c r="G617">
        <v>0</v>
      </c>
      <c r="H617" s="229">
        <v>-3000</v>
      </c>
    </row>
    <row r="618" spans="1:8" x14ac:dyDescent="0.25">
      <c r="A618">
        <v>291</v>
      </c>
      <c r="B618" t="s">
        <v>130</v>
      </c>
      <c r="C618" s="7">
        <v>43585</v>
      </c>
      <c r="D618" t="s">
        <v>1617</v>
      </c>
      <c r="E618" t="s">
        <v>1618</v>
      </c>
      <c r="F618" s="229">
        <v>5000</v>
      </c>
      <c r="G618">
        <v>0</v>
      </c>
      <c r="H618" s="229">
        <v>2000</v>
      </c>
    </row>
    <row r="619" spans="1:8" x14ac:dyDescent="0.25">
      <c r="A619">
        <v>291</v>
      </c>
      <c r="B619" t="s">
        <v>130</v>
      </c>
      <c r="C619" s="7">
        <v>43585</v>
      </c>
      <c r="D619" t="s">
        <v>1619</v>
      </c>
      <c r="E619" t="s">
        <v>1620</v>
      </c>
      <c r="F619" s="229">
        <v>10000</v>
      </c>
      <c r="G619">
        <v>0</v>
      </c>
      <c r="H619" s="229">
        <v>12000</v>
      </c>
    </row>
    <row r="620" spans="1:8" x14ac:dyDescent="0.25">
      <c r="A620">
        <v>291</v>
      </c>
      <c r="B620" t="s">
        <v>130</v>
      </c>
      <c r="C620" s="7">
        <v>43585</v>
      </c>
      <c r="D620" t="s">
        <v>1621</v>
      </c>
      <c r="E620" t="s">
        <v>1622</v>
      </c>
      <c r="F620" s="229">
        <v>10000</v>
      </c>
      <c r="G620">
        <v>0</v>
      </c>
      <c r="H620" s="229">
        <v>22000</v>
      </c>
    </row>
    <row r="621" spans="1:8" x14ac:dyDescent="0.25">
      <c r="A621">
        <v>291</v>
      </c>
      <c r="B621" t="s">
        <v>130</v>
      </c>
      <c r="C621" s="7">
        <v>43585</v>
      </c>
      <c r="D621" t="s">
        <v>1623</v>
      </c>
      <c r="E621" t="s">
        <v>1624</v>
      </c>
      <c r="F621">
        <v>500</v>
      </c>
      <c r="G621">
        <v>0</v>
      </c>
      <c r="H621" s="229">
        <v>22500</v>
      </c>
    </row>
    <row r="622" spans="1:8" x14ac:dyDescent="0.25">
      <c r="A622">
        <v>291</v>
      </c>
      <c r="B622" t="s">
        <v>130</v>
      </c>
      <c r="C622" s="7">
        <v>43585</v>
      </c>
      <c r="D622" t="s">
        <v>1625</v>
      </c>
      <c r="E622" t="s">
        <v>1626</v>
      </c>
      <c r="F622" s="229">
        <v>1500</v>
      </c>
      <c r="G622">
        <v>0</v>
      </c>
      <c r="H622" s="229">
        <v>24000</v>
      </c>
    </row>
    <row r="623" spans="1:8" x14ac:dyDescent="0.25">
      <c r="A623">
        <v>291</v>
      </c>
      <c r="B623" t="s">
        <v>130</v>
      </c>
      <c r="C623" s="7">
        <v>43585</v>
      </c>
      <c r="D623" t="s">
        <v>1627</v>
      </c>
      <c r="E623" t="s">
        <v>1628</v>
      </c>
      <c r="F623" s="229">
        <v>40000</v>
      </c>
      <c r="G623">
        <v>0</v>
      </c>
      <c r="H623" s="229">
        <v>64000</v>
      </c>
    </row>
    <row r="624" spans="1:8" x14ac:dyDescent="0.25">
      <c r="A624">
        <v>291</v>
      </c>
      <c r="B624" t="s">
        <v>130</v>
      </c>
      <c r="C624" s="7">
        <v>43585</v>
      </c>
      <c r="D624" t="s">
        <v>1629</v>
      </c>
      <c r="E624" t="s">
        <v>1630</v>
      </c>
      <c r="F624" s="229">
        <v>3000</v>
      </c>
      <c r="G624">
        <v>0</v>
      </c>
      <c r="H624" s="229">
        <v>67000</v>
      </c>
    </row>
    <row r="625" spans="1:8" x14ac:dyDescent="0.25">
      <c r="A625">
        <v>291</v>
      </c>
      <c r="B625" t="s">
        <v>130</v>
      </c>
      <c r="C625" s="7">
        <v>43585</v>
      </c>
      <c r="D625" t="s">
        <v>1631</v>
      </c>
      <c r="E625" t="s">
        <v>1632</v>
      </c>
      <c r="F625" s="229">
        <v>15000</v>
      </c>
      <c r="G625">
        <v>0</v>
      </c>
      <c r="H625" s="229">
        <v>82000</v>
      </c>
    </row>
    <row r="626" spans="1:8" x14ac:dyDescent="0.25">
      <c r="A626">
        <v>291</v>
      </c>
      <c r="B626" t="s">
        <v>130</v>
      </c>
      <c r="C626" s="7">
        <v>43585</v>
      </c>
      <c r="D626" t="s">
        <v>1633</v>
      </c>
      <c r="E626" t="s">
        <v>1634</v>
      </c>
      <c r="F626" s="229">
        <v>3000</v>
      </c>
      <c r="G626">
        <v>0</v>
      </c>
      <c r="H626" s="229">
        <v>85000</v>
      </c>
    </row>
    <row r="627" spans="1:8" x14ac:dyDescent="0.25">
      <c r="A627">
        <v>291</v>
      </c>
      <c r="B627" t="s">
        <v>130</v>
      </c>
      <c r="C627" s="7">
        <v>43585</v>
      </c>
      <c r="D627" t="s">
        <v>1635</v>
      </c>
      <c r="E627" t="s">
        <v>1636</v>
      </c>
      <c r="F627" s="229">
        <v>20000</v>
      </c>
      <c r="G627">
        <v>0</v>
      </c>
      <c r="H627" s="229">
        <v>105000</v>
      </c>
    </row>
    <row r="628" spans="1:8" x14ac:dyDescent="0.25">
      <c r="A628">
        <v>291</v>
      </c>
      <c r="B628" t="s">
        <v>130</v>
      </c>
      <c r="C628" s="7">
        <v>43585</v>
      </c>
      <c r="D628" t="s">
        <v>1637</v>
      </c>
      <c r="E628" t="s">
        <v>1638</v>
      </c>
      <c r="F628" s="229">
        <v>10000</v>
      </c>
      <c r="G628">
        <v>0</v>
      </c>
      <c r="H628" s="229">
        <v>115000</v>
      </c>
    </row>
    <row r="629" spans="1:8" x14ac:dyDescent="0.25">
      <c r="A629">
        <v>291</v>
      </c>
      <c r="B629" t="s">
        <v>130</v>
      </c>
      <c r="C629" s="7">
        <v>43585</v>
      </c>
      <c r="D629" t="s">
        <v>1639</v>
      </c>
      <c r="E629" t="s">
        <v>1640</v>
      </c>
      <c r="F629" s="229">
        <v>15000</v>
      </c>
      <c r="G629">
        <v>0</v>
      </c>
      <c r="H629" s="229">
        <v>130000</v>
      </c>
    </row>
    <row r="630" spans="1:8" x14ac:dyDescent="0.25">
      <c r="A630">
        <v>291</v>
      </c>
      <c r="B630" t="s">
        <v>130</v>
      </c>
      <c r="C630" s="7">
        <v>43585</v>
      </c>
      <c r="D630" t="s">
        <v>1641</v>
      </c>
      <c r="E630" t="s">
        <v>1642</v>
      </c>
      <c r="F630">
        <v>500</v>
      </c>
      <c r="G630">
        <v>0</v>
      </c>
      <c r="H630" s="229">
        <v>130500</v>
      </c>
    </row>
    <row r="631" spans="1:8" x14ac:dyDescent="0.25">
      <c r="A631">
        <v>291</v>
      </c>
      <c r="B631" t="s">
        <v>130</v>
      </c>
      <c r="C631" s="7">
        <v>43585</v>
      </c>
      <c r="D631" t="s">
        <v>1643</v>
      </c>
      <c r="E631" t="s">
        <v>1644</v>
      </c>
      <c r="F631" s="229">
        <v>10000</v>
      </c>
      <c r="G631">
        <v>0</v>
      </c>
      <c r="H631" s="229">
        <v>140500</v>
      </c>
    </row>
    <row r="632" spans="1:8" x14ac:dyDescent="0.25">
      <c r="A632">
        <v>291</v>
      </c>
      <c r="B632" t="s">
        <v>130</v>
      </c>
      <c r="C632" s="7">
        <v>43585</v>
      </c>
      <c r="D632" t="s">
        <v>1645</v>
      </c>
      <c r="E632" t="s">
        <v>1646</v>
      </c>
      <c r="F632" s="229">
        <v>40000</v>
      </c>
      <c r="G632">
        <v>0</v>
      </c>
      <c r="H632" s="229">
        <v>180500</v>
      </c>
    </row>
    <row r="633" spans="1:8" x14ac:dyDescent="0.25">
      <c r="A633">
        <v>291</v>
      </c>
      <c r="B633" t="s">
        <v>130</v>
      </c>
      <c r="C633" s="7">
        <v>43585</v>
      </c>
      <c r="D633" t="s">
        <v>1647</v>
      </c>
      <c r="E633" t="s">
        <v>1648</v>
      </c>
      <c r="F633" s="229">
        <v>20000</v>
      </c>
      <c r="G633">
        <v>0</v>
      </c>
      <c r="H633" s="229">
        <v>200500</v>
      </c>
    </row>
    <row r="634" spans="1:8" x14ac:dyDescent="0.25">
      <c r="A634">
        <v>291</v>
      </c>
      <c r="B634" t="s">
        <v>130</v>
      </c>
      <c r="C634" s="7">
        <v>43585</v>
      </c>
      <c r="D634" t="s">
        <v>1649</v>
      </c>
      <c r="E634" t="s">
        <v>1650</v>
      </c>
      <c r="F634" s="229">
        <v>20000</v>
      </c>
      <c r="G634">
        <v>0</v>
      </c>
      <c r="H634" s="229">
        <v>220500</v>
      </c>
    </row>
    <row r="635" spans="1:8" x14ac:dyDescent="0.25">
      <c r="A635">
        <v>291</v>
      </c>
      <c r="B635" t="s">
        <v>130</v>
      </c>
      <c r="C635" s="7">
        <v>43585</v>
      </c>
      <c r="D635" t="s">
        <v>1651</v>
      </c>
      <c r="E635" t="s">
        <v>1652</v>
      </c>
      <c r="F635">
        <v>500</v>
      </c>
      <c r="G635">
        <v>0</v>
      </c>
      <c r="H635" s="229">
        <v>221000</v>
      </c>
    </row>
    <row r="636" spans="1:8" x14ac:dyDescent="0.25">
      <c r="A636">
        <v>291</v>
      </c>
      <c r="B636" t="s">
        <v>130</v>
      </c>
      <c r="C636" s="7">
        <v>43585</v>
      </c>
      <c r="D636" t="s">
        <v>1653</v>
      </c>
      <c r="E636" t="s">
        <v>1654</v>
      </c>
      <c r="F636" s="229">
        <v>20000</v>
      </c>
      <c r="G636">
        <v>0</v>
      </c>
      <c r="H636" s="229">
        <v>241000</v>
      </c>
    </row>
    <row r="637" spans="1:8" x14ac:dyDescent="0.25">
      <c r="A637">
        <v>291</v>
      </c>
      <c r="B637" t="s">
        <v>130</v>
      </c>
      <c r="C637" s="7">
        <v>43585</v>
      </c>
      <c r="D637" t="s">
        <v>1655</v>
      </c>
      <c r="E637" t="s">
        <v>1656</v>
      </c>
      <c r="F637" s="229">
        <v>20000</v>
      </c>
      <c r="G637">
        <v>0</v>
      </c>
      <c r="H637" s="229">
        <v>261000</v>
      </c>
    </row>
    <row r="638" spans="1:8" x14ac:dyDescent="0.25">
      <c r="A638">
        <v>291</v>
      </c>
      <c r="B638" t="s">
        <v>130</v>
      </c>
      <c r="C638" s="7">
        <v>43585</v>
      </c>
      <c r="D638" t="s">
        <v>1657</v>
      </c>
      <c r="E638" t="s">
        <v>1658</v>
      </c>
      <c r="F638" s="229">
        <v>2000</v>
      </c>
      <c r="G638">
        <v>0</v>
      </c>
      <c r="H638" s="229">
        <v>263000</v>
      </c>
    </row>
    <row r="639" spans="1:8" x14ac:dyDescent="0.25">
      <c r="A639">
        <v>291</v>
      </c>
      <c r="B639" t="s">
        <v>130</v>
      </c>
      <c r="C639" s="7">
        <v>43585</v>
      </c>
      <c r="D639" t="s">
        <v>1659</v>
      </c>
      <c r="E639" t="s">
        <v>1660</v>
      </c>
      <c r="F639">
        <v>500</v>
      </c>
      <c r="G639">
        <v>0</v>
      </c>
      <c r="H639" s="229">
        <v>263500</v>
      </c>
    </row>
    <row r="640" spans="1:8" x14ac:dyDescent="0.25">
      <c r="A640">
        <v>291</v>
      </c>
      <c r="B640" t="s">
        <v>130</v>
      </c>
      <c r="C640" s="7">
        <v>43585</v>
      </c>
      <c r="D640" t="s">
        <v>1661</v>
      </c>
      <c r="E640" t="s">
        <v>1662</v>
      </c>
      <c r="F640" s="229">
        <v>7000</v>
      </c>
      <c r="G640">
        <v>0</v>
      </c>
      <c r="H640" s="229">
        <v>270500</v>
      </c>
    </row>
    <row r="641" spans="1:8" x14ac:dyDescent="0.25">
      <c r="A641">
        <v>291</v>
      </c>
      <c r="B641" t="s">
        <v>130</v>
      </c>
      <c r="C641" s="7">
        <v>43585</v>
      </c>
      <c r="D641" t="s">
        <v>1663</v>
      </c>
      <c r="E641" t="s">
        <v>1664</v>
      </c>
      <c r="F641" s="229">
        <v>5000</v>
      </c>
      <c r="G641">
        <v>0</v>
      </c>
      <c r="H641" s="229">
        <v>275500</v>
      </c>
    </row>
    <row r="642" spans="1:8" x14ac:dyDescent="0.25">
      <c r="A642">
        <v>291</v>
      </c>
      <c r="B642" t="s">
        <v>130</v>
      </c>
      <c r="C642" s="7">
        <v>43585</v>
      </c>
      <c r="D642" t="s">
        <v>1665</v>
      </c>
      <c r="E642" t="s">
        <v>1666</v>
      </c>
      <c r="F642" s="229">
        <v>2500</v>
      </c>
      <c r="G642">
        <v>0</v>
      </c>
      <c r="H642" s="229">
        <v>278000</v>
      </c>
    </row>
    <row r="643" spans="1:8" x14ac:dyDescent="0.25">
      <c r="A643">
        <v>291</v>
      </c>
      <c r="B643" t="s">
        <v>130</v>
      </c>
      <c r="C643" s="7">
        <v>43585</v>
      </c>
      <c r="D643" t="s">
        <v>1667</v>
      </c>
      <c r="E643" t="s">
        <v>1668</v>
      </c>
      <c r="F643" s="229">
        <v>20000</v>
      </c>
      <c r="G643">
        <v>0</v>
      </c>
      <c r="H643" s="229">
        <v>298000</v>
      </c>
    </row>
    <row r="644" spans="1:8" x14ac:dyDescent="0.25">
      <c r="A644">
        <v>291</v>
      </c>
      <c r="B644" t="s">
        <v>130</v>
      </c>
      <c r="C644" s="7">
        <v>43585</v>
      </c>
      <c r="D644" t="s">
        <v>1669</v>
      </c>
      <c r="E644" t="s">
        <v>1670</v>
      </c>
      <c r="F644" s="229">
        <v>9000</v>
      </c>
      <c r="G644">
        <v>0</v>
      </c>
      <c r="H644" s="229">
        <v>307000</v>
      </c>
    </row>
    <row r="645" spans="1:8" x14ac:dyDescent="0.25">
      <c r="A645">
        <v>291</v>
      </c>
      <c r="B645" t="s">
        <v>130</v>
      </c>
      <c r="C645" s="7">
        <v>43585</v>
      </c>
      <c r="D645" t="s">
        <v>1671</v>
      </c>
      <c r="E645" t="s">
        <v>1672</v>
      </c>
      <c r="F645" s="229">
        <v>1000</v>
      </c>
      <c r="G645">
        <v>0</v>
      </c>
      <c r="H645" s="229">
        <v>308000</v>
      </c>
    </row>
    <row r="646" spans="1:8" x14ac:dyDescent="0.25">
      <c r="A646">
        <v>291</v>
      </c>
      <c r="B646" t="s">
        <v>130</v>
      </c>
      <c r="C646" s="7">
        <v>43585</v>
      </c>
      <c r="D646" t="s">
        <v>1673</v>
      </c>
      <c r="E646" t="s">
        <v>1674</v>
      </c>
      <c r="F646" s="229">
        <v>1500</v>
      </c>
      <c r="G646">
        <v>0</v>
      </c>
      <c r="H646" s="229">
        <v>309500</v>
      </c>
    </row>
    <row r="647" spans="1:8" x14ac:dyDescent="0.25">
      <c r="A647">
        <v>291</v>
      </c>
      <c r="B647" t="s">
        <v>130</v>
      </c>
      <c r="C647" s="7">
        <v>43585</v>
      </c>
      <c r="D647" t="s">
        <v>1675</v>
      </c>
      <c r="E647" t="s">
        <v>1676</v>
      </c>
      <c r="F647" s="229">
        <v>20000</v>
      </c>
      <c r="G647">
        <v>0</v>
      </c>
      <c r="H647" s="229">
        <v>329500</v>
      </c>
    </row>
    <row r="648" spans="1:8" x14ac:dyDescent="0.25">
      <c r="A648">
        <v>291</v>
      </c>
      <c r="B648" t="s">
        <v>130</v>
      </c>
      <c r="C648" s="7">
        <v>43585</v>
      </c>
      <c r="D648" t="s">
        <v>1677</v>
      </c>
      <c r="E648" t="s">
        <v>1678</v>
      </c>
      <c r="F648" s="229">
        <v>5000</v>
      </c>
      <c r="G648">
        <v>0</v>
      </c>
      <c r="H648" s="229">
        <v>334500</v>
      </c>
    </row>
    <row r="649" spans="1:8" x14ac:dyDescent="0.25">
      <c r="A649">
        <v>291</v>
      </c>
      <c r="B649" t="s">
        <v>130</v>
      </c>
      <c r="C649" s="7">
        <v>43585</v>
      </c>
      <c r="D649" t="s">
        <v>1679</v>
      </c>
      <c r="E649" t="s">
        <v>1680</v>
      </c>
      <c r="F649" s="229">
        <v>10000</v>
      </c>
      <c r="G649">
        <v>0</v>
      </c>
      <c r="H649" s="229">
        <v>344500</v>
      </c>
    </row>
    <row r="650" spans="1:8" x14ac:dyDescent="0.25">
      <c r="A650">
        <v>291</v>
      </c>
      <c r="B650" t="s">
        <v>130</v>
      </c>
      <c r="C650" s="7">
        <v>43585</v>
      </c>
      <c r="D650" t="s">
        <v>1681</v>
      </c>
      <c r="E650" t="s">
        <v>1682</v>
      </c>
      <c r="F650" s="229">
        <v>5000</v>
      </c>
      <c r="G650">
        <v>0</v>
      </c>
      <c r="H650" s="229">
        <v>349500</v>
      </c>
    </row>
    <row r="651" spans="1:8" x14ac:dyDescent="0.25">
      <c r="A651">
        <v>291</v>
      </c>
      <c r="B651" t="s">
        <v>130</v>
      </c>
      <c r="C651" s="7">
        <v>43585</v>
      </c>
      <c r="D651" t="s">
        <v>1683</v>
      </c>
      <c r="E651" t="s">
        <v>1684</v>
      </c>
      <c r="F651" s="229">
        <v>20000</v>
      </c>
      <c r="G651">
        <v>0</v>
      </c>
      <c r="H651" s="229">
        <v>369500</v>
      </c>
    </row>
    <row r="652" spans="1:8" x14ac:dyDescent="0.25">
      <c r="A652">
        <v>291</v>
      </c>
      <c r="B652" t="s">
        <v>130</v>
      </c>
      <c r="C652" s="7">
        <v>43585</v>
      </c>
      <c r="D652" t="s">
        <v>1685</v>
      </c>
      <c r="E652" t="s">
        <v>1686</v>
      </c>
      <c r="F652" s="229">
        <v>2000</v>
      </c>
      <c r="G652">
        <v>0</v>
      </c>
      <c r="H652" s="229">
        <v>371500</v>
      </c>
    </row>
    <row r="653" spans="1:8" x14ac:dyDescent="0.25">
      <c r="A653">
        <v>291</v>
      </c>
      <c r="B653" t="s">
        <v>130</v>
      </c>
      <c r="C653" s="7">
        <v>43585</v>
      </c>
      <c r="D653" t="s">
        <v>1687</v>
      </c>
      <c r="E653" t="s">
        <v>1688</v>
      </c>
      <c r="F653" s="229">
        <v>10000</v>
      </c>
      <c r="G653">
        <v>0</v>
      </c>
      <c r="H653" s="229">
        <v>381500</v>
      </c>
    </row>
    <row r="654" spans="1:8" x14ac:dyDescent="0.25">
      <c r="A654">
        <v>291</v>
      </c>
      <c r="B654" t="s">
        <v>130</v>
      </c>
      <c r="C654" s="7">
        <v>43585</v>
      </c>
      <c r="D654" t="s">
        <v>1689</v>
      </c>
      <c r="E654" t="s">
        <v>1690</v>
      </c>
      <c r="F654" s="229">
        <v>25000</v>
      </c>
      <c r="G654">
        <v>0</v>
      </c>
      <c r="H654" s="229">
        <v>406500</v>
      </c>
    </row>
    <row r="655" spans="1:8" x14ac:dyDescent="0.25">
      <c r="A655">
        <v>291</v>
      </c>
      <c r="B655" t="s">
        <v>130</v>
      </c>
      <c r="C655" s="7">
        <v>43585</v>
      </c>
      <c r="D655" t="s">
        <v>1691</v>
      </c>
      <c r="E655" t="s">
        <v>1692</v>
      </c>
      <c r="F655" s="229">
        <v>20000</v>
      </c>
      <c r="G655">
        <v>0</v>
      </c>
      <c r="H655" s="229">
        <v>426500</v>
      </c>
    </row>
    <row r="656" spans="1:8" x14ac:dyDescent="0.25">
      <c r="A656">
        <v>291</v>
      </c>
      <c r="B656" t="s">
        <v>130</v>
      </c>
      <c r="C656" s="7">
        <v>43585</v>
      </c>
      <c r="D656" t="s">
        <v>1693</v>
      </c>
      <c r="E656" t="s">
        <v>1694</v>
      </c>
      <c r="F656" s="229">
        <v>20000</v>
      </c>
      <c r="G656">
        <v>0</v>
      </c>
      <c r="H656" s="229">
        <v>446500</v>
      </c>
    </row>
    <row r="657" spans="1:8" x14ac:dyDescent="0.25">
      <c r="A657">
        <v>291</v>
      </c>
      <c r="B657" t="s">
        <v>130</v>
      </c>
      <c r="C657" s="7">
        <v>43585</v>
      </c>
      <c r="D657" t="s">
        <v>1695</v>
      </c>
      <c r="E657" t="s">
        <v>1696</v>
      </c>
      <c r="F657" s="229">
        <v>1500</v>
      </c>
      <c r="G657">
        <v>0</v>
      </c>
      <c r="H657" s="229">
        <v>448000</v>
      </c>
    </row>
    <row r="658" spans="1:8" x14ac:dyDescent="0.25">
      <c r="A658">
        <v>291</v>
      </c>
      <c r="B658" t="s">
        <v>130</v>
      </c>
      <c r="C658" s="7">
        <v>43585</v>
      </c>
      <c r="D658" t="s">
        <v>1697</v>
      </c>
      <c r="E658" t="s">
        <v>1698</v>
      </c>
      <c r="F658" s="229">
        <v>15000</v>
      </c>
      <c r="G658">
        <v>0</v>
      </c>
      <c r="H658" s="229">
        <v>463000</v>
      </c>
    </row>
    <row r="659" spans="1:8" x14ac:dyDescent="0.25">
      <c r="A659">
        <v>291</v>
      </c>
      <c r="B659" t="s">
        <v>130</v>
      </c>
      <c r="C659" s="7">
        <v>43585</v>
      </c>
      <c r="D659" t="s">
        <v>1699</v>
      </c>
      <c r="E659" t="s">
        <v>1700</v>
      </c>
      <c r="F659" s="229">
        <v>5000</v>
      </c>
      <c r="G659">
        <v>0</v>
      </c>
      <c r="H659" s="229">
        <v>468000</v>
      </c>
    </row>
    <row r="660" spans="1:8" x14ac:dyDescent="0.25">
      <c r="A660">
        <v>291</v>
      </c>
      <c r="B660" t="s">
        <v>130</v>
      </c>
      <c r="C660" s="7">
        <v>43585</v>
      </c>
      <c r="D660" t="s">
        <v>1701</v>
      </c>
      <c r="E660" t="s">
        <v>1702</v>
      </c>
      <c r="F660" s="229">
        <v>5000</v>
      </c>
      <c r="G660">
        <v>0</v>
      </c>
      <c r="H660" s="229">
        <v>473000</v>
      </c>
    </row>
    <row r="661" spans="1:8" x14ac:dyDescent="0.25">
      <c r="A661">
        <v>291</v>
      </c>
      <c r="B661" t="s">
        <v>130</v>
      </c>
      <c r="C661" s="7">
        <v>43585</v>
      </c>
      <c r="D661" t="s">
        <v>1703</v>
      </c>
      <c r="E661" t="s">
        <v>1704</v>
      </c>
      <c r="F661" s="229">
        <v>10000</v>
      </c>
      <c r="G661">
        <v>0</v>
      </c>
      <c r="H661" s="229">
        <v>483000</v>
      </c>
    </row>
    <row r="662" spans="1:8" x14ac:dyDescent="0.25">
      <c r="A662">
        <v>291</v>
      </c>
      <c r="B662" t="s">
        <v>130</v>
      </c>
      <c r="C662" s="7">
        <v>43585</v>
      </c>
      <c r="D662" t="s">
        <v>1705</v>
      </c>
      <c r="E662" t="s">
        <v>1706</v>
      </c>
      <c r="F662" s="229">
        <v>40000</v>
      </c>
      <c r="G662">
        <v>0</v>
      </c>
      <c r="H662" s="229">
        <v>523000</v>
      </c>
    </row>
    <row r="663" spans="1:8" x14ac:dyDescent="0.25">
      <c r="A663">
        <v>291</v>
      </c>
      <c r="B663" t="s">
        <v>130</v>
      </c>
      <c r="C663" s="7">
        <v>43585</v>
      </c>
      <c r="D663" t="s">
        <v>1707</v>
      </c>
      <c r="E663" t="s">
        <v>1708</v>
      </c>
      <c r="F663" s="229">
        <v>15000</v>
      </c>
      <c r="G663">
        <v>0</v>
      </c>
      <c r="H663" s="229">
        <v>538000</v>
      </c>
    </row>
    <row r="664" spans="1:8" x14ac:dyDescent="0.25">
      <c r="A664">
        <v>291</v>
      </c>
      <c r="B664" t="s">
        <v>130</v>
      </c>
      <c r="C664" s="7">
        <v>43585</v>
      </c>
      <c r="D664" t="s">
        <v>1709</v>
      </c>
      <c r="E664" t="s">
        <v>1710</v>
      </c>
      <c r="F664" s="229">
        <v>20000</v>
      </c>
      <c r="G664">
        <v>0</v>
      </c>
      <c r="H664" s="229">
        <v>558000</v>
      </c>
    </row>
    <row r="665" spans="1:8" x14ac:dyDescent="0.25">
      <c r="A665">
        <v>291</v>
      </c>
      <c r="B665" t="s">
        <v>130</v>
      </c>
      <c r="C665" s="7">
        <v>43585</v>
      </c>
      <c r="D665" t="s">
        <v>1711</v>
      </c>
      <c r="E665" t="s">
        <v>1712</v>
      </c>
      <c r="F665" s="229">
        <v>6000</v>
      </c>
      <c r="G665">
        <v>0</v>
      </c>
      <c r="H665" s="229">
        <v>564000</v>
      </c>
    </row>
    <row r="666" spans="1:8" x14ac:dyDescent="0.25">
      <c r="A666">
        <v>291</v>
      </c>
      <c r="B666" t="s">
        <v>130</v>
      </c>
      <c r="C666" s="7">
        <v>43585</v>
      </c>
      <c r="D666" t="s">
        <v>1713</v>
      </c>
      <c r="E666" t="s">
        <v>1714</v>
      </c>
      <c r="F666" s="229">
        <v>3000</v>
      </c>
      <c r="G666">
        <v>0</v>
      </c>
      <c r="H666" s="229">
        <v>567000</v>
      </c>
    </row>
    <row r="667" spans="1:8" x14ac:dyDescent="0.25">
      <c r="A667">
        <v>291</v>
      </c>
      <c r="B667" t="s">
        <v>130</v>
      </c>
      <c r="C667" s="7">
        <v>43585</v>
      </c>
      <c r="D667" t="s">
        <v>1715</v>
      </c>
      <c r="E667" t="s">
        <v>1716</v>
      </c>
      <c r="F667" s="229">
        <v>30000</v>
      </c>
      <c r="G667">
        <v>0</v>
      </c>
      <c r="H667" s="229">
        <v>597000</v>
      </c>
    </row>
    <row r="668" spans="1:8" x14ac:dyDescent="0.25">
      <c r="A668">
        <v>291</v>
      </c>
      <c r="B668" t="s">
        <v>130</v>
      </c>
      <c r="C668" s="7">
        <v>43585</v>
      </c>
      <c r="D668" t="s">
        <v>1717</v>
      </c>
      <c r="E668" t="s">
        <v>1718</v>
      </c>
      <c r="F668" s="229">
        <v>10000</v>
      </c>
      <c r="G668">
        <v>0</v>
      </c>
      <c r="H668" s="229">
        <v>607000</v>
      </c>
    </row>
    <row r="669" spans="1:8" x14ac:dyDescent="0.25">
      <c r="A669">
        <v>291</v>
      </c>
      <c r="B669" t="s">
        <v>130</v>
      </c>
      <c r="C669" s="7">
        <v>43585</v>
      </c>
      <c r="D669" t="s">
        <v>1719</v>
      </c>
      <c r="E669" t="s">
        <v>1720</v>
      </c>
      <c r="F669" s="229">
        <v>1000</v>
      </c>
      <c r="G669">
        <v>0</v>
      </c>
      <c r="H669" s="229">
        <v>608000</v>
      </c>
    </row>
    <row r="670" spans="1:8" x14ac:dyDescent="0.25">
      <c r="A670">
        <v>291</v>
      </c>
      <c r="B670" t="s">
        <v>1721</v>
      </c>
      <c r="C670" s="7">
        <v>43585</v>
      </c>
      <c r="D670" t="s">
        <v>1722</v>
      </c>
      <c r="E670" t="s">
        <v>1723</v>
      </c>
      <c r="F670">
        <v>0</v>
      </c>
      <c r="G670" s="229">
        <v>5750000</v>
      </c>
      <c r="H670" s="229">
        <v>-5142000</v>
      </c>
    </row>
    <row r="671" spans="1:8" x14ac:dyDescent="0.25">
      <c r="A671">
        <v>291</v>
      </c>
      <c r="B671" t="s">
        <v>1721</v>
      </c>
      <c r="C671" s="7">
        <v>43585</v>
      </c>
      <c r="D671" t="s">
        <v>1724</v>
      </c>
      <c r="E671" t="s">
        <v>1725</v>
      </c>
      <c r="F671" s="229">
        <v>1157500</v>
      </c>
      <c r="G671">
        <v>0</v>
      </c>
      <c r="H671" s="229">
        <v>-3984500</v>
      </c>
    </row>
    <row r="672" spans="1:8" x14ac:dyDescent="0.25">
      <c r="A672">
        <v>291</v>
      </c>
      <c r="B672" t="s">
        <v>1726</v>
      </c>
      <c r="C672" s="7">
        <v>43585</v>
      </c>
      <c r="D672" s="232" t="s">
        <v>1727</v>
      </c>
      <c r="E672" t="s">
        <v>1728</v>
      </c>
      <c r="F672">
        <v>0</v>
      </c>
      <c r="G672" s="229">
        <v>20000</v>
      </c>
      <c r="H672" s="229">
        <v>-4004500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92"/>
  <sheetViews>
    <sheetView topLeftCell="A225" workbookViewId="0">
      <selection activeCell="A238" sqref="A1:XFD1048576"/>
    </sheetView>
  </sheetViews>
  <sheetFormatPr defaultRowHeight="15" x14ac:dyDescent="0.25"/>
  <cols>
    <col min="1" max="1" width="12.28515625" bestFit="1" customWidth="1"/>
    <col min="2" max="2" width="38.85546875" bestFit="1" customWidth="1"/>
    <col min="3" max="3" width="20.28515625" bestFit="1" customWidth="1"/>
    <col min="4" max="5" width="22.5703125" bestFit="1" customWidth="1"/>
    <col min="6" max="6" width="32.7109375" bestFit="1" customWidth="1"/>
    <col min="7" max="7" width="14.85546875" bestFit="1" customWidth="1"/>
    <col min="8" max="8" width="24" bestFit="1" customWidth="1"/>
    <col min="9" max="9" width="19" bestFit="1" customWidth="1"/>
    <col min="10" max="10" width="17" bestFit="1" customWidth="1"/>
    <col min="11" max="11" width="11" bestFit="1" customWidth="1"/>
    <col min="12" max="12" width="38.85546875" bestFit="1" customWidth="1"/>
    <col min="13" max="13" width="20.28515625" bestFit="1" customWidth="1"/>
    <col min="14" max="14" width="21.140625" bestFit="1" customWidth="1"/>
    <col min="15" max="15" width="19.7109375" bestFit="1" customWidth="1"/>
    <col min="16" max="16" width="32.7109375" bestFit="1" customWidth="1"/>
    <col min="17" max="17" width="14.85546875" bestFit="1" customWidth="1"/>
    <col min="18" max="18" width="21.85546875" bestFit="1" customWidth="1"/>
    <col min="19" max="19" width="17.7109375" bestFit="1" customWidth="1"/>
    <col min="20" max="20" width="15.7109375" bestFit="1" customWidth="1"/>
    <col min="21" max="21" width="11" bestFit="1" customWidth="1"/>
    <col min="22" max="22" width="38.85546875" bestFit="1" customWidth="1"/>
    <col min="23" max="23" width="20.28515625" bestFit="1" customWidth="1"/>
    <col min="24" max="24" width="21.140625" bestFit="1" customWidth="1"/>
    <col min="25" max="25" width="19.7109375" bestFit="1" customWidth="1"/>
    <col min="26" max="26" width="32.7109375" bestFit="1" customWidth="1"/>
    <col min="27" max="27" width="14.85546875" bestFit="1" customWidth="1"/>
    <col min="28" max="28" width="21.85546875" bestFit="1" customWidth="1"/>
    <col min="29" max="29" width="17.7109375" bestFit="1" customWidth="1"/>
    <col min="30" max="30" width="15.7109375" bestFit="1" customWidth="1"/>
    <col min="31" max="31" width="11" bestFit="1" customWidth="1"/>
    <col min="32" max="32" width="38.85546875" bestFit="1" customWidth="1"/>
    <col min="33" max="33" width="20.28515625" bestFit="1" customWidth="1"/>
    <col min="34" max="34" width="21.140625" bestFit="1" customWidth="1"/>
    <col min="35" max="35" width="19.7109375" bestFit="1" customWidth="1"/>
    <col min="36" max="36" width="32.7109375" bestFit="1" customWidth="1"/>
    <col min="37" max="37" width="14.85546875" bestFit="1" customWidth="1"/>
    <col min="38" max="38" width="21.85546875" bestFit="1" customWidth="1"/>
    <col min="39" max="39" width="17.7109375" bestFit="1" customWidth="1"/>
    <col min="40" max="40" width="15.7109375" bestFit="1" customWidth="1"/>
    <col min="41" max="41" width="11" bestFit="1" customWidth="1"/>
    <col min="42" max="42" width="38.85546875" bestFit="1" customWidth="1"/>
    <col min="43" max="43" width="20.28515625" bestFit="1" customWidth="1"/>
    <col min="44" max="44" width="21.140625" bestFit="1" customWidth="1"/>
    <col min="45" max="45" width="19.7109375" bestFit="1" customWidth="1"/>
    <col min="46" max="46" width="32.7109375" bestFit="1" customWidth="1"/>
    <col min="47" max="47" width="14.85546875" bestFit="1" customWidth="1"/>
    <col min="48" max="48" width="21.85546875" bestFit="1" customWidth="1"/>
    <col min="49" max="49" width="17.7109375" bestFit="1" customWidth="1"/>
    <col min="50" max="50" width="15.7109375" bestFit="1" customWidth="1"/>
    <col min="51" max="51" width="11" bestFit="1" customWidth="1"/>
    <col min="52" max="52" width="38.85546875" bestFit="1" customWidth="1"/>
    <col min="53" max="53" width="20.28515625" bestFit="1" customWidth="1"/>
    <col min="54" max="54" width="21.140625" bestFit="1" customWidth="1"/>
    <col min="55" max="55" width="19.7109375" bestFit="1" customWidth="1"/>
    <col min="56" max="56" width="32.7109375" bestFit="1" customWidth="1"/>
    <col min="57" max="57" width="14.85546875" bestFit="1" customWidth="1"/>
    <col min="58" max="58" width="21.85546875" bestFit="1" customWidth="1"/>
    <col min="59" max="59" width="17.7109375" bestFit="1" customWidth="1"/>
    <col min="60" max="60" width="15.7109375" bestFit="1" customWidth="1"/>
    <col min="61" max="61" width="12.28515625" customWidth="1"/>
    <col min="62" max="62" width="38.85546875" bestFit="1" customWidth="1"/>
    <col min="63" max="63" width="20.28515625" customWidth="1"/>
    <col min="64" max="64" width="22.5703125" bestFit="1" customWidth="1"/>
    <col min="65" max="65" width="22.5703125" customWidth="1"/>
    <col min="66" max="66" width="32.7109375" bestFit="1" customWidth="1"/>
    <col min="67" max="67" width="14.85546875" customWidth="1"/>
    <col min="68" max="68" width="24" bestFit="1" customWidth="1"/>
    <col min="69" max="69" width="19" customWidth="1"/>
    <col min="70" max="70" width="17" customWidth="1"/>
    <col min="71" max="71" width="19" bestFit="1" customWidth="1"/>
    <col min="72" max="72" width="17" bestFit="1" customWidth="1"/>
    <col min="73" max="73" width="10.7109375" customWidth="1"/>
    <col min="74" max="74" width="40.5703125" customWidth="1"/>
    <col min="75" max="75" width="20" customWidth="1"/>
    <col min="76" max="76" width="12.85546875" customWidth="1"/>
    <col min="77" max="77" width="13.140625" customWidth="1"/>
    <col min="78" max="78" width="21.42578125" customWidth="1"/>
    <col min="79" max="79" width="25" customWidth="1"/>
    <col min="80" max="80" width="12.28515625" customWidth="1"/>
    <col min="81" max="81" width="10.140625" customWidth="1"/>
    <col min="82" max="82" width="19.28515625" customWidth="1"/>
  </cols>
  <sheetData>
    <row r="1" spans="1:10" x14ac:dyDescent="0.2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</row>
    <row r="2" spans="1:10" x14ac:dyDescent="0.25">
      <c r="A2">
        <v>10442918</v>
      </c>
      <c r="B2" t="s">
        <v>131</v>
      </c>
      <c r="C2" t="s">
        <v>132</v>
      </c>
      <c r="D2">
        <v>499</v>
      </c>
      <c r="E2">
        <v>981811161</v>
      </c>
      <c r="F2" t="s">
        <v>116</v>
      </c>
      <c r="G2" s="230">
        <v>43584.248773148145</v>
      </c>
      <c r="H2">
        <v>3000</v>
      </c>
      <c r="I2">
        <v>3000</v>
      </c>
      <c r="J2">
        <v>6.9101793030100506E+17</v>
      </c>
    </row>
    <row r="3" spans="1:10" x14ac:dyDescent="0.25">
      <c r="A3">
        <v>10442918</v>
      </c>
      <c r="B3" t="s">
        <v>131</v>
      </c>
      <c r="C3" t="s">
        <v>133</v>
      </c>
      <c r="D3">
        <v>503</v>
      </c>
      <c r="E3">
        <v>981811968</v>
      </c>
      <c r="F3" t="s">
        <v>116</v>
      </c>
      <c r="G3" s="230">
        <v>43584.251666666663</v>
      </c>
      <c r="H3">
        <v>3000</v>
      </c>
      <c r="I3">
        <v>3000</v>
      </c>
      <c r="J3">
        <v>45833748</v>
      </c>
    </row>
    <row r="4" spans="1:10" x14ac:dyDescent="0.25">
      <c r="A4">
        <v>10442918</v>
      </c>
      <c r="B4" t="s">
        <v>131</v>
      </c>
      <c r="C4" t="s">
        <v>134</v>
      </c>
      <c r="D4">
        <v>505</v>
      </c>
      <c r="E4">
        <v>981812241</v>
      </c>
      <c r="F4" t="s">
        <v>135</v>
      </c>
      <c r="G4" s="230">
        <v>43584.252465277779</v>
      </c>
      <c r="H4">
        <v>10000</v>
      </c>
      <c r="I4">
        <v>0</v>
      </c>
      <c r="J4">
        <v>1010101010</v>
      </c>
    </row>
    <row r="5" spans="1:10" x14ac:dyDescent="0.25">
      <c r="A5">
        <v>10442918</v>
      </c>
      <c r="B5" t="s">
        <v>131</v>
      </c>
      <c r="C5" t="s">
        <v>136</v>
      </c>
      <c r="D5">
        <v>507</v>
      </c>
      <c r="E5">
        <v>981834370</v>
      </c>
      <c r="F5" t="s">
        <v>116</v>
      </c>
      <c r="G5" s="230">
        <v>43584.287604166668</v>
      </c>
      <c r="H5">
        <v>4000</v>
      </c>
      <c r="I5">
        <v>4000</v>
      </c>
      <c r="J5">
        <v>17403243</v>
      </c>
    </row>
    <row r="6" spans="1:10" x14ac:dyDescent="0.25">
      <c r="A6">
        <v>10442918</v>
      </c>
      <c r="B6" t="s">
        <v>131</v>
      </c>
      <c r="C6" t="s">
        <v>137</v>
      </c>
      <c r="D6">
        <v>513</v>
      </c>
      <c r="E6">
        <v>981838747</v>
      </c>
      <c r="F6" t="s">
        <v>116</v>
      </c>
      <c r="G6" s="230">
        <v>43584.292685185188</v>
      </c>
      <c r="H6">
        <v>20000</v>
      </c>
      <c r="I6">
        <v>20000</v>
      </c>
      <c r="J6">
        <v>49667330</v>
      </c>
    </row>
    <row r="7" spans="1:10" x14ac:dyDescent="0.25">
      <c r="A7">
        <v>10442918</v>
      </c>
      <c r="B7" t="s">
        <v>131</v>
      </c>
      <c r="C7" t="s">
        <v>137</v>
      </c>
      <c r="D7">
        <v>514</v>
      </c>
      <c r="E7">
        <v>981839432</v>
      </c>
      <c r="F7" t="s">
        <v>116</v>
      </c>
      <c r="G7" s="230">
        <v>43584.293402777781</v>
      </c>
      <c r="H7">
        <v>20000</v>
      </c>
      <c r="I7">
        <v>20000</v>
      </c>
      <c r="J7">
        <v>49667330</v>
      </c>
    </row>
    <row r="8" spans="1:10" x14ac:dyDescent="0.25">
      <c r="A8">
        <v>10442918</v>
      </c>
      <c r="B8" t="s">
        <v>131</v>
      </c>
      <c r="C8" t="s">
        <v>138</v>
      </c>
      <c r="D8">
        <v>516</v>
      </c>
      <c r="E8">
        <v>981848358</v>
      </c>
      <c r="F8" t="s">
        <v>116</v>
      </c>
      <c r="G8" s="230">
        <v>43584.301805555559</v>
      </c>
      <c r="H8">
        <v>20000</v>
      </c>
      <c r="I8">
        <v>20000</v>
      </c>
      <c r="J8">
        <v>9201182305</v>
      </c>
    </row>
    <row r="9" spans="1:10" x14ac:dyDescent="0.25">
      <c r="A9">
        <v>10442918</v>
      </c>
      <c r="B9" t="s">
        <v>131</v>
      </c>
      <c r="C9" t="s">
        <v>138</v>
      </c>
      <c r="D9">
        <v>517</v>
      </c>
      <c r="E9">
        <v>981849079</v>
      </c>
      <c r="F9" t="s">
        <v>116</v>
      </c>
      <c r="G9" s="230">
        <v>43584.302488425928</v>
      </c>
      <c r="H9">
        <v>20000</v>
      </c>
      <c r="I9">
        <v>20000</v>
      </c>
      <c r="J9">
        <v>9201182305</v>
      </c>
    </row>
    <row r="10" spans="1:10" x14ac:dyDescent="0.25">
      <c r="A10">
        <v>10442918</v>
      </c>
      <c r="B10" t="s">
        <v>131</v>
      </c>
      <c r="C10" t="s">
        <v>139</v>
      </c>
      <c r="D10">
        <v>519</v>
      </c>
      <c r="E10">
        <v>981850659</v>
      </c>
      <c r="F10" t="s">
        <v>116</v>
      </c>
      <c r="G10" s="230">
        <v>43584.303969907407</v>
      </c>
      <c r="H10">
        <v>9000</v>
      </c>
      <c r="I10">
        <v>9000</v>
      </c>
      <c r="J10">
        <v>693700924</v>
      </c>
    </row>
    <row r="11" spans="1:10" x14ac:dyDescent="0.25">
      <c r="A11">
        <v>10442918</v>
      </c>
      <c r="B11" t="s">
        <v>131</v>
      </c>
      <c r="C11" t="s">
        <v>140</v>
      </c>
      <c r="D11">
        <v>522</v>
      </c>
      <c r="E11">
        <v>981861251</v>
      </c>
      <c r="F11" t="s">
        <v>116</v>
      </c>
      <c r="G11" s="230">
        <v>43584.312696759262</v>
      </c>
      <c r="H11">
        <v>2000</v>
      </c>
      <c r="I11">
        <v>2000</v>
      </c>
      <c r="J11">
        <v>3.2704922100100499E+17</v>
      </c>
    </row>
    <row r="12" spans="1:10" x14ac:dyDescent="0.25">
      <c r="A12">
        <v>10442918</v>
      </c>
      <c r="B12" t="s">
        <v>131</v>
      </c>
      <c r="C12" t="s">
        <v>119</v>
      </c>
      <c r="D12">
        <v>525</v>
      </c>
      <c r="E12">
        <v>981864775</v>
      </c>
      <c r="F12" t="s">
        <v>116</v>
      </c>
      <c r="G12" s="230">
        <v>43584.315439814818</v>
      </c>
      <c r="H12">
        <v>20000</v>
      </c>
      <c r="I12">
        <v>20000</v>
      </c>
      <c r="J12">
        <v>65248887</v>
      </c>
    </row>
    <row r="13" spans="1:10" x14ac:dyDescent="0.25">
      <c r="A13">
        <v>10442918</v>
      </c>
      <c r="B13" t="s">
        <v>131</v>
      </c>
      <c r="C13" t="s">
        <v>119</v>
      </c>
      <c r="D13">
        <v>526</v>
      </c>
      <c r="E13">
        <v>981865502</v>
      </c>
      <c r="F13" t="s">
        <v>116</v>
      </c>
      <c r="G13" s="230">
        <v>43584.315972222219</v>
      </c>
      <c r="H13">
        <v>20000</v>
      </c>
      <c r="I13">
        <v>20000</v>
      </c>
      <c r="J13">
        <v>65248887</v>
      </c>
    </row>
    <row r="14" spans="1:10" x14ac:dyDescent="0.25">
      <c r="A14">
        <v>10442918</v>
      </c>
      <c r="B14" t="s">
        <v>131</v>
      </c>
      <c r="C14" t="s">
        <v>119</v>
      </c>
      <c r="D14">
        <v>527</v>
      </c>
      <c r="E14">
        <v>981866328</v>
      </c>
      <c r="F14" t="s">
        <v>116</v>
      </c>
      <c r="G14" s="230">
        <v>43584.316608796296</v>
      </c>
      <c r="H14">
        <v>20000</v>
      </c>
      <c r="I14">
        <v>20000</v>
      </c>
      <c r="J14">
        <v>65248887</v>
      </c>
    </row>
    <row r="15" spans="1:10" x14ac:dyDescent="0.25">
      <c r="A15">
        <v>10442918</v>
      </c>
      <c r="B15" t="s">
        <v>131</v>
      </c>
      <c r="C15" t="s">
        <v>119</v>
      </c>
      <c r="D15">
        <v>529</v>
      </c>
      <c r="E15">
        <v>981868297</v>
      </c>
      <c r="F15" t="s">
        <v>116</v>
      </c>
      <c r="G15" s="230">
        <v>43584.317696759259</v>
      </c>
      <c r="H15">
        <v>20000</v>
      </c>
      <c r="I15">
        <v>20000</v>
      </c>
      <c r="J15">
        <v>65248887</v>
      </c>
    </row>
    <row r="16" spans="1:10" x14ac:dyDescent="0.25">
      <c r="A16">
        <v>10442918</v>
      </c>
      <c r="B16" t="s">
        <v>131</v>
      </c>
      <c r="C16" t="s">
        <v>119</v>
      </c>
      <c r="D16">
        <v>530</v>
      </c>
      <c r="E16">
        <v>981869207</v>
      </c>
      <c r="F16" t="s">
        <v>116</v>
      </c>
      <c r="G16" s="230">
        <v>43584.318368055552</v>
      </c>
      <c r="H16">
        <v>20000</v>
      </c>
      <c r="I16">
        <v>20000</v>
      </c>
      <c r="J16">
        <v>65248887</v>
      </c>
    </row>
    <row r="17" spans="1:10" x14ac:dyDescent="0.25">
      <c r="A17">
        <v>10442918</v>
      </c>
      <c r="B17" t="s">
        <v>131</v>
      </c>
      <c r="C17" t="s">
        <v>141</v>
      </c>
      <c r="D17">
        <v>534</v>
      </c>
      <c r="E17">
        <v>981891766</v>
      </c>
      <c r="F17" t="s">
        <v>116</v>
      </c>
      <c r="G17" s="230">
        <v>43584.333715277775</v>
      </c>
      <c r="H17">
        <v>1000</v>
      </c>
      <c r="I17">
        <v>1000</v>
      </c>
      <c r="J17">
        <v>92952655</v>
      </c>
    </row>
    <row r="18" spans="1:10" x14ac:dyDescent="0.25">
      <c r="A18">
        <v>10442918</v>
      </c>
      <c r="B18" t="s">
        <v>131</v>
      </c>
      <c r="C18" t="s">
        <v>142</v>
      </c>
      <c r="D18">
        <v>536</v>
      </c>
      <c r="E18">
        <v>981900412</v>
      </c>
      <c r="F18" t="s">
        <v>118</v>
      </c>
      <c r="G18" s="230">
        <v>43584.338553240741</v>
      </c>
      <c r="H18">
        <v>15000</v>
      </c>
      <c r="I18">
        <v>0</v>
      </c>
      <c r="J18">
        <v>5468971</v>
      </c>
    </row>
    <row r="19" spans="1:10" x14ac:dyDescent="0.25">
      <c r="A19">
        <v>10442918</v>
      </c>
      <c r="B19" t="s">
        <v>131</v>
      </c>
      <c r="C19" t="s">
        <v>143</v>
      </c>
      <c r="D19">
        <v>538</v>
      </c>
      <c r="E19">
        <v>981902086</v>
      </c>
      <c r="F19" t="s">
        <v>116</v>
      </c>
      <c r="G19" s="230">
        <v>43584.339548611111</v>
      </c>
      <c r="H19">
        <v>17000</v>
      </c>
      <c r="I19">
        <v>17000</v>
      </c>
      <c r="J19">
        <v>784449826</v>
      </c>
    </row>
    <row r="20" spans="1:10" x14ac:dyDescent="0.25">
      <c r="A20">
        <v>10442918</v>
      </c>
      <c r="B20" t="s">
        <v>131</v>
      </c>
      <c r="C20" t="s">
        <v>144</v>
      </c>
      <c r="D20">
        <v>540</v>
      </c>
      <c r="E20">
        <v>981916867</v>
      </c>
      <c r="F20" t="s">
        <v>116</v>
      </c>
      <c r="G20" s="230">
        <v>43584.347743055558</v>
      </c>
      <c r="H20">
        <v>1000</v>
      </c>
      <c r="I20">
        <v>1000</v>
      </c>
      <c r="J20">
        <v>2101065441</v>
      </c>
    </row>
    <row r="21" spans="1:10" x14ac:dyDescent="0.25">
      <c r="A21">
        <v>10442918</v>
      </c>
      <c r="B21" t="s">
        <v>131</v>
      </c>
      <c r="C21" t="s">
        <v>145</v>
      </c>
      <c r="D21">
        <v>544</v>
      </c>
      <c r="E21">
        <v>981924195</v>
      </c>
      <c r="F21" t="s">
        <v>117</v>
      </c>
      <c r="G21" s="230">
        <v>43584.351215277777</v>
      </c>
      <c r="H21">
        <v>20000</v>
      </c>
      <c r="I21">
        <v>0</v>
      </c>
      <c r="J21">
        <v>3.9703361590100499E+17</v>
      </c>
    </row>
    <row r="22" spans="1:10" x14ac:dyDescent="0.25">
      <c r="A22">
        <v>10442918</v>
      </c>
      <c r="B22" t="s">
        <v>131</v>
      </c>
      <c r="C22" t="s">
        <v>146</v>
      </c>
      <c r="D22">
        <v>547</v>
      </c>
      <c r="E22">
        <v>981937383</v>
      </c>
      <c r="F22" t="s">
        <v>116</v>
      </c>
      <c r="G22" s="230">
        <v>43584.357604166667</v>
      </c>
      <c r="H22">
        <v>2000</v>
      </c>
      <c r="I22">
        <v>2000</v>
      </c>
      <c r="J22">
        <v>725172611</v>
      </c>
    </row>
    <row r="23" spans="1:10" x14ac:dyDescent="0.25">
      <c r="A23">
        <v>10442918</v>
      </c>
      <c r="B23" t="s">
        <v>131</v>
      </c>
      <c r="C23" t="s">
        <v>147</v>
      </c>
      <c r="D23">
        <v>550</v>
      </c>
      <c r="E23">
        <v>981943114</v>
      </c>
      <c r="F23" t="s">
        <v>116</v>
      </c>
      <c r="G23" s="230">
        <v>43584.36005787037</v>
      </c>
      <c r="H23">
        <v>10000</v>
      </c>
      <c r="I23">
        <v>10000</v>
      </c>
      <c r="J23">
        <v>3361025780</v>
      </c>
    </row>
    <row r="24" spans="1:10" x14ac:dyDescent="0.25">
      <c r="A24">
        <v>10442918</v>
      </c>
      <c r="B24" t="s">
        <v>131</v>
      </c>
      <c r="C24" t="s">
        <v>148</v>
      </c>
      <c r="D24">
        <v>552</v>
      </c>
      <c r="E24">
        <v>981954786</v>
      </c>
      <c r="F24" t="s">
        <v>116</v>
      </c>
      <c r="G24" s="230">
        <v>43584.365324074075</v>
      </c>
      <c r="H24">
        <v>20000</v>
      </c>
      <c r="I24">
        <v>20000</v>
      </c>
      <c r="J24">
        <v>777323034</v>
      </c>
    </row>
    <row r="25" spans="1:10" x14ac:dyDescent="0.25">
      <c r="A25">
        <v>10442918</v>
      </c>
      <c r="B25" t="s">
        <v>131</v>
      </c>
      <c r="C25" t="s">
        <v>148</v>
      </c>
      <c r="D25">
        <v>552</v>
      </c>
      <c r="E25">
        <v>981954786</v>
      </c>
      <c r="F25" t="s">
        <v>116</v>
      </c>
      <c r="G25" s="230">
        <v>43584.365543981483</v>
      </c>
      <c r="H25">
        <v>0</v>
      </c>
      <c r="I25">
        <v>0</v>
      </c>
      <c r="J25">
        <v>777323034</v>
      </c>
    </row>
    <row r="26" spans="1:10" x14ac:dyDescent="0.25">
      <c r="A26">
        <v>10442918</v>
      </c>
      <c r="B26" t="s">
        <v>131</v>
      </c>
      <c r="C26" t="s">
        <v>149</v>
      </c>
      <c r="D26">
        <v>577</v>
      </c>
      <c r="E26">
        <v>982208472</v>
      </c>
      <c r="F26" t="s">
        <v>116</v>
      </c>
      <c r="G26" s="230">
        <v>43584.46025462963</v>
      </c>
      <c r="H26">
        <v>1000</v>
      </c>
      <c r="I26">
        <v>1000</v>
      </c>
      <c r="J26">
        <v>3.9703407980100499E+17</v>
      </c>
    </row>
    <row r="27" spans="1:10" x14ac:dyDescent="0.25">
      <c r="A27">
        <v>10442918</v>
      </c>
      <c r="B27" t="s">
        <v>131</v>
      </c>
      <c r="C27" t="s">
        <v>150</v>
      </c>
      <c r="D27">
        <v>579</v>
      </c>
      <c r="E27">
        <v>982237117</v>
      </c>
      <c r="F27" t="s">
        <v>116</v>
      </c>
      <c r="G27" s="230">
        <v>43584.470393518517</v>
      </c>
      <c r="H27">
        <v>20000</v>
      </c>
      <c r="I27">
        <v>20000</v>
      </c>
      <c r="J27">
        <v>26970245</v>
      </c>
    </row>
    <row r="28" spans="1:10" x14ac:dyDescent="0.25">
      <c r="A28">
        <v>10442918</v>
      </c>
      <c r="B28" t="s">
        <v>131</v>
      </c>
      <c r="C28" t="s">
        <v>150</v>
      </c>
      <c r="D28">
        <v>580</v>
      </c>
      <c r="E28">
        <v>982238997</v>
      </c>
      <c r="F28" t="s">
        <v>116</v>
      </c>
      <c r="G28" s="230">
        <v>43584.471041666664</v>
      </c>
      <c r="H28">
        <v>5000</v>
      </c>
      <c r="I28">
        <v>5000</v>
      </c>
      <c r="J28">
        <v>26970245</v>
      </c>
    </row>
    <row r="29" spans="1:10" x14ac:dyDescent="0.25">
      <c r="A29">
        <v>10442918</v>
      </c>
      <c r="B29" t="s">
        <v>131</v>
      </c>
      <c r="C29" t="s">
        <v>151</v>
      </c>
      <c r="D29">
        <v>582</v>
      </c>
      <c r="E29">
        <v>982241635</v>
      </c>
      <c r="F29" t="s">
        <v>116</v>
      </c>
      <c r="G29" s="230">
        <v>43584.472013888888</v>
      </c>
      <c r="H29">
        <v>9000</v>
      </c>
      <c r="I29">
        <v>9000</v>
      </c>
      <c r="J29">
        <v>9631716</v>
      </c>
    </row>
    <row r="30" spans="1:10" x14ac:dyDescent="0.25">
      <c r="A30">
        <v>10442918</v>
      </c>
      <c r="B30" t="s">
        <v>131</v>
      </c>
      <c r="C30" t="s">
        <v>152</v>
      </c>
      <c r="D30">
        <v>584</v>
      </c>
      <c r="E30">
        <v>982245099</v>
      </c>
      <c r="F30" t="s">
        <v>116</v>
      </c>
      <c r="G30" s="230">
        <v>43584.473240740743</v>
      </c>
      <c r="H30">
        <v>1500</v>
      </c>
      <c r="I30">
        <v>1500</v>
      </c>
      <c r="J30">
        <v>802285098</v>
      </c>
    </row>
    <row r="31" spans="1:10" x14ac:dyDescent="0.25">
      <c r="A31">
        <v>10442918</v>
      </c>
      <c r="B31" t="s">
        <v>131</v>
      </c>
      <c r="C31" t="s">
        <v>153</v>
      </c>
      <c r="D31">
        <v>587</v>
      </c>
      <c r="E31">
        <v>982250011</v>
      </c>
      <c r="F31" t="s">
        <v>116</v>
      </c>
      <c r="G31" s="230">
        <v>43584.474999999999</v>
      </c>
      <c r="H31">
        <v>14000</v>
      </c>
      <c r="I31">
        <v>14000</v>
      </c>
      <c r="J31">
        <v>6018644090</v>
      </c>
    </row>
    <row r="32" spans="1:10" x14ac:dyDescent="0.25">
      <c r="A32">
        <v>10442918</v>
      </c>
      <c r="B32" t="s">
        <v>131</v>
      </c>
      <c r="C32" t="s">
        <v>154</v>
      </c>
      <c r="D32">
        <v>596</v>
      </c>
      <c r="E32">
        <v>982279876</v>
      </c>
      <c r="F32" t="s">
        <v>116</v>
      </c>
      <c r="G32" s="230">
        <v>43584.485555555555</v>
      </c>
      <c r="H32">
        <v>5000</v>
      </c>
      <c r="I32">
        <v>5000</v>
      </c>
      <c r="J32">
        <v>38261545</v>
      </c>
    </row>
    <row r="33" spans="1:10" x14ac:dyDescent="0.25">
      <c r="A33">
        <v>10442918</v>
      </c>
      <c r="B33" t="s">
        <v>131</v>
      </c>
      <c r="C33" t="s">
        <v>155</v>
      </c>
      <c r="D33">
        <v>598</v>
      </c>
      <c r="E33">
        <v>982282150</v>
      </c>
      <c r="F33" t="s">
        <v>116</v>
      </c>
      <c r="G33" s="230">
        <v>43584.486354166664</v>
      </c>
      <c r="H33">
        <v>10000</v>
      </c>
      <c r="I33">
        <v>10000</v>
      </c>
      <c r="J33">
        <v>3.2903308950100499E+17</v>
      </c>
    </row>
    <row r="34" spans="1:10" x14ac:dyDescent="0.25">
      <c r="A34">
        <v>10442918</v>
      </c>
      <c r="B34" t="s">
        <v>131</v>
      </c>
      <c r="C34" t="s">
        <v>156</v>
      </c>
      <c r="D34">
        <v>600</v>
      </c>
      <c r="E34">
        <v>982284818</v>
      </c>
      <c r="F34" t="s">
        <v>116</v>
      </c>
      <c r="G34" s="230">
        <v>43584.487314814818</v>
      </c>
      <c r="H34">
        <v>4000</v>
      </c>
      <c r="I34">
        <v>4000</v>
      </c>
      <c r="J34">
        <v>21088591</v>
      </c>
    </row>
    <row r="35" spans="1:10" x14ac:dyDescent="0.25">
      <c r="A35">
        <v>10442918</v>
      </c>
      <c r="B35" t="s">
        <v>131</v>
      </c>
      <c r="C35" t="s">
        <v>157</v>
      </c>
      <c r="D35">
        <v>602</v>
      </c>
      <c r="E35">
        <v>982291944</v>
      </c>
      <c r="F35" t="s">
        <v>116</v>
      </c>
      <c r="G35" s="230">
        <v>43584.489953703705</v>
      </c>
      <c r="H35">
        <v>10000</v>
      </c>
      <c r="I35">
        <v>10000</v>
      </c>
      <c r="J35">
        <v>1017701049</v>
      </c>
    </row>
    <row r="36" spans="1:10" x14ac:dyDescent="0.25">
      <c r="A36">
        <v>10442918</v>
      </c>
      <c r="B36" t="s">
        <v>131</v>
      </c>
      <c r="C36" t="s">
        <v>158</v>
      </c>
      <c r="D36">
        <v>604</v>
      </c>
      <c r="E36">
        <v>982294421</v>
      </c>
      <c r="F36" t="s">
        <v>116</v>
      </c>
      <c r="G36" s="230">
        <v>43584.490879629629</v>
      </c>
      <c r="H36">
        <v>20000</v>
      </c>
      <c r="I36">
        <v>20000</v>
      </c>
      <c r="J36">
        <v>13757464</v>
      </c>
    </row>
    <row r="37" spans="1:10" x14ac:dyDescent="0.25">
      <c r="A37">
        <v>10442918</v>
      </c>
      <c r="B37" t="s">
        <v>131</v>
      </c>
      <c r="C37" t="s">
        <v>158</v>
      </c>
      <c r="D37">
        <v>605</v>
      </c>
      <c r="E37">
        <v>982296509</v>
      </c>
      <c r="F37" t="s">
        <v>116</v>
      </c>
      <c r="G37" s="230">
        <v>43584.491712962961</v>
      </c>
      <c r="H37">
        <v>10000</v>
      </c>
      <c r="I37">
        <v>10000</v>
      </c>
      <c r="J37">
        <v>13757464</v>
      </c>
    </row>
    <row r="38" spans="1:10" x14ac:dyDescent="0.25">
      <c r="A38">
        <v>10442918</v>
      </c>
      <c r="B38" t="s">
        <v>131</v>
      </c>
      <c r="C38" t="s">
        <v>158</v>
      </c>
      <c r="D38">
        <v>606</v>
      </c>
      <c r="E38">
        <v>982298223</v>
      </c>
      <c r="F38" t="s">
        <v>116</v>
      </c>
      <c r="G38" s="230">
        <v>43584.492349537039</v>
      </c>
      <c r="H38">
        <v>500</v>
      </c>
      <c r="I38">
        <v>500</v>
      </c>
      <c r="J38">
        <v>13757464</v>
      </c>
    </row>
    <row r="39" spans="1:10" x14ac:dyDescent="0.25">
      <c r="A39">
        <v>10442918</v>
      </c>
      <c r="B39" t="s">
        <v>131</v>
      </c>
      <c r="C39" t="s">
        <v>159</v>
      </c>
      <c r="D39">
        <v>609</v>
      </c>
      <c r="E39">
        <v>982303526</v>
      </c>
      <c r="F39" t="s">
        <v>116</v>
      </c>
      <c r="G39" s="230">
        <v>43584.494317129633</v>
      </c>
      <c r="H39">
        <v>10000</v>
      </c>
      <c r="I39">
        <v>10000</v>
      </c>
      <c r="J39">
        <v>1003019788</v>
      </c>
    </row>
    <row r="40" spans="1:10" x14ac:dyDescent="0.25">
      <c r="A40">
        <v>10442918</v>
      </c>
      <c r="B40" t="s">
        <v>131</v>
      </c>
      <c r="C40" t="s">
        <v>160</v>
      </c>
      <c r="D40">
        <v>612</v>
      </c>
      <c r="E40">
        <v>982306747</v>
      </c>
      <c r="F40" t="s">
        <v>116</v>
      </c>
      <c r="G40" s="230">
        <v>43584.495532407411</v>
      </c>
      <c r="H40">
        <v>9000</v>
      </c>
      <c r="I40">
        <v>9000</v>
      </c>
      <c r="J40">
        <v>56171044</v>
      </c>
    </row>
    <row r="41" spans="1:10" x14ac:dyDescent="0.25">
      <c r="A41">
        <v>10442918</v>
      </c>
      <c r="B41" t="s">
        <v>131</v>
      </c>
      <c r="C41" t="s">
        <v>161</v>
      </c>
      <c r="D41">
        <v>626</v>
      </c>
      <c r="E41">
        <v>982418502</v>
      </c>
      <c r="F41" t="s">
        <v>116</v>
      </c>
      <c r="G41" s="230">
        <v>43584.536053240743</v>
      </c>
      <c r="H41">
        <v>13000</v>
      </c>
      <c r="I41">
        <v>13000</v>
      </c>
      <c r="J41">
        <v>21503777</v>
      </c>
    </row>
    <row r="42" spans="1:10" x14ac:dyDescent="0.25">
      <c r="A42">
        <v>10442918</v>
      </c>
      <c r="B42" t="s">
        <v>131</v>
      </c>
      <c r="C42" t="s">
        <v>161</v>
      </c>
      <c r="D42">
        <v>628</v>
      </c>
      <c r="E42">
        <v>982422572</v>
      </c>
      <c r="F42" t="s">
        <v>116</v>
      </c>
      <c r="G42" s="230">
        <v>43584.537569444445</v>
      </c>
      <c r="H42">
        <v>10000</v>
      </c>
      <c r="I42">
        <v>10000</v>
      </c>
      <c r="J42">
        <v>21503777</v>
      </c>
    </row>
    <row r="43" spans="1:10" x14ac:dyDescent="0.25">
      <c r="A43">
        <v>10442918</v>
      </c>
      <c r="B43" t="s">
        <v>131</v>
      </c>
      <c r="C43" t="s">
        <v>162</v>
      </c>
      <c r="D43">
        <v>632</v>
      </c>
      <c r="E43">
        <v>982476818</v>
      </c>
      <c r="F43" t="s">
        <v>116</v>
      </c>
      <c r="G43" s="230">
        <v>43584.557662037034</v>
      </c>
      <c r="H43">
        <v>15000</v>
      </c>
      <c r="I43">
        <v>15000</v>
      </c>
      <c r="J43">
        <v>21741832</v>
      </c>
    </row>
    <row r="44" spans="1:10" x14ac:dyDescent="0.25">
      <c r="A44">
        <v>10442918</v>
      </c>
      <c r="B44" t="s">
        <v>131</v>
      </c>
      <c r="C44" t="s">
        <v>163</v>
      </c>
      <c r="D44">
        <v>634</v>
      </c>
      <c r="E44">
        <v>982492901</v>
      </c>
      <c r="F44" t="s">
        <v>116</v>
      </c>
      <c r="G44" s="230">
        <v>43584.563460648147</v>
      </c>
      <c r="H44">
        <v>20000</v>
      </c>
      <c r="I44">
        <v>20000</v>
      </c>
      <c r="J44">
        <v>16642384</v>
      </c>
    </row>
    <row r="45" spans="1:10" x14ac:dyDescent="0.25">
      <c r="A45">
        <v>10442918</v>
      </c>
      <c r="B45" t="s">
        <v>131</v>
      </c>
      <c r="C45" t="s">
        <v>164</v>
      </c>
      <c r="D45">
        <v>636</v>
      </c>
      <c r="E45">
        <v>982499276</v>
      </c>
      <c r="F45" t="s">
        <v>116</v>
      </c>
      <c r="G45" s="230">
        <v>43584.56585648148</v>
      </c>
      <c r="H45">
        <v>500</v>
      </c>
      <c r="I45">
        <v>500</v>
      </c>
      <c r="J45">
        <v>53078506</v>
      </c>
    </row>
    <row r="46" spans="1:10" x14ac:dyDescent="0.25">
      <c r="A46">
        <v>10442918</v>
      </c>
      <c r="B46" t="s">
        <v>131</v>
      </c>
      <c r="C46" t="s">
        <v>165</v>
      </c>
      <c r="D46">
        <v>638</v>
      </c>
      <c r="E46">
        <v>982501936</v>
      </c>
      <c r="F46" t="s">
        <v>116</v>
      </c>
      <c r="G46" s="230">
        <v>43584.566840277781</v>
      </c>
      <c r="H46">
        <v>5000</v>
      </c>
      <c r="I46">
        <v>5000</v>
      </c>
      <c r="J46">
        <v>56249138</v>
      </c>
    </row>
    <row r="47" spans="1:10" x14ac:dyDescent="0.25">
      <c r="A47">
        <v>10442918</v>
      </c>
      <c r="B47" t="s">
        <v>131</v>
      </c>
      <c r="C47" t="s">
        <v>166</v>
      </c>
      <c r="D47">
        <v>641</v>
      </c>
      <c r="E47">
        <v>982508409</v>
      </c>
      <c r="F47" t="s">
        <v>116</v>
      </c>
      <c r="G47" s="230">
        <v>43584.569293981483</v>
      </c>
      <c r="H47">
        <v>500</v>
      </c>
      <c r="I47">
        <v>500</v>
      </c>
      <c r="J47">
        <v>90845401</v>
      </c>
    </row>
    <row r="48" spans="1:10" x14ac:dyDescent="0.25">
      <c r="A48">
        <v>10442918</v>
      </c>
      <c r="B48" t="s">
        <v>131</v>
      </c>
      <c r="C48" t="s">
        <v>167</v>
      </c>
      <c r="D48">
        <v>645</v>
      </c>
      <c r="E48">
        <v>982515763</v>
      </c>
      <c r="F48" t="s">
        <v>116</v>
      </c>
      <c r="G48" s="230">
        <v>43584.571909722225</v>
      </c>
      <c r="H48">
        <v>20000</v>
      </c>
      <c r="I48">
        <v>20000</v>
      </c>
      <c r="J48">
        <v>3.6520504860100998E+17</v>
      </c>
    </row>
    <row r="49" spans="1:10" x14ac:dyDescent="0.25">
      <c r="A49">
        <v>10442918</v>
      </c>
      <c r="B49" t="s">
        <v>131</v>
      </c>
      <c r="C49" t="s">
        <v>167</v>
      </c>
      <c r="D49">
        <v>646</v>
      </c>
      <c r="E49">
        <v>982517445</v>
      </c>
      <c r="F49" t="s">
        <v>116</v>
      </c>
      <c r="G49" s="230">
        <v>43584.572546296295</v>
      </c>
      <c r="H49">
        <v>20000</v>
      </c>
      <c r="I49">
        <v>20000</v>
      </c>
      <c r="J49">
        <v>3.6520504860100998E+17</v>
      </c>
    </row>
    <row r="50" spans="1:10" x14ac:dyDescent="0.25">
      <c r="A50">
        <v>10442918</v>
      </c>
      <c r="B50" t="s">
        <v>131</v>
      </c>
      <c r="C50" t="s">
        <v>168</v>
      </c>
      <c r="D50">
        <v>649</v>
      </c>
      <c r="E50">
        <v>982525408</v>
      </c>
      <c r="F50" t="s">
        <v>116</v>
      </c>
      <c r="G50" s="230">
        <v>43584.575462962966</v>
      </c>
      <c r="H50">
        <v>20000</v>
      </c>
      <c r="I50">
        <v>20000</v>
      </c>
    </row>
    <row r="51" spans="1:10" x14ac:dyDescent="0.25">
      <c r="A51">
        <v>10442918</v>
      </c>
      <c r="B51" t="s">
        <v>131</v>
      </c>
      <c r="C51" t="s">
        <v>168</v>
      </c>
      <c r="D51">
        <v>650</v>
      </c>
      <c r="E51">
        <v>982527308</v>
      </c>
      <c r="F51" t="s">
        <v>116</v>
      </c>
      <c r="G51" s="230">
        <v>43584.576215277775</v>
      </c>
      <c r="H51">
        <v>20000</v>
      </c>
      <c r="I51">
        <v>20000</v>
      </c>
    </row>
    <row r="52" spans="1:10" x14ac:dyDescent="0.25">
      <c r="A52">
        <v>10442918</v>
      </c>
      <c r="B52" t="s">
        <v>131</v>
      </c>
      <c r="C52" t="s">
        <v>168</v>
      </c>
      <c r="D52">
        <v>651</v>
      </c>
      <c r="E52">
        <v>982528782</v>
      </c>
      <c r="F52" t="s">
        <v>116</v>
      </c>
      <c r="G52" s="230">
        <v>43584.576793981483</v>
      </c>
      <c r="H52">
        <v>20000</v>
      </c>
      <c r="I52">
        <v>20000</v>
      </c>
    </row>
    <row r="53" spans="1:10" x14ac:dyDescent="0.25">
      <c r="A53">
        <v>10442918</v>
      </c>
      <c r="B53" t="s">
        <v>131</v>
      </c>
      <c r="C53" t="s">
        <v>169</v>
      </c>
      <c r="D53">
        <v>655</v>
      </c>
      <c r="E53">
        <v>982539296</v>
      </c>
      <c r="F53" t="s">
        <v>116</v>
      </c>
      <c r="G53" s="230">
        <v>43584.580752314818</v>
      </c>
      <c r="H53">
        <v>20000</v>
      </c>
      <c r="I53">
        <v>20000</v>
      </c>
      <c r="J53">
        <v>50344275</v>
      </c>
    </row>
    <row r="54" spans="1:10" x14ac:dyDescent="0.25">
      <c r="A54">
        <v>10442918</v>
      </c>
      <c r="B54" t="s">
        <v>131</v>
      </c>
      <c r="C54" t="s">
        <v>169</v>
      </c>
      <c r="D54">
        <v>656</v>
      </c>
      <c r="E54">
        <v>982540874</v>
      </c>
      <c r="F54" t="s">
        <v>116</v>
      </c>
      <c r="G54" s="230">
        <v>43584.581365740742</v>
      </c>
      <c r="H54">
        <v>5000</v>
      </c>
      <c r="I54">
        <v>5000</v>
      </c>
      <c r="J54">
        <v>50344275</v>
      </c>
    </row>
    <row r="55" spans="1:10" x14ac:dyDescent="0.25">
      <c r="A55">
        <v>10442918</v>
      </c>
      <c r="B55" t="s">
        <v>131</v>
      </c>
      <c r="C55" t="s">
        <v>170</v>
      </c>
      <c r="D55">
        <v>658</v>
      </c>
      <c r="E55">
        <v>982543773</v>
      </c>
      <c r="F55" t="s">
        <v>116</v>
      </c>
      <c r="G55" s="230">
        <v>43584.582442129627</v>
      </c>
      <c r="H55">
        <v>9500</v>
      </c>
      <c r="I55">
        <v>9500</v>
      </c>
      <c r="J55">
        <v>1010101010</v>
      </c>
    </row>
    <row r="56" spans="1:10" x14ac:dyDescent="0.25">
      <c r="A56">
        <v>10442918</v>
      </c>
      <c r="B56" t="s">
        <v>131</v>
      </c>
      <c r="C56" t="s">
        <v>171</v>
      </c>
      <c r="D56">
        <v>660</v>
      </c>
      <c r="E56">
        <v>982547115</v>
      </c>
      <c r="F56" t="s">
        <v>116</v>
      </c>
      <c r="G56" s="230">
        <v>43584.583749999998</v>
      </c>
      <c r="H56">
        <v>20000</v>
      </c>
      <c r="I56">
        <v>20000</v>
      </c>
      <c r="J56">
        <v>44448284</v>
      </c>
    </row>
    <row r="57" spans="1:10" x14ac:dyDescent="0.25">
      <c r="A57">
        <v>10442918</v>
      </c>
      <c r="B57" t="s">
        <v>131</v>
      </c>
      <c r="C57" t="s">
        <v>172</v>
      </c>
      <c r="D57">
        <v>666</v>
      </c>
      <c r="E57">
        <v>982581939</v>
      </c>
      <c r="F57" t="s">
        <v>116</v>
      </c>
      <c r="G57" s="230">
        <v>43584.596770833334</v>
      </c>
      <c r="H57">
        <v>2000</v>
      </c>
      <c r="I57">
        <v>2000</v>
      </c>
      <c r="J57">
        <v>783775144</v>
      </c>
    </row>
    <row r="58" spans="1:10" x14ac:dyDescent="0.25">
      <c r="A58">
        <v>10442918</v>
      </c>
      <c r="B58" t="s">
        <v>131</v>
      </c>
      <c r="C58" t="s">
        <v>173</v>
      </c>
      <c r="D58">
        <v>668</v>
      </c>
      <c r="E58">
        <v>982585286</v>
      </c>
      <c r="F58" t="s">
        <v>116</v>
      </c>
      <c r="G58" s="230">
        <v>43584.598009259258</v>
      </c>
      <c r="H58">
        <v>10000</v>
      </c>
      <c r="I58">
        <v>10000</v>
      </c>
      <c r="J58">
        <v>11195590</v>
      </c>
    </row>
    <row r="59" spans="1:10" x14ac:dyDescent="0.25">
      <c r="A59">
        <v>10442918</v>
      </c>
      <c r="B59" t="s">
        <v>131</v>
      </c>
      <c r="C59" t="s">
        <v>174</v>
      </c>
      <c r="D59">
        <v>670</v>
      </c>
      <c r="E59">
        <v>982606267</v>
      </c>
      <c r="F59" t="s">
        <v>116</v>
      </c>
      <c r="G59" s="230">
        <v>43584.605717592596</v>
      </c>
      <c r="H59">
        <v>20000</v>
      </c>
      <c r="I59">
        <v>20000</v>
      </c>
      <c r="J59">
        <v>3.2302711480100499E+17</v>
      </c>
    </row>
    <row r="60" spans="1:10" x14ac:dyDescent="0.25">
      <c r="A60">
        <v>10442918</v>
      </c>
      <c r="B60" t="s">
        <v>131</v>
      </c>
      <c r="C60" t="s">
        <v>174</v>
      </c>
      <c r="D60">
        <v>671</v>
      </c>
      <c r="E60">
        <v>982608190</v>
      </c>
      <c r="F60" t="s">
        <v>116</v>
      </c>
      <c r="G60" s="230">
        <v>43584.606423611112</v>
      </c>
      <c r="H60">
        <v>20000</v>
      </c>
      <c r="I60">
        <v>20000</v>
      </c>
      <c r="J60">
        <v>3.2302711480100499E+17</v>
      </c>
    </row>
    <row r="61" spans="1:10" x14ac:dyDescent="0.25">
      <c r="A61">
        <v>10442918</v>
      </c>
      <c r="B61" t="s">
        <v>131</v>
      </c>
      <c r="C61" t="s">
        <v>174</v>
      </c>
      <c r="D61">
        <v>672</v>
      </c>
      <c r="E61">
        <v>982609906</v>
      </c>
      <c r="F61" t="s">
        <v>116</v>
      </c>
      <c r="G61" s="230">
        <v>43584.607071759259</v>
      </c>
      <c r="H61">
        <v>20000</v>
      </c>
      <c r="I61">
        <v>20000</v>
      </c>
      <c r="J61">
        <v>3.2302711480100499E+17</v>
      </c>
    </row>
    <row r="62" spans="1:10" x14ac:dyDescent="0.25">
      <c r="A62">
        <v>10442918</v>
      </c>
      <c r="B62" t="s">
        <v>131</v>
      </c>
      <c r="C62" t="s">
        <v>174</v>
      </c>
      <c r="D62">
        <v>673</v>
      </c>
      <c r="E62">
        <v>982611627</v>
      </c>
      <c r="F62" t="s">
        <v>116</v>
      </c>
      <c r="G62" s="230">
        <v>43584.60769675926</v>
      </c>
      <c r="H62">
        <v>20000</v>
      </c>
      <c r="I62">
        <v>20000</v>
      </c>
      <c r="J62">
        <v>3.2302711480100499E+17</v>
      </c>
    </row>
    <row r="63" spans="1:10" x14ac:dyDescent="0.25">
      <c r="A63">
        <v>10442918</v>
      </c>
      <c r="B63" t="s">
        <v>131</v>
      </c>
      <c r="C63" t="s">
        <v>174</v>
      </c>
      <c r="D63">
        <v>674</v>
      </c>
      <c r="E63">
        <v>982613374</v>
      </c>
      <c r="F63" t="s">
        <v>116</v>
      </c>
      <c r="G63" s="230">
        <v>43584.608356481483</v>
      </c>
      <c r="H63">
        <v>20000</v>
      </c>
      <c r="I63">
        <v>20000</v>
      </c>
      <c r="J63">
        <v>3.2302711480100499E+17</v>
      </c>
    </row>
    <row r="64" spans="1:10" x14ac:dyDescent="0.25">
      <c r="A64">
        <v>10442918</v>
      </c>
      <c r="B64" t="s">
        <v>131</v>
      </c>
      <c r="C64" t="s">
        <v>174</v>
      </c>
      <c r="D64">
        <v>675</v>
      </c>
      <c r="E64">
        <v>982615168</v>
      </c>
      <c r="F64" t="s">
        <v>116</v>
      </c>
      <c r="G64" s="230">
        <v>43584.60900462963</v>
      </c>
      <c r="H64">
        <v>20000</v>
      </c>
      <c r="I64">
        <v>20000</v>
      </c>
      <c r="J64">
        <v>3.2302711480100499E+17</v>
      </c>
    </row>
    <row r="65" spans="1:10" x14ac:dyDescent="0.25">
      <c r="A65">
        <v>10442918</v>
      </c>
      <c r="B65" t="s">
        <v>131</v>
      </c>
      <c r="C65" t="s">
        <v>174</v>
      </c>
      <c r="D65">
        <v>677</v>
      </c>
      <c r="E65">
        <v>982617823</v>
      </c>
      <c r="F65" t="s">
        <v>121</v>
      </c>
      <c r="G65" s="230">
        <v>43584.610011574077</v>
      </c>
      <c r="H65">
        <v>20000</v>
      </c>
      <c r="I65">
        <v>0</v>
      </c>
      <c r="J65">
        <v>3.2302711480100499E+17</v>
      </c>
    </row>
    <row r="66" spans="1:10" x14ac:dyDescent="0.25">
      <c r="A66">
        <v>10442918</v>
      </c>
      <c r="B66" t="s">
        <v>131</v>
      </c>
      <c r="C66" t="s">
        <v>175</v>
      </c>
      <c r="D66">
        <v>679</v>
      </c>
      <c r="E66">
        <v>982623987</v>
      </c>
      <c r="F66" t="s">
        <v>116</v>
      </c>
      <c r="G66" s="230">
        <v>43584.612291666665</v>
      </c>
      <c r="H66">
        <v>5000</v>
      </c>
      <c r="I66">
        <v>5000</v>
      </c>
      <c r="J66">
        <v>4.2026620540100998E+17</v>
      </c>
    </row>
    <row r="67" spans="1:10" x14ac:dyDescent="0.25">
      <c r="A67">
        <v>10442918</v>
      </c>
      <c r="B67" t="s">
        <v>131</v>
      </c>
      <c r="C67" t="s">
        <v>176</v>
      </c>
      <c r="D67">
        <v>681</v>
      </c>
      <c r="E67">
        <v>982635135</v>
      </c>
      <c r="F67" t="s">
        <v>116</v>
      </c>
      <c r="G67" s="230">
        <v>43584.61650462963</v>
      </c>
      <c r="H67">
        <v>20000</v>
      </c>
      <c r="I67">
        <v>20000</v>
      </c>
      <c r="J67">
        <v>787614937</v>
      </c>
    </row>
    <row r="68" spans="1:10" x14ac:dyDescent="0.25">
      <c r="A68">
        <v>10442918</v>
      </c>
      <c r="B68" t="s">
        <v>131</v>
      </c>
      <c r="C68" t="s">
        <v>176</v>
      </c>
      <c r="D68">
        <v>683</v>
      </c>
      <c r="E68">
        <v>982637817</v>
      </c>
      <c r="F68" t="s">
        <v>116</v>
      </c>
      <c r="G68" s="230">
        <v>43584.617465277777</v>
      </c>
      <c r="H68">
        <v>20000</v>
      </c>
      <c r="I68">
        <v>20000</v>
      </c>
      <c r="J68">
        <v>787614937</v>
      </c>
    </row>
    <row r="69" spans="1:10" x14ac:dyDescent="0.25">
      <c r="A69">
        <v>10442918</v>
      </c>
      <c r="B69" t="s">
        <v>131</v>
      </c>
      <c r="C69" t="s">
        <v>176</v>
      </c>
      <c r="D69">
        <v>684</v>
      </c>
      <c r="E69">
        <v>982639587</v>
      </c>
      <c r="F69" t="s">
        <v>116</v>
      </c>
      <c r="G69" s="230">
        <v>43584.618090277778</v>
      </c>
      <c r="H69">
        <v>20000</v>
      </c>
      <c r="I69">
        <v>20000</v>
      </c>
      <c r="J69">
        <v>787614937</v>
      </c>
    </row>
    <row r="70" spans="1:10" x14ac:dyDescent="0.25">
      <c r="A70">
        <v>10442918</v>
      </c>
      <c r="B70" t="s">
        <v>131</v>
      </c>
      <c r="C70" t="s">
        <v>176</v>
      </c>
      <c r="D70">
        <v>685</v>
      </c>
      <c r="E70">
        <v>982641366</v>
      </c>
      <c r="F70" t="s">
        <v>116</v>
      </c>
      <c r="G70" s="230">
        <v>43584.618761574071</v>
      </c>
      <c r="H70">
        <v>5000</v>
      </c>
      <c r="I70">
        <v>5000</v>
      </c>
      <c r="J70">
        <v>787614937</v>
      </c>
    </row>
    <row r="71" spans="1:10" x14ac:dyDescent="0.25">
      <c r="A71">
        <v>10442918</v>
      </c>
      <c r="B71" t="s">
        <v>131</v>
      </c>
      <c r="C71" t="s">
        <v>177</v>
      </c>
      <c r="D71">
        <v>690</v>
      </c>
      <c r="E71">
        <v>982722246</v>
      </c>
      <c r="F71" t="s">
        <v>116</v>
      </c>
      <c r="G71" s="230">
        <v>43584.649444444447</v>
      </c>
      <c r="H71">
        <v>20000</v>
      </c>
      <c r="I71">
        <v>20000</v>
      </c>
      <c r="J71">
        <v>657207</v>
      </c>
    </row>
    <row r="72" spans="1:10" x14ac:dyDescent="0.25">
      <c r="A72">
        <v>10442918</v>
      </c>
      <c r="B72" t="s">
        <v>131</v>
      </c>
      <c r="C72" t="s">
        <v>177</v>
      </c>
      <c r="D72">
        <v>691</v>
      </c>
      <c r="E72">
        <v>982724356</v>
      </c>
      <c r="F72" t="s">
        <v>116</v>
      </c>
      <c r="G72" s="230">
        <v>43584.650208333333</v>
      </c>
      <c r="H72">
        <v>20000</v>
      </c>
      <c r="I72">
        <v>20000</v>
      </c>
      <c r="J72">
        <v>657207</v>
      </c>
    </row>
    <row r="73" spans="1:10" x14ac:dyDescent="0.25">
      <c r="A73">
        <v>10442918</v>
      </c>
      <c r="B73" t="s">
        <v>131</v>
      </c>
      <c r="C73" t="s">
        <v>178</v>
      </c>
      <c r="D73">
        <v>693</v>
      </c>
      <c r="E73">
        <v>982728375</v>
      </c>
      <c r="F73" t="s">
        <v>117</v>
      </c>
      <c r="G73" s="230">
        <v>43584.651666666665</v>
      </c>
      <c r="H73">
        <v>5000</v>
      </c>
      <c r="I73">
        <v>0</v>
      </c>
    </row>
    <row r="74" spans="1:10" x14ac:dyDescent="0.25">
      <c r="A74">
        <v>10442918</v>
      </c>
      <c r="B74" t="s">
        <v>131</v>
      </c>
      <c r="C74" t="s">
        <v>178</v>
      </c>
      <c r="D74">
        <v>694</v>
      </c>
      <c r="E74">
        <v>982729435</v>
      </c>
      <c r="F74" t="s">
        <v>179</v>
      </c>
      <c r="G74" s="230">
        <v>43584.652094907404</v>
      </c>
      <c r="H74">
        <v>5000</v>
      </c>
      <c r="I74">
        <v>0</v>
      </c>
    </row>
    <row r="75" spans="1:10" x14ac:dyDescent="0.25">
      <c r="A75">
        <v>10442918</v>
      </c>
      <c r="B75" t="s">
        <v>131</v>
      </c>
      <c r="C75" t="s">
        <v>180</v>
      </c>
      <c r="D75">
        <v>696</v>
      </c>
      <c r="E75">
        <v>982739364</v>
      </c>
      <c r="F75" t="s">
        <v>116</v>
      </c>
      <c r="G75" s="230">
        <v>43584.655775462961</v>
      </c>
      <c r="H75">
        <v>3000</v>
      </c>
      <c r="I75">
        <v>3000</v>
      </c>
      <c r="J75">
        <v>3684271017</v>
      </c>
    </row>
    <row r="76" spans="1:10" x14ac:dyDescent="0.25">
      <c r="A76">
        <v>10442918</v>
      </c>
      <c r="B76" t="s">
        <v>131</v>
      </c>
      <c r="C76" t="s">
        <v>181</v>
      </c>
      <c r="D76">
        <v>698</v>
      </c>
      <c r="E76">
        <v>982757927</v>
      </c>
      <c r="F76" t="s">
        <v>116</v>
      </c>
      <c r="G76" s="230">
        <v>43584.662754629629</v>
      </c>
      <c r="H76">
        <v>1000</v>
      </c>
      <c r="I76">
        <v>1000</v>
      </c>
      <c r="J76">
        <v>54517618</v>
      </c>
    </row>
    <row r="77" spans="1:10" x14ac:dyDescent="0.25">
      <c r="A77">
        <v>10442918</v>
      </c>
      <c r="B77" t="s">
        <v>131</v>
      </c>
      <c r="C77" t="s">
        <v>182</v>
      </c>
      <c r="D77">
        <v>700</v>
      </c>
      <c r="E77">
        <v>982760870</v>
      </c>
      <c r="F77" t="s">
        <v>116</v>
      </c>
      <c r="G77" s="230">
        <v>43584.663877314815</v>
      </c>
      <c r="H77">
        <v>500</v>
      </c>
      <c r="I77">
        <v>500</v>
      </c>
      <c r="J77">
        <v>26861747</v>
      </c>
    </row>
    <row r="78" spans="1:10" x14ac:dyDescent="0.25">
      <c r="A78">
        <v>10442918</v>
      </c>
      <c r="B78" t="s">
        <v>131</v>
      </c>
      <c r="C78" t="s">
        <v>183</v>
      </c>
      <c r="D78">
        <v>703</v>
      </c>
      <c r="E78">
        <v>982774136</v>
      </c>
      <c r="F78" t="s">
        <v>116</v>
      </c>
      <c r="G78" s="230">
        <v>43584.669027777774</v>
      </c>
      <c r="H78">
        <v>1000</v>
      </c>
      <c r="I78">
        <v>1000</v>
      </c>
      <c r="J78">
        <v>3.2903531710100499E+17</v>
      </c>
    </row>
    <row r="79" spans="1:10" x14ac:dyDescent="0.25">
      <c r="A79">
        <v>10442918</v>
      </c>
      <c r="B79" t="s">
        <v>131</v>
      </c>
      <c r="C79" t="s">
        <v>184</v>
      </c>
      <c r="D79">
        <v>706</v>
      </c>
      <c r="E79">
        <v>982810656</v>
      </c>
      <c r="F79" t="s">
        <v>116</v>
      </c>
      <c r="G79" s="230">
        <v>43584.682800925926</v>
      </c>
      <c r="H79">
        <v>500</v>
      </c>
      <c r="I79">
        <v>500</v>
      </c>
      <c r="J79">
        <v>2211621007</v>
      </c>
    </row>
    <row r="80" spans="1:10" x14ac:dyDescent="0.25">
      <c r="A80">
        <v>10442918</v>
      </c>
      <c r="B80" t="s">
        <v>131</v>
      </c>
      <c r="C80" t="s">
        <v>185</v>
      </c>
      <c r="D80">
        <v>709</v>
      </c>
      <c r="E80">
        <v>982822559</v>
      </c>
      <c r="F80" t="s">
        <v>116</v>
      </c>
      <c r="G80" s="230">
        <v>43584.687303240738</v>
      </c>
      <c r="H80">
        <v>10000</v>
      </c>
      <c r="I80">
        <v>10000</v>
      </c>
      <c r="J80">
        <v>6337575</v>
      </c>
    </row>
    <row r="81" spans="1:10" x14ac:dyDescent="0.25">
      <c r="A81">
        <v>10442918</v>
      </c>
      <c r="B81" t="s">
        <v>131</v>
      </c>
      <c r="C81" t="s">
        <v>186</v>
      </c>
      <c r="D81">
        <v>711</v>
      </c>
      <c r="E81">
        <v>982826214</v>
      </c>
      <c r="F81" t="s">
        <v>118</v>
      </c>
      <c r="G81" s="230">
        <v>43584.688657407409</v>
      </c>
      <c r="H81">
        <v>1000</v>
      </c>
      <c r="I81">
        <v>0</v>
      </c>
      <c r="J81">
        <v>689505784</v>
      </c>
    </row>
    <row r="82" spans="1:10" x14ac:dyDescent="0.25">
      <c r="A82">
        <v>10442918</v>
      </c>
      <c r="B82" t="s">
        <v>131</v>
      </c>
      <c r="C82" t="s">
        <v>186</v>
      </c>
      <c r="D82">
        <v>714</v>
      </c>
      <c r="E82">
        <v>982832525</v>
      </c>
      <c r="F82" t="s">
        <v>116</v>
      </c>
      <c r="G82" s="230">
        <v>43584.690983796296</v>
      </c>
      <c r="H82">
        <v>500</v>
      </c>
      <c r="I82">
        <v>500</v>
      </c>
      <c r="J82">
        <v>689505784</v>
      </c>
    </row>
    <row r="83" spans="1:10" x14ac:dyDescent="0.25">
      <c r="A83">
        <v>10442918</v>
      </c>
      <c r="B83" t="s">
        <v>131</v>
      </c>
      <c r="C83" t="s">
        <v>187</v>
      </c>
      <c r="D83">
        <v>717</v>
      </c>
      <c r="E83">
        <v>982839317</v>
      </c>
      <c r="F83" t="s">
        <v>116</v>
      </c>
      <c r="G83" s="230">
        <v>43584.693541666667</v>
      </c>
      <c r="H83">
        <v>5000</v>
      </c>
      <c r="I83">
        <v>5000</v>
      </c>
      <c r="J83">
        <v>688897628</v>
      </c>
    </row>
    <row r="84" spans="1:10" x14ac:dyDescent="0.25">
      <c r="A84">
        <v>10442918</v>
      </c>
      <c r="B84" t="s">
        <v>131</v>
      </c>
      <c r="C84" t="s">
        <v>188</v>
      </c>
      <c r="D84">
        <v>719</v>
      </c>
      <c r="E84">
        <v>982844830</v>
      </c>
      <c r="F84" t="s">
        <v>116</v>
      </c>
      <c r="G84" s="230">
        <v>43584.695636574077</v>
      </c>
      <c r="H84">
        <v>20000</v>
      </c>
      <c r="I84">
        <v>20000</v>
      </c>
      <c r="J84">
        <v>2378242</v>
      </c>
    </row>
    <row r="85" spans="1:10" x14ac:dyDescent="0.25">
      <c r="A85">
        <v>10442918</v>
      </c>
      <c r="B85" t="s">
        <v>131</v>
      </c>
      <c r="C85" t="s">
        <v>188</v>
      </c>
      <c r="D85">
        <v>720</v>
      </c>
      <c r="E85">
        <v>982846951</v>
      </c>
      <c r="F85" t="s">
        <v>116</v>
      </c>
      <c r="G85" s="230">
        <v>43584.696458333332</v>
      </c>
      <c r="H85">
        <v>15000</v>
      </c>
      <c r="I85">
        <v>15000</v>
      </c>
      <c r="J85">
        <v>2378242</v>
      </c>
    </row>
    <row r="86" spans="1:10" x14ac:dyDescent="0.25">
      <c r="A86">
        <v>10442918</v>
      </c>
      <c r="B86" t="s">
        <v>131</v>
      </c>
      <c r="C86" t="s">
        <v>188</v>
      </c>
      <c r="D86">
        <v>721</v>
      </c>
      <c r="E86">
        <v>982849143</v>
      </c>
      <c r="F86" t="s">
        <v>116</v>
      </c>
      <c r="G86" s="230">
        <v>43584.697291666664</v>
      </c>
      <c r="H86">
        <v>3000</v>
      </c>
      <c r="I86">
        <v>3000</v>
      </c>
      <c r="J86">
        <v>2378242</v>
      </c>
    </row>
    <row r="87" spans="1:10" x14ac:dyDescent="0.25">
      <c r="A87">
        <v>10442918</v>
      </c>
      <c r="B87" t="s">
        <v>131</v>
      </c>
      <c r="C87" t="s">
        <v>189</v>
      </c>
      <c r="D87">
        <v>724</v>
      </c>
      <c r="E87">
        <v>982861683</v>
      </c>
      <c r="F87" t="s">
        <v>116</v>
      </c>
      <c r="G87" s="230">
        <v>43584.701956018522</v>
      </c>
      <c r="H87">
        <v>5000</v>
      </c>
      <c r="I87">
        <v>5000</v>
      </c>
      <c r="J87">
        <v>5171005035</v>
      </c>
    </row>
    <row r="88" spans="1:10" x14ac:dyDescent="0.25">
      <c r="A88">
        <v>10442918</v>
      </c>
      <c r="B88" t="s">
        <v>131</v>
      </c>
      <c r="C88" t="s">
        <v>189</v>
      </c>
      <c r="D88">
        <v>725</v>
      </c>
      <c r="E88">
        <v>982863489</v>
      </c>
      <c r="F88" t="s">
        <v>116</v>
      </c>
      <c r="G88" s="230">
        <v>43584.702650462961</v>
      </c>
      <c r="H88">
        <v>5000</v>
      </c>
      <c r="I88">
        <v>5000</v>
      </c>
      <c r="J88">
        <v>5171005035</v>
      </c>
    </row>
    <row r="89" spans="1:10" x14ac:dyDescent="0.25">
      <c r="A89">
        <v>10442918</v>
      </c>
      <c r="B89" t="s">
        <v>131</v>
      </c>
      <c r="C89" t="s">
        <v>190</v>
      </c>
      <c r="D89">
        <v>728</v>
      </c>
      <c r="E89">
        <v>982876509</v>
      </c>
      <c r="F89" t="s">
        <v>116</v>
      </c>
      <c r="G89" s="230">
        <v>43584.707488425927</v>
      </c>
      <c r="H89">
        <v>20000</v>
      </c>
      <c r="I89">
        <v>20000</v>
      </c>
      <c r="J89">
        <v>55720043</v>
      </c>
    </row>
    <row r="90" spans="1:10" x14ac:dyDescent="0.25">
      <c r="A90">
        <v>10442918</v>
      </c>
      <c r="B90" t="s">
        <v>131</v>
      </c>
      <c r="C90" t="s">
        <v>190</v>
      </c>
      <c r="D90">
        <v>730</v>
      </c>
      <c r="E90">
        <v>982879465</v>
      </c>
      <c r="F90" t="s">
        <v>116</v>
      </c>
      <c r="G90" s="230">
        <v>43584.708622685182</v>
      </c>
      <c r="H90">
        <v>20000</v>
      </c>
      <c r="I90">
        <v>20000</v>
      </c>
      <c r="J90">
        <v>55720043</v>
      </c>
    </row>
    <row r="91" spans="1:10" x14ac:dyDescent="0.25">
      <c r="A91">
        <v>10442918</v>
      </c>
      <c r="B91" t="s">
        <v>131</v>
      </c>
      <c r="C91" t="s">
        <v>190</v>
      </c>
      <c r="D91">
        <v>731</v>
      </c>
      <c r="E91">
        <v>982881627</v>
      </c>
      <c r="F91" t="s">
        <v>116</v>
      </c>
      <c r="G91" s="230">
        <v>43584.709409722222</v>
      </c>
      <c r="H91">
        <v>20000</v>
      </c>
      <c r="I91">
        <v>20000</v>
      </c>
      <c r="J91">
        <v>55720043</v>
      </c>
    </row>
    <row r="92" spans="1:10" x14ac:dyDescent="0.25">
      <c r="A92">
        <v>10442918</v>
      </c>
      <c r="B92" t="s">
        <v>131</v>
      </c>
      <c r="C92" t="s">
        <v>191</v>
      </c>
      <c r="D92">
        <v>733</v>
      </c>
      <c r="E92">
        <v>982884090</v>
      </c>
      <c r="F92" t="s">
        <v>116</v>
      </c>
      <c r="G92" s="230">
        <v>43584.710347222222</v>
      </c>
      <c r="H92">
        <v>5000</v>
      </c>
      <c r="I92">
        <v>5000</v>
      </c>
      <c r="J92">
        <v>707471163</v>
      </c>
    </row>
    <row r="93" spans="1:10" x14ac:dyDescent="0.25">
      <c r="A93">
        <v>10442918</v>
      </c>
      <c r="B93" t="s">
        <v>131</v>
      </c>
      <c r="C93" t="s">
        <v>192</v>
      </c>
      <c r="D93">
        <v>735</v>
      </c>
      <c r="E93">
        <v>982895714</v>
      </c>
      <c r="F93" t="s">
        <v>116</v>
      </c>
      <c r="G93" s="230">
        <v>43584.714606481481</v>
      </c>
      <c r="H93">
        <v>10000</v>
      </c>
      <c r="I93">
        <v>10000</v>
      </c>
      <c r="J93">
        <v>22921329</v>
      </c>
    </row>
    <row r="94" spans="1:10" x14ac:dyDescent="0.25">
      <c r="A94">
        <v>10442918</v>
      </c>
      <c r="B94" t="s">
        <v>131</v>
      </c>
      <c r="C94" t="s">
        <v>143</v>
      </c>
      <c r="D94">
        <v>737</v>
      </c>
      <c r="E94">
        <v>982919519</v>
      </c>
      <c r="F94" t="s">
        <v>116</v>
      </c>
      <c r="G94" s="230">
        <v>43584.723229166666</v>
      </c>
      <c r="H94">
        <v>1000</v>
      </c>
      <c r="I94">
        <v>1000</v>
      </c>
      <c r="J94">
        <v>784449826</v>
      </c>
    </row>
    <row r="95" spans="1:10" x14ac:dyDescent="0.25">
      <c r="A95">
        <v>10442918</v>
      </c>
      <c r="B95" t="s">
        <v>131</v>
      </c>
      <c r="C95" t="s">
        <v>193</v>
      </c>
      <c r="D95">
        <v>739</v>
      </c>
      <c r="E95">
        <v>982954296</v>
      </c>
      <c r="F95" t="s">
        <v>116</v>
      </c>
      <c r="G95" s="230">
        <v>43584.736226851855</v>
      </c>
      <c r="H95">
        <v>10000</v>
      </c>
      <c r="I95">
        <v>10000</v>
      </c>
      <c r="J95">
        <v>777687277</v>
      </c>
    </row>
    <row r="96" spans="1:10" x14ac:dyDescent="0.25">
      <c r="A96">
        <v>10442918</v>
      </c>
      <c r="B96" t="s">
        <v>131</v>
      </c>
      <c r="C96" t="s">
        <v>194</v>
      </c>
      <c r="D96">
        <v>743</v>
      </c>
      <c r="E96">
        <v>982966028</v>
      </c>
      <c r="F96" t="s">
        <v>116</v>
      </c>
      <c r="G96" s="230">
        <v>43584.740590277775</v>
      </c>
      <c r="H96">
        <v>4000</v>
      </c>
      <c r="I96">
        <v>4000</v>
      </c>
      <c r="J96">
        <v>109970094</v>
      </c>
    </row>
    <row r="97" spans="1:10" x14ac:dyDescent="0.25">
      <c r="A97">
        <v>10442918</v>
      </c>
      <c r="B97" t="s">
        <v>131</v>
      </c>
      <c r="C97" t="s">
        <v>195</v>
      </c>
      <c r="D97">
        <v>745</v>
      </c>
      <c r="E97">
        <v>982985381</v>
      </c>
      <c r="F97" t="s">
        <v>116</v>
      </c>
      <c r="G97" s="230">
        <v>43584.747997685183</v>
      </c>
      <c r="H97">
        <v>1500</v>
      </c>
      <c r="I97">
        <v>1500</v>
      </c>
      <c r="J97">
        <v>3.2903454730100499E+17</v>
      </c>
    </row>
    <row r="98" spans="1:10" x14ac:dyDescent="0.25">
      <c r="A98">
        <v>10442918</v>
      </c>
      <c r="B98" t="s">
        <v>131</v>
      </c>
      <c r="C98" t="s">
        <v>196</v>
      </c>
      <c r="D98">
        <v>747</v>
      </c>
      <c r="E98">
        <v>982988495</v>
      </c>
      <c r="F98" t="s">
        <v>116</v>
      </c>
      <c r="G98" s="230">
        <v>43584.749224537038</v>
      </c>
      <c r="H98">
        <v>15000</v>
      </c>
      <c r="I98">
        <v>15000</v>
      </c>
      <c r="J98">
        <v>701076</v>
      </c>
    </row>
    <row r="99" spans="1:10" x14ac:dyDescent="0.25">
      <c r="A99">
        <v>10442918</v>
      </c>
      <c r="B99" t="s">
        <v>131</v>
      </c>
      <c r="C99" t="s">
        <v>196</v>
      </c>
      <c r="D99">
        <v>748</v>
      </c>
      <c r="E99">
        <v>982991500</v>
      </c>
      <c r="F99" t="s">
        <v>116</v>
      </c>
      <c r="G99" s="230">
        <v>43584.750358796293</v>
      </c>
      <c r="H99">
        <v>20000</v>
      </c>
      <c r="I99">
        <v>20000</v>
      </c>
      <c r="J99">
        <v>701076</v>
      </c>
    </row>
    <row r="100" spans="1:10" x14ac:dyDescent="0.25">
      <c r="A100">
        <v>10442918</v>
      </c>
      <c r="B100" t="s">
        <v>131</v>
      </c>
      <c r="C100" t="s">
        <v>197</v>
      </c>
      <c r="D100">
        <v>750</v>
      </c>
      <c r="E100">
        <v>982993589</v>
      </c>
      <c r="F100" t="s">
        <v>198</v>
      </c>
      <c r="G100" s="230">
        <v>43584.751168981478</v>
      </c>
      <c r="H100">
        <v>500</v>
      </c>
      <c r="I100">
        <v>0</v>
      </c>
      <c r="J100">
        <v>120002161</v>
      </c>
    </row>
    <row r="101" spans="1:10" x14ac:dyDescent="0.25">
      <c r="A101">
        <v>10442918</v>
      </c>
      <c r="B101" t="s">
        <v>131</v>
      </c>
      <c r="C101" t="s">
        <v>199</v>
      </c>
      <c r="D101">
        <v>752</v>
      </c>
      <c r="E101">
        <v>982996606</v>
      </c>
      <c r="F101" t="s">
        <v>116</v>
      </c>
      <c r="G101" s="230">
        <v>43584.75236111111</v>
      </c>
      <c r="H101">
        <v>500</v>
      </c>
      <c r="I101">
        <v>500</v>
      </c>
      <c r="J101">
        <v>3.3208923110100102E+17</v>
      </c>
    </row>
    <row r="102" spans="1:10" x14ac:dyDescent="0.25">
      <c r="A102">
        <v>10442918</v>
      </c>
      <c r="B102" t="s">
        <v>131</v>
      </c>
      <c r="C102" t="s">
        <v>200</v>
      </c>
      <c r="D102">
        <v>758</v>
      </c>
      <c r="E102">
        <v>983025007</v>
      </c>
      <c r="F102" t="s">
        <v>116</v>
      </c>
      <c r="G102" s="230">
        <v>43584.763680555552</v>
      </c>
      <c r="H102">
        <v>3000</v>
      </c>
      <c r="I102">
        <v>3000</v>
      </c>
      <c r="J102">
        <v>1010101010</v>
      </c>
    </row>
    <row r="103" spans="1:10" x14ac:dyDescent="0.25">
      <c r="A103">
        <v>10442918</v>
      </c>
      <c r="B103" t="s">
        <v>131</v>
      </c>
      <c r="C103" t="s">
        <v>201</v>
      </c>
      <c r="D103">
        <v>760</v>
      </c>
      <c r="E103">
        <v>983031203</v>
      </c>
      <c r="F103" t="s">
        <v>117</v>
      </c>
      <c r="G103" s="230">
        <v>43584.766180555554</v>
      </c>
      <c r="H103">
        <v>20000</v>
      </c>
      <c r="I103">
        <v>0</v>
      </c>
      <c r="J103">
        <v>4020335864</v>
      </c>
    </row>
    <row r="104" spans="1:10" x14ac:dyDescent="0.25">
      <c r="A104">
        <v>10442918</v>
      </c>
      <c r="B104" t="s">
        <v>131</v>
      </c>
      <c r="C104" t="s">
        <v>201</v>
      </c>
      <c r="D104">
        <v>761</v>
      </c>
      <c r="E104">
        <v>983031902</v>
      </c>
      <c r="F104" t="s">
        <v>116</v>
      </c>
      <c r="G104" s="230">
        <v>43584.766481481478</v>
      </c>
      <c r="H104">
        <v>20000</v>
      </c>
      <c r="I104">
        <v>20000</v>
      </c>
      <c r="J104">
        <v>4020335864</v>
      </c>
    </row>
    <row r="105" spans="1:10" x14ac:dyDescent="0.25">
      <c r="A105">
        <v>10442918</v>
      </c>
      <c r="B105" t="s">
        <v>131</v>
      </c>
      <c r="C105" t="s">
        <v>201</v>
      </c>
      <c r="D105">
        <v>762</v>
      </c>
      <c r="E105">
        <v>983033470</v>
      </c>
      <c r="F105" t="s">
        <v>116</v>
      </c>
      <c r="G105" s="230">
        <v>43584.767141203702</v>
      </c>
      <c r="H105">
        <v>20000</v>
      </c>
      <c r="I105">
        <v>20000</v>
      </c>
      <c r="J105">
        <v>4020335864</v>
      </c>
    </row>
    <row r="106" spans="1:10" x14ac:dyDescent="0.25">
      <c r="A106">
        <v>10442918</v>
      </c>
      <c r="B106" t="s">
        <v>131</v>
      </c>
      <c r="C106" t="s">
        <v>201</v>
      </c>
      <c r="D106">
        <v>763</v>
      </c>
      <c r="E106">
        <v>983035270</v>
      </c>
      <c r="F106" t="s">
        <v>116</v>
      </c>
      <c r="G106" s="230">
        <v>43584.767824074072</v>
      </c>
      <c r="H106">
        <v>20000</v>
      </c>
      <c r="I106">
        <v>20000</v>
      </c>
      <c r="J106">
        <v>4020335864</v>
      </c>
    </row>
    <row r="107" spans="1:10" x14ac:dyDescent="0.25">
      <c r="A107">
        <v>10442918</v>
      </c>
      <c r="B107" t="s">
        <v>131</v>
      </c>
      <c r="C107" t="s">
        <v>202</v>
      </c>
      <c r="D107">
        <v>766</v>
      </c>
      <c r="E107">
        <v>983067313</v>
      </c>
      <c r="F107" t="s">
        <v>116</v>
      </c>
      <c r="G107" s="230">
        <v>43584.781111111108</v>
      </c>
      <c r="H107">
        <v>20000</v>
      </c>
      <c r="I107">
        <v>20000</v>
      </c>
      <c r="J107">
        <v>19089425</v>
      </c>
    </row>
    <row r="108" spans="1:10" x14ac:dyDescent="0.25">
      <c r="A108">
        <v>10442918</v>
      </c>
      <c r="B108" t="s">
        <v>131</v>
      </c>
      <c r="C108" t="s">
        <v>202</v>
      </c>
      <c r="D108">
        <v>767</v>
      </c>
      <c r="E108">
        <v>983069114</v>
      </c>
      <c r="F108" t="s">
        <v>116</v>
      </c>
      <c r="G108" s="230">
        <v>43584.781875000001</v>
      </c>
      <c r="H108">
        <v>20000</v>
      </c>
      <c r="I108">
        <v>20000</v>
      </c>
      <c r="J108">
        <v>19089425</v>
      </c>
    </row>
    <row r="109" spans="1:10" x14ac:dyDescent="0.25">
      <c r="A109">
        <v>10442918</v>
      </c>
      <c r="B109" t="s">
        <v>131</v>
      </c>
      <c r="C109" t="s">
        <v>202</v>
      </c>
      <c r="D109">
        <v>768</v>
      </c>
      <c r="E109">
        <v>983071062</v>
      </c>
      <c r="F109" t="s">
        <v>116</v>
      </c>
      <c r="G109" s="230">
        <v>43584.782708333332</v>
      </c>
      <c r="H109">
        <v>7000</v>
      </c>
      <c r="I109">
        <v>7000</v>
      </c>
      <c r="J109">
        <v>19089425</v>
      </c>
    </row>
    <row r="110" spans="1:10" x14ac:dyDescent="0.25">
      <c r="A110">
        <v>10442918</v>
      </c>
      <c r="B110" t="s">
        <v>131</v>
      </c>
      <c r="C110" t="s">
        <v>203</v>
      </c>
      <c r="D110">
        <v>770</v>
      </c>
      <c r="E110">
        <v>983074191</v>
      </c>
      <c r="F110" t="s">
        <v>116</v>
      </c>
      <c r="G110" s="230">
        <v>43584.78398148148</v>
      </c>
      <c r="H110">
        <v>10000</v>
      </c>
      <c r="I110">
        <v>10000</v>
      </c>
      <c r="J110">
        <v>3.2302983470100499E+17</v>
      </c>
    </row>
    <row r="111" spans="1:10" x14ac:dyDescent="0.25">
      <c r="A111">
        <v>10442918</v>
      </c>
      <c r="B111" t="s">
        <v>131</v>
      </c>
      <c r="C111" t="s">
        <v>204</v>
      </c>
      <c r="D111">
        <v>772</v>
      </c>
      <c r="E111">
        <v>983077443</v>
      </c>
      <c r="F111" t="s">
        <v>117</v>
      </c>
      <c r="G111" s="230">
        <v>43584.785312499997</v>
      </c>
      <c r="H111">
        <v>1000</v>
      </c>
      <c r="I111">
        <v>0</v>
      </c>
    </row>
    <row r="112" spans="1:10" x14ac:dyDescent="0.25">
      <c r="A112">
        <v>10442918</v>
      </c>
      <c r="B112" t="s">
        <v>131</v>
      </c>
      <c r="C112" t="s">
        <v>204</v>
      </c>
      <c r="D112">
        <v>773</v>
      </c>
      <c r="E112">
        <v>983078445</v>
      </c>
      <c r="F112" t="s">
        <v>179</v>
      </c>
      <c r="G112" s="230">
        <v>43584.78570601852</v>
      </c>
      <c r="H112">
        <v>1000</v>
      </c>
      <c r="I112">
        <v>0</v>
      </c>
    </row>
    <row r="113" spans="1:10" x14ac:dyDescent="0.25">
      <c r="A113">
        <v>10442918</v>
      </c>
      <c r="B113" t="s">
        <v>131</v>
      </c>
      <c r="C113" t="s">
        <v>205</v>
      </c>
      <c r="D113">
        <v>775</v>
      </c>
      <c r="E113">
        <v>983080094</v>
      </c>
      <c r="F113" t="s">
        <v>116</v>
      </c>
      <c r="G113" s="230">
        <v>43584.786400462966</v>
      </c>
      <c r="H113">
        <v>20000</v>
      </c>
      <c r="I113">
        <v>20000</v>
      </c>
      <c r="J113">
        <v>701764779</v>
      </c>
    </row>
    <row r="114" spans="1:10" x14ac:dyDescent="0.25">
      <c r="A114">
        <v>10442918</v>
      </c>
      <c r="B114" t="s">
        <v>131</v>
      </c>
      <c r="C114" t="s">
        <v>206</v>
      </c>
      <c r="D114">
        <v>777</v>
      </c>
      <c r="E114">
        <v>983082460</v>
      </c>
      <c r="F114" t="s">
        <v>116</v>
      </c>
      <c r="G114" s="230">
        <v>43584.787395833337</v>
      </c>
      <c r="H114">
        <v>1000</v>
      </c>
      <c r="I114">
        <v>1000</v>
      </c>
      <c r="J114">
        <v>12822539</v>
      </c>
    </row>
    <row r="115" spans="1:10" x14ac:dyDescent="0.25">
      <c r="A115">
        <v>10442918</v>
      </c>
      <c r="B115" t="s">
        <v>131</v>
      </c>
      <c r="C115" t="s">
        <v>207</v>
      </c>
      <c r="D115">
        <v>779</v>
      </c>
      <c r="E115">
        <v>983084516</v>
      </c>
      <c r="F115" t="s">
        <v>116</v>
      </c>
      <c r="G115" s="230">
        <v>43584.788298611114</v>
      </c>
      <c r="H115">
        <v>2000</v>
      </c>
      <c r="I115">
        <v>2000</v>
      </c>
      <c r="J115">
        <v>2084033969</v>
      </c>
    </row>
    <row r="116" spans="1:10" x14ac:dyDescent="0.25">
      <c r="A116">
        <v>10442918</v>
      </c>
      <c r="B116" t="s">
        <v>131</v>
      </c>
      <c r="C116" t="s">
        <v>208</v>
      </c>
      <c r="D116">
        <v>781</v>
      </c>
      <c r="E116">
        <v>983086947</v>
      </c>
      <c r="F116" t="s">
        <v>116</v>
      </c>
      <c r="G116" s="230">
        <v>43584.789340277777</v>
      </c>
      <c r="H116">
        <v>2000</v>
      </c>
      <c r="I116">
        <v>2000</v>
      </c>
      <c r="J116">
        <v>62163685</v>
      </c>
    </row>
    <row r="117" spans="1:10" x14ac:dyDescent="0.25">
      <c r="A117">
        <v>10442918</v>
      </c>
      <c r="B117" t="s">
        <v>131</v>
      </c>
      <c r="C117" t="s">
        <v>209</v>
      </c>
      <c r="D117">
        <v>784</v>
      </c>
      <c r="E117">
        <v>983091703</v>
      </c>
      <c r="F117" t="s">
        <v>116</v>
      </c>
      <c r="G117" s="230">
        <v>43584.791388888887</v>
      </c>
      <c r="H117">
        <v>3000</v>
      </c>
      <c r="I117">
        <v>3000</v>
      </c>
      <c r="J117">
        <v>32300547</v>
      </c>
    </row>
    <row r="118" spans="1:10" x14ac:dyDescent="0.25">
      <c r="A118">
        <v>10442918</v>
      </c>
      <c r="B118" t="s">
        <v>131</v>
      </c>
      <c r="C118" t="s">
        <v>210</v>
      </c>
      <c r="D118">
        <v>786</v>
      </c>
      <c r="E118">
        <v>983095190</v>
      </c>
      <c r="F118" t="s">
        <v>116</v>
      </c>
      <c r="G118" s="230">
        <v>43584.792893518519</v>
      </c>
      <c r="H118">
        <v>5000</v>
      </c>
      <c r="I118">
        <v>5000</v>
      </c>
      <c r="J118">
        <v>696040551</v>
      </c>
    </row>
    <row r="119" spans="1:10" x14ac:dyDescent="0.25">
      <c r="A119">
        <v>10442918</v>
      </c>
      <c r="B119" t="s">
        <v>131</v>
      </c>
      <c r="C119" t="s">
        <v>211</v>
      </c>
      <c r="D119">
        <v>788</v>
      </c>
      <c r="E119">
        <v>983097309</v>
      </c>
      <c r="F119" t="s">
        <v>116</v>
      </c>
      <c r="G119" s="230">
        <v>43584.793819444443</v>
      </c>
      <c r="H119">
        <v>20000</v>
      </c>
      <c r="I119">
        <v>20000</v>
      </c>
      <c r="J119">
        <v>18592781</v>
      </c>
    </row>
    <row r="120" spans="1:10" x14ac:dyDescent="0.25">
      <c r="A120">
        <v>10442918</v>
      </c>
      <c r="B120" t="s">
        <v>131</v>
      </c>
      <c r="C120" t="s">
        <v>212</v>
      </c>
      <c r="D120">
        <v>790</v>
      </c>
      <c r="E120">
        <v>983101618</v>
      </c>
      <c r="F120" t="s">
        <v>116</v>
      </c>
      <c r="G120" s="230">
        <v>43584.795717592591</v>
      </c>
      <c r="H120">
        <v>20000</v>
      </c>
      <c r="I120">
        <v>20000</v>
      </c>
      <c r="J120">
        <v>89190121</v>
      </c>
    </row>
    <row r="121" spans="1:10" x14ac:dyDescent="0.25">
      <c r="A121">
        <v>10442918</v>
      </c>
      <c r="B121" t="s">
        <v>131</v>
      </c>
      <c r="C121" t="s">
        <v>213</v>
      </c>
      <c r="D121">
        <v>792</v>
      </c>
      <c r="E121">
        <v>983113848</v>
      </c>
      <c r="F121" t="s">
        <v>116</v>
      </c>
      <c r="G121" s="230">
        <v>43584.801168981481</v>
      </c>
      <c r="H121">
        <v>10000</v>
      </c>
      <c r="I121">
        <v>10000</v>
      </c>
      <c r="J121">
        <v>1019179672</v>
      </c>
    </row>
    <row r="122" spans="1:10" x14ac:dyDescent="0.25">
      <c r="A122">
        <v>10442918</v>
      </c>
      <c r="B122" t="s">
        <v>131</v>
      </c>
      <c r="C122" t="s">
        <v>214</v>
      </c>
      <c r="D122">
        <v>794</v>
      </c>
      <c r="E122">
        <v>983116297</v>
      </c>
      <c r="F122" t="s">
        <v>116</v>
      </c>
      <c r="G122" s="230">
        <v>43584.802245370367</v>
      </c>
      <c r="H122">
        <v>2000</v>
      </c>
      <c r="I122">
        <v>2000</v>
      </c>
      <c r="J122">
        <v>51214780</v>
      </c>
    </row>
    <row r="123" spans="1:10" x14ac:dyDescent="0.25">
      <c r="A123">
        <v>10442918</v>
      </c>
      <c r="B123" t="s">
        <v>131</v>
      </c>
      <c r="C123" t="s">
        <v>204</v>
      </c>
      <c r="D123">
        <v>797</v>
      </c>
      <c r="E123">
        <v>983120295</v>
      </c>
      <c r="F123" t="s">
        <v>116</v>
      </c>
      <c r="G123" s="230">
        <v>43584.804062499999</v>
      </c>
      <c r="H123">
        <v>2000</v>
      </c>
      <c r="I123">
        <v>2000</v>
      </c>
      <c r="J123">
        <v>9013237</v>
      </c>
    </row>
    <row r="124" spans="1:10" x14ac:dyDescent="0.25">
      <c r="A124">
        <v>10442918</v>
      </c>
      <c r="B124" t="s">
        <v>131</v>
      </c>
      <c r="C124" t="s">
        <v>215</v>
      </c>
      <c r="D124">
        <v>799</v>
      </c>
      <c r="E124">
        <v>983122511</v>
      </c>
      <c r="F124" t="s">
        <v>116</v>
      </c>
      <c r="G124" s="230">
        <v>43584.805092592593</v>
      </c>
      <c r="H124">
        <v>500</v>
      </c>
      <c r="I124">
        <v>500</v>
      </c>
      <c r="J124">
        <v>3361031727</v>
      </c>
    </row>
    <row r="125" spans="1:10" x14ac:dyDescent="0.25">
      <c r="A125">
        <v>10442918</v>
      </c>
      <c r="B125" t="s">
        <v>131</v>
      </c>
      <c r="C125" t="s">
        <v>216</v>
      </c>
      <c r="D125">
        <v>803</v>
      </c>
      <c r="E125">
        <v>983126401</v>
      </c>
      <c r="F125" t="s">
        <v>116</v>
      </c>
      <c r="G125" s="230">
        <v>43584.806851851848</v>
      </c>
      <c r="H125">
        <v>20000</v>
      </c>
      <c r="I125">
        <v>20000</v>
      </c>
      <c r="J125">
        <v>690049624</v>
      </c>
    </row>
    <row r="126" spans="1:10" x14ac:dyDescent="0.25">
      <c r="A126">
        <v>10442918</v>
      </c>
      <c r="B126" t="s">
        <v>131</v>
      </c>
      <c r="C126" t="s">
        <v>216</v>
      </c>
      <c r="D126">
        <v>804</v>
      </c>
      <c r="E126">
        <v>983127992</v>
      </c>
      <c r="F126" t="s">
        <v>116</v>
      </c>
      <c r="G126" s="230">
        <v>43584.807604166665</v>
      </c>
      <c r="H126">
        <v>20000</v>
      </c>
      <c r="I126">
        <v>20000</v>
      </c>
      <c r="J126">
        <v>690049624</v>
      </c>
    </row>
    <row r="127" spans="1:10" x14ac:dyDescent="0.25">
      <c r="A127">
        <v>10442918</v>
      </c>
      <c r="B127" t="s">
        <v>131</v>
      </c>
      <c r="C127" t="s">
        <v>216</v>
      </c>
      <c r="D127">
        <v>805</v>
      </c>
      <c r="E127">
        <v>983129409</v>
      </c>
      <c r="F127" t="s">
        <v>116</v>
      </c>
      <c r="G127" s="230">
        <v>43584.808252314811</v>
      </c>
      <c r="H127">
        <v>20000</v>
      </c>
      <c r="I127">
        <v>20000</v>
      </c>
      <c r="J127">
        <v>690049624</v>
      </c>
    </row>
    <row r="128" spans="1:10" x14ac:dyDescent="0.25">
      <c r="A128">
        <v>10442918</v>
      </c>
      <c r="B128" t="s">
        <v>131</v>
      </c>
      <c r="C128" t="s">
        <v>216</v>
      </c>
      <c r="D128">
        <v>806</v>
      </c>
      <c r="E128">
        <v>983130808</v>
      </c>
      <c r="F128" t="s">
        <v>116</v>
      </c>
      <c r="G128" s="230">
        <v>43584.808912037035</v>
      </c>
      <c r="H128">
        <v>20000</v>
      </c>
      <c r="I128">
        <v>20000</v>
      </c>
      <c r="J128">
        <v>690049624</v>
      </c>
    </row>
    <row r="129" spans="1:10" x14ac:dyDescent="0.25">
      <c r="A129">
        <v>10442918</v>
      </c>
      <c r="B129" t="s">
        <v>131</v>
      </c>
      <c r="C129" t="s">
        <v>216</v>
      </c>
      <c r="D129">
        <v>807</v>
      </c>
      <c r="E129">
        <v>983132471</v>
      </c>
      <c r="F129" t="s">
        <v>116</v>
      </c>
      <c r="G129" s="230">
        <v>43584.809710648151</v>
      </c>
      <c r="H129">
        <v>20000</v>
      </c>
      <c r="I129">
        <v>20000</v>
      </c>
      <c r="J129">
        <v>690049624</v>
      </c>
    </row>
    <row r="130" spans="1:10" x14ac:dyDescent="0.25">
      <c r="A130">
        <v>10442918</v>
      </c>
      <c r="B130" t="s">
        <v>131</v>
      </c>
      <c r="C130" t="s">
        <v>216</v>
      </c>
      <c r="D130">
        <v>808</v>
      </c>
      <c r="E130">
        <v>983134179</v>
      </c>
      <c r="F130" t="s">
        <v>121</v>
      </c>
      <c r="G130" s="230">
        <v>43584.810520833336</v>
      </c>
      <c r="H130">
        <v>20000</v>
      </c>
      <c r="I130">
        <v>0</v>
      </c>
      <c r="J130">
        <v>690049624</v>
      </c>
    </row>
    <row r="131" spans="1:10" x14ac:dyDescent="0.25">
      <c r="A131">
        <v>10442918</v>
      </c>
      <c r="B131" t="s">
        <v>131</v>
      </c>
      <c r="C131" t="s">
        <v>216</v>
      </c>
      <c r="D131">
        <v>809</v>
      </c>
      <c r="E131">
        <v>983135345</v>
      </c>
      <c r="F131" t="s">
        <v>116</v>
      </c>
      <c r="G131" s="230">
        <v>43584.811076388891</v>
      </c>
      <c r="H131">
        <v>10000</v>
      </c>
      <c r="I131">
        <v>10000</v>
      </c>
      <c r="J131">
        <v>690049624</v>
      </c>
    </row>
    <row r="132" spans="1:10" x14ac:dyDescent="0.25">
      <c r="A132">
        <v>10442918</v>
      </c>
      <c r="B132" t="s">
        <v>131</v>
      </c>
      <c r="C132" t="s">
        <v>217</v>
      </c>
      <c r="D132">
        <v>811</v>
      </c>
      <c r="E132">
        <v>983137666</v>
      </c>
      <c r="F132" t="s">
        <v>116</v>
      </c>
      <c r="G132" s="230">
        <v>43584.8121875</v>
      </c>
      <c r="H132">
        <v>1500</v>
      </c>
      <c r="I132">
        <v>1500</v>
      </c>
      <c r="J132">
        <v>5461074572</v>
      </c>
    </row>
    <row r="133" spans="1:10" x14ac:dyDescent="0.25">
      <c r="A133">
        <v>10442918</v>
      </c>
      <c r="B133" t="s">
        <v>131</v>
      </c>
      <c r="C133" t="s">
        <v>218</v>
      </c>
      <c r="D133">
        <v>813</v>
      </c>
      <c r="E133">
        <v>983143659</v>
      </c>
      <c r="F133" t="s">
        <v>116</v>
      </c>
      <c r="G133" s="230">
        <v>43584.815011574072</v>
      </c>
      <c r="H133">
        <v>5000</v>
      </c>
      <c r="I133">
        <v>5000</v>
      </c>
      <c r="J133">
        <v>730828305</v>
      </c>
    </row>
    <row r="134" spans="1:10" x14ac:dyDescent="0.25">
      <c r="A134">
        <v>10442918</v>
      </c>
      <c r="B134" t="s">
        <v>131</v>
      </c>
      <c r="C134" t="s">
        <v>219</v>
      </c>
      <c r="D134">
        <v>815</v>
      </c>
      <c r="E134">
        <v>983148353</v>
      </c>
      <c r="F134" t="s">
        <v>116</v>
      </c>
      <c r="G134" s="230">
        <v>43584.817280092589</v>
      </c>
      <c r="H134">
        <v>5000</v>
      </c>
      <c r="I134">
        <v>5000</v>
      </c>
      <c r="J134">
        <v>3.9401306080100499E+17</v>
      </c>
    </row>
    <row r="135" spans="1:10" x14ac:dyDescent="0.25">
      <c r="A135">
        <v>10442918</v>
      </c>
      <c r="B135" t="s">
        <v>131</v>
      </c>
      <c r="C135" t="s">
        <v>220</v>
      </c>
      <c r="D135">
        <v>817</v>
      </c>
      <c r="E135">
        <v>983153882</v>
      </c>
      <c r="F135" t="s">
        <v>116</v>
      </c>
      <c r="G135" s="230">
        <v>43584.819861111115</v>
      </c>
      <c r="H135">
        <v>10000</v>
      </c>
      <c r="I135">
        <v>10000</v>
      </c>
      <c r="J135">
        <v>9202153889</v>
      </c>
    </row>
    <row r="136" spans="1:10" x14ac:dyDescent="0.25">
      <c r="A136">
        <v>10442918</v>
      </c>
      <c r="B136" t="s">
        <v>131</v>
      </c>
      <c r="C136" t="s">
        <v>144</v>
      </c>
      <c r="D136">
        <v>819</v>
      </c>
      <c r="E136">
        <v>983166087</v>
      </c>
      <c r="F136" t="s">
        <v>118</v>
      </c>
      <c r="G136" s="230">
        <v>43584.825833333336</v>
      </c>
      <c r="H136">
        <v>1000</v>
      </c>
      <c r="I136">
        <v>0</v>
      </c>
      <c r="J136">
        <v>2101065441</v>
      </c>
    </row>
    <row r="137" spans="1:10" x14ac:dyDescent="0.25">
      <c r="A137">
        <v>10442918</v>
      </c>
      <c r="B137" t="s">
        <v>131</v>
      </c>
      <c r="C137" t="s">
        <v>221</v>
      </c>
      <c r="D137">
        <v>821</v>
      </c>
      <c r="E137">
        <v>983168420</v>
      </c>
      <c r="F137" t="s">
        <v>116</v>
      </c>
      <c r="G137" s="230">
        <v>43584.82707175926</v>
      </c>
      <c r="H137">
        <v>2000</v>
      </c>
      <c r="I137">
        <v>2000</v>
      </c>
      <c r="J137">
        <v>91230185</v>
      </c>
    </row>
    <row r="138" spans="1:10" x14ac:dyDescent="0.25">
      <c r="A138">
        <v>10442918</v>
      </c>
      <c r="B138" t="s">
        <v>131</v>
      </c>
      <c r="C138" t="s">
        <v>217</v>
      </c>
      <c r="D138">
        <v>825</v>
      </c>
      <c r="E138">
        <v>983181635</v>
      </c>
      <c r="F138" t="s">
        <v>116</v>
      </c>
      <c r="G138" s="230">
        <v>43584.833958333336</v>
      </c>
      <c r="H138">
        <v>1000</v>
      </c>
      <c r="I138">
        <v>1000</v>
      </c>
      <c r="J138">
        <v>5461074572</v>
      </c>
    </row>
    <row r="139" spans="1:10" x14ac:dyDescent="0.25">
      <c r="A139">
        <v>10442918</v>
      </c>
      <c r="B139" t="s">
        <v>131</v>
      </c>
      <c r="C139" t="s">
        <v>222</v>
      </c>
      <c r="D139">
        <v>830</v>
      </c>
      <c r="E139">
        <v>983190813</v>
      </c>
      <c r="F139" t="s">
        <v>116</v>
      </c>
      <c r="G139" s="230">
        <v>43584.838958333334</v>
      </c>
      <c r="H139">
        <v>20000</v>
      </c>
      <c r="I139">
        <v>20000</v>
      </c>
      <c r="J139">
        <v>14320266</v>
      </c>
    </row>
    <row r="140" spans="1:10" x14ac:dyDescent="0.25">
      <c r="A140">
        <v>10442918</v>
      </c>
      <c r="B140" t="s">
        <v>131</v>
      </c>
      <c r="C140" t="s">
        <v>222</v>
      </c>
      <c r="D140">
        <v>832</v>
      </c>
      <c r="E140">
        <v>983192684</v>
      </c>
      <c r="F140" t="s">
        <v>116</v>
      </c>
      <c r="G140" s="230">
        <v>43584.84002314815</v>
      </c>
      <c r="H140">
        <v>20000</v>
      </c>
      <c r="I140">
        <v>20000</v>
      </c>
      <c r="J140">
        <v>14320266</v>
      </c>
    </row>
    <row r="141" spans="1:10" x14ac:dyDescent="0.25">
      <c r="A141">
        <v>10442918</v>
      </c>
      <c r="B141" t="s">
        <v>131</v>
      </c>
      <c r="C141" t="s">
        <v>222</v>
      </c>
      <c r="D141">
        <v>833</v>
      </c>
      <c r="E141">
        <v>983193827</v>
      </c>
      <c r="F141" t="s">
        <v>116</v>
      </c>
      <c r="G141" s="230">
        <v>43584.840682870374</v>
      </c>
      <c r="H141">
        <v>20000</v>
      </c>
      <c r="I141">
        <v>20000</v>
      </c>
      <c r="J141">
        <v>14320266</v>
      </c>
    </row>
    <row r="142" spans="1:10" x14ac:dyDescent="0.25">
      <c r="A142">
        <v>10442918</v>
      </c>
      <c r="B142" t="s">
        <v>131</v>
      </c>
      <c r="C142" t="s">
        <v>222</v>
      </c>
      <c r="D142">
        <v>834</v>
      </c>
      <c r="E142">
        <v>983194854</v>
      </c>
      <c r="F142" t="s">
        <v>116</v>
      </c>
      <c r="G142" s="230">
        <v>43584.841273148151</v>
      </c>
      <c r="H142">
        <v>20000</v>
      </c>
      <c r="I142">
        <v>20000</v>
      </c>
      <c r="J142">
        <v>14320266</v>
      </c>
    </row>
    <row r="143" spans="1:10" x14ac:dyDescent="0.25">
      <c r="A143">
        <v>10442918</v>
      </c>
      <c r="B143" t="s">
        <v>131</v>
      </c>
      <c r="C143" t="s">
        <v>223</v>
      </c>
      <c r="D143">
        <v>836</v>
      </c>
      <c r="E143">
        <v>983196837</v>
      </c>
      <c r="F143" t="s">
        <v>116</v>
      </c>
      <c r="G143" s="230">
        <v>43584.842430555553</v>
      </c>
      <c r="H143">
        <v>10000</v>
      </c>
      <c r="I143">
        <v>10000</v>
      </c>
      <c r="J143">
        <v>3017921017</v>
      </c>
    </row>
    <row r="144" spans="1:10" x14ac:dyDescent="0.25">
      <c r="A144">
        <v>10442918</v>
      </c>
      <c r="B144" t="s">
        <v>131</v>
      </c>
      <c r="C144" t="s">
        <v>224</v>
      </c>
      <c r="D144">
        <v>838</v>
      </c>
      <c r="E144">
        <v>983202302</v>
      </c>
      <c r="F144" t="s">
        <v>116</v>
      </c>
      <c r="G144" s="230">
        <v>43584.845590277779</v>
      </c>
      <c r="H144">
        <v>5000</v>
      </c>
      <c r="I144">
        <v>5000</v>
      </c>
      <c r="J144">
        <v>4049242</v>
      </c>
    </row>
    <row r="145" spans="1:10" x14ac:dyDescent="0.25">
      <c r="A145">
        <v>10442918</v>
      </c>
      <c r="B145" t="s">
        <v>131</v>
      </c>
      <c r="C145" t="s">
        <v>225</v>
      </c>
      <c r="D145">
        <v>840</v>
      </c>
      <c r="E145">
        <v>983205467</v>
      </c>
      <c r="F145" t="s">
        <v>116</v>
      </c>
      <c r="G145" s="230">
        <v>43584.847430555557</v>
      </c>
      <c r="H145">
        <v>20000</v>
      </c>
      <c r="I145">
        <v>20000</v>
      </c>
      <c r="J145">
        <v>3.6103546460100499E+17</v>
      </c>
    </row>
    <row r="146" spans="1:10" x14ac:dyDescent="0.25">
      <c r="A146">
        <v>10442918</v>
      </c>
      <c r="B146" t="s">
        <v>131</v>
      </c>
      <c r="C146" t="s">
        <v>225</v>
      </c>
      <c r="D146">
        <v>841</v>
      </c>
      <c r="E146">
        <v>983206424</v>
      </c>
      <c r="F146" t="s">
        <v>116</v>
      </c>
      <c r="G146" s="230">
        <v>43584.847986111112</v>
      </c>
      <c r="H146">
        <v>20000</v>
      </c>
      <c r="I146">
        <v>20000</v>
      </c>
      <c r="J146">
        <v>3.6103546460100499E+17</v>
      </c>
    </row>
    <row r="147" spans="1:10" x14ac:dyDescent="0.25">
      <c r="A147">
        <v>10442918</v>
      </c>
      <c r="B147" t="s">
        <v>131</v>
      </c>
      <c r="C147" t="s">
        <v>225</v>
      </c>
      <c r="D147">
        <v>842</v>
      </c>
      <c r="E147">
        <v>983207491</v>
      </c>
      <c r="F147" t="s">
        <v>116</v>
      </c>
      <c r="G147" s="230">
        <v>43584.848645833335</v>
      </c>
      <c r="H147">
        <v>10000</v>
      </c>
      <c r="I147">
        <v>10000</v>
      </c>
      <c r="J147">
        <v>3.6103546460100499E+17</v>
      </c>
    </row>
    <row r="148" spans="1:10" x14ac:dyDescent="0.25">
      <c r="A148">
        <v>10442918</v>
      </c>
      <c r="B148" t="s">
        <v>131</v>
      </c>
      <c r="C148" t="s">
        <v>226</v>
      </c>
      <c r="D148">
        <v>844</v>
      </c>
      <c r="E148">
        <v>983209758</v>
      </c>
      <c r="F148" t="s">
        <v>116</v>
      </c>
      <c r="G148" s="230">
        <v>43584.850011574075</v>
      </c>
      <c r="H148">
        <v>10000</v>
      </c>
      <c r="I148">
        <v>10000</v>
      </c>
      <c r="J148">
        <v>6.9101020180100506E+17</v>
      </c>
    </row>
    <row r="149" spans="1:10" x14ac:dyDescent="0.25">
      <c r="A149">
        <v>10442918</v>
      </c>
      <c r="B149" t="s">
        <v>131</v>
      </c>
      <c r="C149" t="s">
        <v>227</v>
      </c>
      <c r="D149">
        <v>846</v>
      </c>
      <c r="E149">
        <v>983211181</v>
      </c>
      <c r="F149" t="s">
        <v>116</v>
      </c>
      <c r="G149" s="230">
        <v>43584.850891203707</v>
      </c>
      <c r="H149">
        <v>10000</v>
      </c>
      <c r="I149">
        <v>10000</v>
      </c>
      <c r="J149">
        <v>2089559958</v>
      </c>
    </row>
    <row r="150" spans="1:10" x14ac:dyDescent="0.25">
      <c r="A150">
        <v>10442918</v>
      </c>
      <c r="B150" t="s">
        <v>131</v>
      </c>
      <c r="C150" t="s">
        <v>227</v>
      </c>
      <c r="D150">
        <v>847</v>
      </c>
      <c r="E150">
        <v>983212100</v>
      </c>
      <c r="F150" t="s">
        <v>228</v>
      </c>
      <c r="G150" s="230">
        <v>43584.851527777777</v>
      </c>
      <c r="H150">
        <v>10000</v>
      </c>
      <c r="I150">
        <v>0</v>
      </c>
    </row>
    <row r="151" spans="1:10" x14ac:dyDescent="0.25">
      <c r="A151">
        <v>10442918</v>
      </c>
      <c r="B151" t="s">
        <v>131</v>
      </c>
      <c r="C151" t="s">
        <v>227</v>
      </c>
      <c r="D151">
        <v>849</v>
      </c>
      <c r="E151">
        <v>983213694</v>
      </c>
      <c r="F151" t="s">
        <v>116</v>
      </c>
      <c r="G151" s="230">
        <v>43584.852534722224</v>
      </c>
      <c r="H151">
        <v>10000</v>
      </c>
      <c r="I151">
        <v>10000</v>
      </c>
      <c r="J151">
        <v>2089559958</v>
      </c>
    </row>
    <row r="152" spans="1:10" x14ac:dyDescent="0.25">
      <c r="A152">
        <v>10442918</v>
      </c>
      <c r="B152" t="s">
        <v>131</v>
      </c>
      <c r="C152" t="s">
        <v>229</v>
      </c>
      <c r="D152">
        <v>851</v>
      </c>
      <c r="E152">
        <v>983215120</v>
      </c>
      <c r="F152" t="s">
        <v>116</v>
      </c>
      <c r="G152" s="230">
        <v>43584.853483796294</v>
      </c>
      <c r="H152">
        <v>10000</v>
      </c>
      <c r="I152">
        <v>10000</v>
      </c>
      <c r="J152">
        <v>1010101010</v>
      </c>
    </row>
    <row r="153" spans="1:10" x14ac:dyDescent="0.25">
      <c r="A153">
        <v>10442918</v>
      </c>
      <c r="B153" t="s">
        <v>131</v>
      </c>
      <c r="C153" t="s">
        <v>230</v>
      </c>
      <c r="D153">
        <v>853</v>
      </c>
      <c r="E153">
        <v>983223497</v>
      </c>
      <c r="F153" t="s">
        <v>121</v>
      </c>
      <c r="G153" s="230">
        <v>43584.859224537038</v>
      </c>
      <c r="H153">
        <v>5500</v>
      </c>
      <c r="I153">
        <v>0</v>
      </c>
      <c r="J153">
        <v>4521005437</v>
      </c>
    </row>
    <row r="154" spans="1:10" x14ac:dyDescent="0.25">
      <c r="A154">
        <v>10442918</v>
      </c>
      <c r="B154" t="s">
        <v>131</v>
      </c>
      <c r="C154" t="s">
        <v>230</v>
      </c>
      <c r="D154">
        <v>857</v>
      </c>
      <c r="E154">
        <v>983226942</v>
      </c>
      <c r="F154" t="s">
        <v>116</v>
      </c>
      <c r="G154" s="230">
        <v>43584.861770833333</v>
      </c>
      <c r="H154">
        <v>5000</v>
      </c>
      <c r="I154">
        <v>5000</v>
      </c>
      <c r="J154">
        <v>4521005437</v>
      </c>
    </row>
    <row r="155" spans="1:10" x14ac:dyDescent="0.25">
      <c r="A155">
        <v>10442918</v>
      </c>
      <c r="B155" t="s">
        <v>131</v>
      </c>
      <c r="C155" t="s">
        <v>231</v>
      </c>
      <c r="D155">
        <v>860</v>
      </c>
      <c r="E155">
        <v>983231105</v>
      </c>
      <c r="F155" t="s">
        <v>116</v>
      </c>
      <c r="G155" s="230">
        <v>43584.864814814813</v>
      </c>
      <c r="H155">
        <v>20000</v>
      </c>
      <c r="I155">
        <v>20000</v>
      </c>
      <c r="J155">
        <v>692487899</v>
      </c>
    </row>
    <row r="156" spans="1:10" x14ac:dyDescent="0.25">
      <c r="A156">
        <v>10442918</v>
      </c>
      <c r="B156" t="s">
        <v>131</v>
      </c>
      <c r="C156" t="s">
        <v>231</v>
      </c>
      <c r="D156">
        <v>861</v>
      </c>
      <c r="E156">
        <v>983231892</v>
      </c>
      <c r="F156" t="s">
        <v>116</v>
      </c>
      <c r="G156" s="230">
        <v>43584.865347222221</v>
      </c>
      <c r="H156">
        <v>20000</v>
      </c>
      <c r="I156">
        <v>20000</v>
      </c>
      <c r="J156">
        <v>692487899</v>
      </c>
    </row>
    <row r="157" spans="1:10" x14ac:dyDescent="0.25">
      <c r="A157">
        <v>10442918</v>
      </c>
      <c r="B157" t="s">
        <v>131</v>
      </c>
      <c r="C157" t="s">
        <v>232</v>
      </c>
      <c r="D157">
        <v>863</v>
      </c>
      <c r="E157">
        <v>983233534</v>
      </c>
      <c r="F157" t="s">
        <v>116</v>
      </c>
      <c r="G157" s="230">
        <v>43584.866655092592</v>
      </c>
      <c r="H157">
        <v>3000</v>
      </c>
      <c r="I157">
        <v>3000</v>
      </c>
      <c r="J157">
        <v>25231215</v>
      </c>
    </row>
    <row r="158" spans="1:10" x14ac:dyDescent="0.25">
      <c r="A158">
        <v>10442918</v>
      </c>
      <c r="B158" t="s">
        <v>131</v>
      </c>
      <c r="C158" t="s">
        <v>233</v>
      </c>
      <c r="D158">
        <v>866</v>
      </c>
      <c r="E158">
        <v>983237447</v>
      </c>
      <c r="F158" t="s">
        <v>116</v>
      </c>
      <c r="G158" s="230">
        <v>43584.869837962964</v>
      </c>
      <c r="H158">
        <v>3000</v>
      </c>
      <c r="I158">
        <v>3000</v>
      </c>
      <c r="J158">
        <v>65175956</v>
      </c>
    </row>
    <row r="159" spans="1:10" x14ac:dyDescent="0.25">
      <c r="A159">
        <v>10442918</v>
      </c>
      <c r="B159" t="s">
        <v>131</v>
      </c>
      <c r="C159" t="s">
        <v>232</v>
      </c>
      <c r="D159">
        <v>868</v>
      </c>
      <c r="E159">
        <v>983238584</v>
      </c>
      <c r="F159" t="s">
        <v>116</v>
      </c>
      <c r="G159" s="230">
        <v>43584.870775462965</v>
      </c>
      <c r="H159">
        <v>7000</v>
      </c>
      <c r="I159">
        <v>7000</v>
      </c>
      <c r="J159">
        <v>25231215</v>
      </c>
    </row>
    <row r="160" spans="1:10" x14ac:dyDescent="0.25">
      <c r="A160">
        <v>10442918</v>
      </c>
      <c r="B160" t="s">
        <v>131</v>
      </c>
      <c r="C160" t="s">
        <v>234</v>
      </c>
      <c r="D160">
        <v>872</v>
      </c>
      <c r="E160">
        <v>983272311</v>
      </c>
      <c r="F160" t="s">
        <v>116</v>
      </c>
      <c r="G160" s="230">
        <v>43584.903217592589</v>
      </c>
      <c r="H160">
        <v>5000</v>
      </c>
      <c r="I160">
        <v>5000</v>
      </c>
      <c r="J160">
        <v>724623965</v>
      </c>
    </row>
    <row r="161" spans="1:10" x14ac:dyDescent="0.25">
      <c r="A161">
        <v>10442918</v>
      </c>
      <c r="B161" t="s">
        <v>131</v>
      </c>
      <c r="C161" t="s">
        <v>235</v>
      </c>
      <c r="D161">
        <v>874</v>
      </c>
      <c r="E161">
        <v>983279242</v>
      </c>
      <c r="F161" t="s">
        <v>116</v>
      </c>
      <c r="G161" s="230">
        <v>43584.911840277775</v>
      </c>
      <c r="H161">
        <v>1000</v>
      </c>
      <c r="I161">
        <v>1000</v>
      </c>
      <c r="J161">
        <v>109941667</v>
      </c>
    </row>
    <row r="162" spans="1:10" x14ac:dyDescent="0.25">
      <c r="A162">
        <v>10442918</v>
      </c>
      <c r="B162" t="s">
        <v>131</v>
      </c>
      <c r="C162" t="s">
        <v>236</v>
      </c>
      <c r="D162">
        <v>878</v>
      </c>
      <c r="E162">
        <v>983309943</v>
      </c>
      <c r="F162" t="s">
        <v>116</v>
      </c>
      <c r="G162" s="230">
        <v>43584.994710648149</v>
      </c>
      <c r="H162">
        <v>20000</v>
      </c>
      <c r="I162">
        <v>20000</v>
      </c>
      <c r="J162">
        <v>1010101010</v>
      </c>
    </row>
    <row r="163" spans="1:10" x14ac:dyDescent="0.25">
      <c r="A163">
        <v>10442918</v>
      </c>
      <c r="B163" t="s">
        <v>131</v>
      </c>
      <c r="C163" t="s">
        <v>237</v>
      </c>
      <c r="D163">
        <v>880</v>
      </c>
      <c r="E163">
        <v>983316098</v>
      </c>
      <c r="F163" t="s">
        <v>116</v>
      </c>
      <c r="G163" s="230">
        <v>43585.027916666666</v>
      </c>
      <c r="H163">
        <v>2000</v>
      </c>
      <c r="I163">
        <v>2000</v>
      </c>
      <c r="J163">
        <v>1005579120</v>
      </c>
    </row>
    <row r="164" spans="1:10" x14ac:dyDescent="0.25">
      <c r="A164">
        <v>10442918</v>
      </c>
      <c r="B164" t="s">
        <v>131</v>
      </c>
      <c r="C164" t="s">
        <v>238</v>
      </c>
      <c r="D164">
        <v>884</v>
      </c>
      <c r="E164">
        <v>983344438</v>
      </c>
      <c r="F164" t="s">
        <v>116</v>
      </c>
      <c r="G164" s="230">
        <v>43585.24560185185</v>
      </c>
      <c r="H164">
        <v>5000</v>
      </c>
      <c r="I164">
        <v>5000</v>
      </c>
      <c r="J164">
        <v>107970849</v>
      </c>
    </row>
    <row r="165" spans="1:10" x14ac:dyDescent="0.25">
      <c r="A165">
        <v>10442918</v>
      </c>
      <c r="B165" t="s">
        <v>131</v>
      </c>
      <c r="C165" t="s">
        <v>239</v>
      </c>
      <c r="D165">
        <v>889</v>
      </c>
      <c r="E165">
        <v>983345401</v>
      </c>
      <c r="F165" t="s">
        <v>116</v>
      </c>
      <c r="G165" s="230">
        <v>43585.250243055554</v>
      </c>
      <c r="H165">
        <v>500</v>
      </c>
      <c r="I165">
        <v>500</v>
      </c>
      <c r="J165">
        <v>3.9503393790100499E+17</v>
      </c>
    </row>
    <row r="166" spans="1:10" x14ac:dyDescent="0.25">
      <c r="A166">
        <v>10442918</v>
      </c>
      <c r="B166" t="s">
        <v>131</v>
      </c>
      <c r="C166" t="s">
        <v>238</v>
      </c>
      <c r="D166">
        <v>893</v>
      </c>
      <c r="E166">
        <v>983346714</v>
      </c>
      <c r="F166" t="s">
        <v>116</v>
      </c>
      <c r="G166" s="230">
        <v>43585.254108796296</v>
      </c>
      <c r="H166">
        <v>1000</v>
      </c>
      <c r="I166">
        <v>1000</v>
      </c>
      <c r="J166">
        <v>107970849</v>
      </c>
    </row>
    <row r="167" spans="1:10" x14ac:dyDescent="0.25">
      <c r="A167">
        <v>10442918</v>
      </c>
      <c r="B167" t="s">
        <v>131</v>
      </c>
      <c r="C167" t="s">
        <v>238</v>
      </c>
      <c r="D167">
        <v>894</v>
      </c>
      <c r="E167">
        <v>983347015</v>
      </c>
      <c r="F167" t="s">
        <v>116</v>
      </c>
      <c r="G167" s="230">
        <v>43585.254907407405</v>
      </c>
      <c r="H167">
        <v>1000</v>
      </c>
      <c r="I167">
        <v>1000</v>
      </c>
      <c r="J167">
        <v>107970849</v>
      </c>
    </row>
    <row r="168" spans="1:10" x14ac:dyDescent="0.25">
      <c r="A168">
        <v>10442918</v>
      </c>
      <c r="B168" t="s">
        <v>131</v>
      </c>
      <c r="C168" t="s">
        <v>240</v>
      </c>
      <c r="D168">
        <v>896</v>
      </c>
      <c r="E168">
        <v>983385541</v>
      </c>
      <c r="F168" t="s">
        <v>116</v>
      </c>
      <c r="G168" s="230">
        <v>43585.30978009259</v>
      </c>
      <c r="H168">
        <v>20000</v>
      </c>
      <c r="I168">
        <v>20000</v>
      </c>
      <c r="J168">
        <v>32659835</v>
      </c>
    </row>
    <row r="169" spans="1:10" x14ac:dyDescent="0.25">
      <c r="A169">
        <v>10442918</v>
      </c>
      <c r="B169" t="s">
        <v>131</v>
      </c>
      <c r="C169" t="s">
        <v>241</v>
      </c>
      <c r="D169">
        <v>898</v>
      </c>
      <c r="E169">
        <v>983387124</v>
      </c>
      <c r="F169" t="s">
        <v>116</v>
      </c>
      <c r="G169" s="230">
        <v>43585.310763888891</v>
      </c>
      <c r="H169">
        <v>10000</v>
      </c>
      <c r="I169">
        <v>10000</v>
      </c>
      <c r="J169">
        <v>701398893</v>
      </c>
    </row>
    <row r="170" spans="1:10" x14ac:dyDescent="0.25">
      <c r="A170">
        <v>10442918</v>
      </c>
      <c r="B170" t="s">
        <v>131</v>
      </c>
      <c r="C170" t="s">
        <v>241</v>
      </c>
      <c r="D170">
        <v>899</v>
      </c>
      <c r="E170">
        <v>983388499</v>
      </c>
      <c r="F170" t="s">
        <v>116</v>
      </c>
      <c r="G170" s="230">
        <v>43585.311631944445</v>
      </c>
      <c r="H170">
        <v>10000</v>
      </c>
      <c r="I170">
        <v>10000</v>
      </c>
      <c r="J170">
        <v>701398893</v>
      </c>
    </row>
    <row r="171" spans="1:10" x14ac:dyDescent="0.25">
      <c r="A171">
        <v>10442918</v>
      </c>
      <c r="B171" t="s">
        <v>131</v>
      </c>
      <c r="C171" t="s">
        <v>242</v>
      </c>
      <c r="D171">
        <v>901</v>
      </c>
      <c r="E171">
        <v>983390165</v>
      </c>
      <c r="F171" t="s">
        <v>116</v>
      </c>
      <c r="G171" s="230">
        <v>43585.312673611108</v>
      </c>
      <c r="H171">
        <v>2000</v>
      </c>
      <c r="I171">
        <v>2000</v>
      </c>
      <c r="J171">
        <v>53186887</v>
      </c>
    </row>
    <row r="172" spans="1:10" x14ac:dyDescent="0.25">
      <c r="A172">
        <v>10442918</v>
      </c>
      <c r="B172" t="s">
        <v>131</v>
      </c>
      <c r="C172" t="s">
        <v>243</v>
      </c>
      <c r="D172">
        <v>903</v>
      </c>
      <c r="E172">
        <v>983400511</v>
      </c>
      <c r="F172" t="s">
        <v>116</v>
      </c>
      <c r="G172" s="230">
        <v>43585.318935185183</v>
      </c>
      <c r="H172">
        <v>2000</v>
      </c>
      <c r="I172">
        <v>2000</v>
      </c>
      <c r="J172">
        <v>9280482</v>
      </c>
    </row>
    <row r="173" spans="1:10" x14ac:dyDescent="0.25">
      <c r="A173">
        <v>10442918</v>
      </c>
      <c r="B173" t="s">
        <v>131</v>
      </c>
      <c r="C173" t="s">
        <v>188</v>
      </c>
      <c r="D173">
        <v>905</v>
      </c>
      <c r="E173">
        <v>983402336</v>
      </c>
      <c r="F173" t="s">
        <v>116</v>
      </c>
      <c r="G173" s="230">
        <v>43585.319988425923</v>
      </c>
      <c r="H173">
        <v>10000</v>
      </c>
      <c r="I173">
        <v>10000</v>
      </c>
      <c r="J173">
        <v>690181894</v>
      </c>
    </row>
    <row r="174" spans="1:10" x14ac:dyDescent="0.25">
      <c r="A174">
        <v>10442918</v>
      </c>
      <c r="B174" t="s">
        <v>131</v>
      </c>
      <c r="C174" t="s">
        <v>244</v>
      </c>
      <c r="D174">
        <v>907</v>
      </c>
      <c r="E174">
        <v>983406009</v>
      </c>
      <c r="F174" t="s">
        <v>116</v>
      </c>
      <c r="G174" s="230">
        <v>43585.322129629632</v>
      </c>
      <c r="H174">
        <v>10000</v>
      </c>
      <c r="I174">
        <v>10000</v>
      </c>
      <c r="J174">
        <v>6.0103825550099994E+17</v>
      </c>
    </row>
    <row r="175" spans="1:10" x14ac:dyDescent="0.25">
      <c r="A175">
        <v>10442918</v>
      </c>
      <c r="B175" t="s">
        <v>131</v>
      </c>
      <c r="C175" t="s">
        <v>245</v>
      </c>
      <c r="D175">
        <v>910</v>
      </c>
      <c r="E175">
        <v>983409104</v>
      </c>
      <c r="F175" t="s">
        <v>116</v>
      </c>
      <c r="G175" s="230">
        <v>43585.323888888888</v>
      </c>
      <c r="H175">
        <v>4000</v>
      </c>
      <c r="I175">
        <v>4000</v>
      </c>
      <c r="J175">
        <v>1002739398</v>
      </c>
    </row>
    <row r="176" spans="1:10" x14ac:dyDescent="0.25">
      <c r="A176">
        <v>10442918</v>
      </c>
      <c r="B176" t="s">
        <v>131</v>
      </c>
      <c r="C176" t="s">
        <v>246</v>
      </c>
      <c r="D176">
        <v>914</v>
      </c>
      <c r="E176">
        <v>983416325</v>
      </c>
      <c r="F176" t="s">
        <v>247</v>
      </c>
      <c r="G176" s="230">
        <v>43585.327916666669</v>
      </c>
      <c r="H176">
        <v>20000</v>
      </c>
      <c r="I176">
        <v>0</v>
      </c>
      <c r="J176">
        <v>3331078015</v>
      </c>
    </row>
    <row r="177" spans="1:10" x14ac:dyDescent="0.25">
      <c r="A177">
        <v>10442918</v>
      </c>
      <c r="B177" t="s">
        <v>131</v>
      </c>
      <c r="C177" t="s">
        <v>246</v>
      </c>
      <c r="D177">
        <v>916</v>
      </c>
      <c r="E177">
        <v>983417920</v>
      </c>
      <c r="F177" t="s">
        <v>247</v>
      </c>
      <c r="G177" s="230">
        <v>43585.32880787037</v>
      </c>
      <c r="H177">
        <v>10000</v>
      </c>
      <c r="I177">
        <v>0</v>
      </c>
      <c r="J177">
        <v>3331078015</v>
      </c>
    </row>
    <row r="178" spans="1:10" x14ac:dyDescent="0.25">
      <c r="A178">
        <v>10442918</v>
      </c>
      <c r="B178" t="s">
        <v>131</v>
      </c>
      <c r="C178" t="s">
        <v>248</v>
      </c>
      <c r="D178">
        <v>919</v>
      </c>
      <c r="E178">
        <v>983425258</v>
      </c>
      <c r="F178" t="s">
        <v>116</v>
      </c>
      <c r="G178" s="230">
        <v>43585.332766203705</v>
      </c>
      <c r="H178">
        <v>20000</v>
      </c>
      <c r="I178">
        <v>20000</v>
      </c>
      <c r="J178">
        <v>6052402015</v>
      </c>
    </row>
    <row r="179" spans="1:10" x14ac:dyDescent="0.25">
      <c r="A179">
        <v>10442918</v>
      </c>
      <c r="B179" t="s">
        <v>131</v>
      </c>
      <c r="C179" t="s">
        <v>248</v>
      </c>
      <c r="D179">
        <v>920</v>
      </c>
      <c r="E179">
        <v>983426722</v>
      </c>
      <c r="F179" t="s">
        <v>116</v>
      </c>
      <c r="G179" s="230">
        <v>43585.333553240744</v>
      </c>
      <c r="H179">
        <v>10000</v>
      </c>
      <c r="I179">
        <v>10000</v>
      </c>
      <c r="J179">
        <v>6052402015</v>
      </c>
    </row>
    <row r="180" spans="1:10" x14ac:dyDescent="0.25">
      <c r="A180">
        <v>10442918</v>
      </c>
      <c r="B180" t="s">
        <v>131</v>
      </c>
      <c r="C180" t="s">
        <v>248</v>
      </c>
      <c r="D180">
        <v>921</v>
      </c>
      <c r="E180">
        <v>983428120</v>
      </c>
      <c r="F180" t="s">
        <v>118</v>
      </c>
      <c r="G180" s="230">
        <v>43585.334293981483</v>
      </c>
      <c r="H180">
        <v>1000</v>
      </c>
      <c r="I180">
        <v>0</v>
      </c>
      <c r="J180">
        <v>6052402015</v>
      </c>
    </row>
    <row r="181" spans="1:10" x14ac:dyDescent="0.25">
      <c r="A181">
        <v>10442918</v>
      </c>
      <c r="B181" t="s">
        <v>131</v>
      </c>
      <c r="C181" t="s">
        <v>248</v>
      </c>
      <c r="D181">
        <v>923</v>
      </c>
      <c r="E181">
        <v>983430381</v>
      </c>
      <c r="F181" t="s">
        <v>118</v>
      </c>
      <c r="G181" s="230">
        <v>43585.335509259261</v>
      </c>
      <c r="H181">
        <v>1000</v>
      </c>
      <c r="I181">
        <v>0</v>
      </c>
      <c r="J181">
        <v>6052402015</v>
      </c>
    </row>
    <row r="182" spans="1:10" x14ac:dyDescent="0.25">
      <c r="A182">
        <v>10442918</v>
      </c>
      <c r="B182" t="s">
        <v>131</v>
      </c>
      <c r="C182" t="s">
        <v>249</v>
      </c>
      <c r="D182">
        <v>926</v>
      </c>
      <c r="E182">
        <v>983441673</v>
      </c>
      <c r="F182" t="s">
        <v>116</v>
      </c>
      <c r="G182" s="230">
        <v>43585.341331018521</v>
      </c>
      <c r="H182">
        <v>20000</v>
      </c>
      <c r="I182">
        <v>20000</v>
      </c>
      <c r="J182">
        <v>54444166</v>
      </c>
    </row>
    <row r="183" spans="1:10" x14ac:dyDescent="0.25">
      <c r="A183">
        <v>10442918</v>
      </c>
      <c r="B183" t="s">
        <v>131</v>
      </c>
      <c r="C183" t="s">
        <v>250</v>
      </c>
      <c r="D183">
        <v>928</v>
      </c>
      <c r="E183">
        <v>983443276</v>
      </c>
      <c r="F183" t="s">
        <v>116</v>
      </c>
      <c r="G183" s="230">
        <v>43585.342141203706</v>
      </c>
      <c r="H183">
        <v>20000</v>
      </c>
      <c r="I183">
        <v>20000</v>
      </c>
      <c r="J183">
        <v>5001720386</v>
      </c>
    </row>
    <row r="184" spans="1:10" x14ac:dyDescent="0.25">
      <c r="A184">
        <v>10442918</v>
      </c>
      <c r="B184" t="s">
        <v>131</v>
      </c>
      <c r="C184" t="s">
        <v>250</v>
      </c>
      <c r="D184">
        <v>929</v>
      </c>
      <c r="E184">
        <v>983444570</v>
      </c>
      <c r="F184" t="s">
        <v>116</v>
      </c>
      <c r="G184" s="230">
        <v>43585.342777777776</v>
      </c>
      <c r="H184">
        <v>20000</v>
      </c>
      <c r="I184">
        <v>20000</v>
      </c>
      <c r="J184">
        <v>5001720386</v>
      </c>
    </row>
    <row r="185" spans="1:10" x14ac:dyDescent="0.25">
      <c r="A185">
        <v>10442918</v>
      </c>
      <c r="B185" t="s">
        <v>131</v>
      </c>
      <c r="C185" t="s">
        <v>250</v>
      </c>
      <c r="D185">
        <v>930</v>
      </c>
      <c r="E185">
        <v>983445830</v>
      </c>
      <c r="F185" t="s">
        <v>116</v>
      </c>
      <c r="G185" s="230">
        <v>43585.343414351853</v>
      </c>
      <c r="H185">
        <v>5000</v>
      </c>
      <c r="I185">
        <v>5000</v>
      </c>
      <c r="J185">
        <v>5001720386</v>
      </c>
    </row>
    <row r="186" spans="1:10" x14ac:dyDescent="0.25">
      <c r="A186">
        <v>10442918</v>
      </c>
      <c r="B186" t="s">
        <v>131</v>
      </c>
      <c r="C186" t="s">
        <v>251</v>
      </c>
      <c r="D186">
        <v>932</v>
      </c>
      <c r="E186">
        <v>983447552</v>
      </c>
      <c r="F186" t="s">
        <v>116</v>
      </c>
      <c r="G186" s="230">
        <v>43585.344270833331</v>
      </c>
      <c r="H186">
        <v>2000</v>
      </c>
      <c r="I186">
        <v>2000</v>
      </c>
      <c r="J186">
        <v>3.2302785150100499E+17</v>
      </c>
    </row>
    <row r="187" spans="1:10" x14ac:dyDescent="0.25">
      <c r="A187">
        <v>10442918</v>
      </c>
      <c r="B187" t="s">
        <v>131</v>
      </c>
      <c r="C187" t="s">
        <v>252</v>
      </c>
      <c r="D187">
        <v>934</v>
      </c>
      <c r="E187">
        <v>983449467</v>
      </c>
      <c r="F187" t="s">
        <v>116</v>
      </c>
      <c r="G187" s="230">
        <v>43585.345196759263</v>
      </c>
      <c r="H187">
        <v>500</v>
      </c>
      <c r="I187">
        <v>500</v>
      </c>
      <c r="J187">
        <v>27931612</v>
      </c>
    </row>
    <row r="188" spans="1:10" x14ac:dyDescent="0.25">
      <c r="A188">
        <v>10442918</v>
      </c>
      <c r="B188" t="s">
        <v>131</v>
      </c>
      <c r="C188" t="s">
        <v>253</v>
      </c>
      <c r="D188">
        <v>936</v>
      </c>
      <c r="E188">
        <v>983451011</v>
      </c>
      <c r="F188" t="s">
        <v>116</v>
      </c>
      <c r="G188" s="230">
        <v>43585.345949074072</v>
      </c>
      <c r="H188">
        <v>1000</v>
      </c>
      <c r="I188">
        <v>1000</v>
      </c>
      <c r="J188">
        <v>106750677</v>
      </c>
    </row>
    <row r="189" spans="1:10" x14ac:dyDescent="0.25">
      <c r="A189">
        <v>10442918</v>
      </c>
      <c r="B189" t="s">
        <v>131</v>
      </c>
      <c r="C189" t="s">
        <v>254</v>
      </c>
      <c r="D189">
        <v>938</v>
      </c>
      <c r="E189">
        <v>983454637</v>
      </c>
      <c r="F189" t="s">
        <v>116</v>
      </c>
      <c r="G189" s="230">
        <v>43585.347673611112</v>
      </c>
      <c r="H189">
        <v>1500</v>
      </c>
      <c r="I189">
        <v>1500</v>
      </c>
      <c r="J189">
        <v>789106380</v>
      </c>
    </row>
    <row r="190" spans="1:10" x14ac:dyDescent="0.25">
      <c r="A190">
        <v>10442918</v>
      </c>
      <c r="B190" t="s">
        <v>131</v>
      </c>
      <c r="C190" t="s">
        <v>255</v>
      </c>
      <c r="D190">
        <v>940</v>
      </c>
      <c r="E190">
        <v>983459178</v>
      </c>
      <c r="F190" t="s">
        <v>116</v>
      </c>
      <c r="G190" s="230">
        <v>43585.34983796296</v>
      </c>
      <c r="H190">
        <v>1500</v>
      </c>
      <c r="I190">
        <v>1500</v>
      </c>
      <c r="J190">
        <v>731412466</v>
      </c>
    </row>
    <row r="191" spans="1:10" x14ac:dyDescent="0.25">
      <c r="A191">
        <v>10442918</v>
      </c>
      <c r="B191" t="s">
        <v>131</v>
      </c>
      <c r="C191" t="s">
        <v>256</v>
      </c>
      <c r="D191">
        <v>942</v>
      </c>
      <c r="E191">
        <v>983481580</v>
      </c>
      <c r="F191" t="s">
        <v>116</v>
      </c>
      <c r="G191" s="230">
        <v>43585.359803240739</v>
      </c>
      <c r="H191">
        <v>15000</v>
      </c>
      <c r="I191">
        <v>15000</v>
      </c>
      <c r="J191">
        <v>8875986</v>
      </c>
    </row>
    <row r="192" spans="1:10" x14ac:dyDescent="0.25">
      <c r="A192">
        <v>10442918</v>
      </c>
      <c r="B192" t="s">
        <v>131</v>
      </c>
      <c r="C192" t="s">
        <v>120</v>
      </c>
      <c r="D192">
        <v>944</v>
      </c>
      <c r="E192">
        <v>983484451</v>
      </c>
      <c r="F192" t="s">
        <v>116</v>
      </c>
      <c r="G192" s="230">
        <v>43585.360995370371</v>
      </c>
      <c r="H192">
        <v>2000</v>
      </c>
      <c r="I192">
        <v>2000</v>
      </c>
      <c r="J192">
        <v>802435862</v>
      </c>
    </row>
    <row r="193" spans="1:10" x14ac:dyDescent="0.25">
      <c r="A193">
        <v>10442918</v>
      </c>
      <c r="B193" t="s">
        <v>131</v>
      </c>
      <c r="C193" t="s">
        <v>257</v>
      </c>
      <c r="D193">
        <v>946</v>
      </c>
      <c r="E193">
        <v>983486743</v>
      </c>
      <c r="F193" t="s">
        <v>116</v>
      </c>
      <c r="G193" s="230">
        <v>43585.361944444441</v>
      </c>
      <c r="H193">
        <v>10000</v>
      </c>
      <c r="I193">
        <v>10000</v>
      </c>
      <c r="J193">
        <v>47179150</v>
      </c>
    </row>
    <row r="194" spans="1:10" x14ac:dyDescent="0.25">
      <c r="A194">
        <v>10442918</v>
      </c>
      <c r="B194" t="s">
        <v>131</v>
      </c>
      <c r="C194" t="s">
        <v>258</v>
      </c>
      <c r="D194">
        <v>948</v>
      </c>
      <c r="E194">
        <v>983488926</v>
      </c>
      <c r="F194" t="s">
        <v>116</v>
      </c>
      <c r="G194" s="230">
        <v>43585.362858796296</v>
      </c>
      <c r="H194">
        <v>15000</v>
      </c>
      <c r="I194">
        <v>15000</v>
      </c>
      <c r="J194">
        <v>53084000</v>
      </c>
    </row>
    <row r="195" spans="1:10" x14ac:dyDescent="0.25">
      <c r="A195">
        <v>10442918</v>
      </c>
      <c r="B195" t="s">
        <v>131</v>
      </c>
      <c r="C195" t="s">
        <v>259</v>
      </c>
      <c r="D195">
        <v>950</v>
      </c>
      <c r="E195">
        <v>983491004</v>
      </c>
      <c r="F195" t="s">
        <v>116</v>
      </c>
      <c r="G195" s="230">
        <v>43585.363749999997</v>
      </c>
      <c r="H195">
        <v>10000</v>
      </c>
      <c r="I195">
        <v>10000</v>
      </c>
      <c r="J195">
        <v>86740305</v>
      </c>
    </row>
    <row r="196" spans="1:10" x14ac:dyDescent="0.25">
      <c r="A196">
        <v>10442918</v>
      </c>
      <c r="B196" t="s">
        <v>131</v>
      </c>
      <c r="C196" t="s">
        <v>260</v>
      </c>
      <c r="D196">
        <v>952</v>
      </c>
      <c r="E196">
        <v>983493377</v>
      </c>
      <c r="F196" t="s">
        <v>121</v>
      </c>
      <c r="G196" s="230">
        <v>43585.364745370367</v>
      </c>
      <c r="H196">
        <v>10000</v>
      </c>
      <c r="I196">
        <v>0</v>
      </c>
      <c r="J196">
        <v>1131007394</v>
      </c>
    </row>
    <row r="197" spans="1:10" x14ac:dyDescent="0.25">
      <c r="A197">
        <v>10442918</v>
      </c>
      <c r="B197" t="s">
        <v>131</v>
      </c>
      <c r="C197" t="s">
        <v>260</v>
      </c>
      <c r="D197">
        <v>953</v>
      </c>
      <c r="E197">
        <v>983494445</v>
      </c>
      <c r="F197" t="s">
        <v>116</v>
      </c>
      <c r="G197" s="230">
        <v>43585.365162037036</v>
      </c>
      <c r="H197">
        <v>1000</v>
      </c>
      <c r="I197">
        <v>1000</v>
      </c>
      <c r="J197">
        <v>1131007394</v>
      </c>
    </row>
    <row r="198" spans="1:10" x14ac:dyDescent="0.25">
      <c r="A198">
        <v>10442918</v>
      </c>
      <c r="B198" t="s">
        <v>131</v>
      </c>
      <c r="C198" t="s">
        <v>261</v>
      </c>
      <c r="D198">
        <v>955</v>
      </c>
      <c r="E198">
        <v>983496673</v>
      </c>
      <c r="F198" t="s">
        <v>116</v>
      </c>
      <c r="G198" s="230">
        <v>43585.36613425926</v>
      </c>
      <c r="H198">
        <v>1000</v>
      </c>
      <c r="I198">
        <v>1000</v>
      </c>
      <c r="J198">
        <v>94953144</v>
      </c>
    </row>
    <row r="199" spans="1:10" x14ac:dyDescent="0.25">
      <c r="A199">
        <v>10442918</v>
      </c>
      <c r="B199" t="s">
        <v>131</v>
      </c>
      <c r="C199" t="s">
        <v>262</v>
      </c>
      <c r="D199">
        <v>957</v>
      </c>
      <c r="E199">
        <v>983498774</v>
      </c>
      <c r="F199" t="s">
        <v>118</v>
      </c>
      <c r="G199" s="230">
        <v>43585.366990740738</v>
      </c>
      <c r="H199">
        <v>20000</v>
      </c>
      <c r="I199">
        <v>0</v>
      </c>
      <c r="J199">
        <v>2886253010</v>
      </c>
    </row>
    <row r="200" spans="1:10" x14ac:dyDescent="0.25">
      <c r="A200">
        <v>10442918</v>
      </c>
      <c r="B200" t="s">
        <v>131</v>
      </c>
      <c r="C200" t="s">
        <v>262</v>
      </c>
      <c r="D200">
        <v>958</v>
      </c>
      <c r="E200">
        <v>983499609</v>
      </c>
      <c r="F200" t="s">
        <v>116</v>
      </c>
      <c r="G200" s="230">
        <v>43585.367349537039</v>
      </c>
      <c r="H200">
        <v>10000</v>
      </c>
      <c r="I200">
        <v>10000</v>
      </c>
      <c r="J200">
        <v>2886253010</v>
      </c>
    </row>
    <row r="201" spans="1:10" x14ac:dyDescent="0.25">
      <c r="A201">
        <v>10442918</v>
      </c>
      <c r="B201" t="s">
        <v>131</v>
      </c>
      <c r="C201" t="s">
        <v>262</v>
      </c>
      <c r="D201">
        <v>959</v>
      </c>
      <c r="E201">
        <v>983501104</v>
      </c>
      <c r="F201" t="s">
        <v>116</v>
      </c>
      <c r="G201" s="230">
        <v>43585.367986111109</v>
      </c>
      <c r="H201">
        <v>500</v>
      </c>
      <c r="I201">
        <v>500</v>
      </c>
      <c r="J201">
        <v>2886253010</v>
      </c>
    </row>
    <row r="202" spans="1:10" x14ac:dyDescent="0.25">
      <c r="A202">
        <v>10442918</v>
      </c>
      <c r="B202" t="s">
        <v>131</v>
      </c>
      <c r="C202" t="s">
        <v>263</v>
      </c>
      <c r="D202">
        <v>961</v>
      </c>
      <c r="E202">
        <v>983502981</v>
      </c>
      <c r="F202" t="s">
        <v>116</v>
      </c>
      <c r="G202" s="230">
        <v>43585.368761574071</v>
      </c>
      <c r="H202">
        <v>20000</v>
      </c>
      <c r="I202">
        <v>20000</v>
      </c>
      <c r="J202">
        <v>44311724</v>
      </c>
    </row>
    <row r="203" spans="1:10" x14ac:dyDescent="0.25">
      <c r="A203">
        <v>10442918</v>
      </c>
      <c r="B203" t="s">
        <v>131</v>
      </c>
      <c r="C203" t="s">
        <v>264</v>
      </c>
      <c r="D203">
        <v>963</v>
      </c>
      <c r="E203">
        <v>983505290</v>
      </c>
      <c r="F203" t="s">
        <v>116</v>
      </c>
      <c r="G203" s="230">
        <v>43585.369722222225</v>
      </c>
      <c r="H203">
        <v>1000</v>
      </c>
      <c r="I203">
        <v>1000</v>
      </c>
      <c r="J203">
        <v>694393954</v>
      </c>
    </row>
    <row r="204" spans="1:10" x14ac:dyDescent="0.25">
      <c r="A204">
        <v>10442918</v>
      </c>
      <c r="B204" t="s">
        <v>131</v>
      </c>
      <c r="C204" t="s">
        <v>265</v>
      </c>
      <c r="D204">
        <v>966</v>
      </c>
      <c r="E204">
        <v>983508120</v>
      </c>
      <c r="F204" t="s">
        <v>116</v>
      </c>
      <c r="G204" s="230">
        <v>43585.370891203704</v>
      </c>
      <c r="H204">
        <v>20000</v>
      </c>
      <c r="I204">
        <v>20000</v>
      </c>
      <c r="J204">
        <v>31127987</v>
      </c>
    </row>
    <row r="205" spans="1:10" x14ac:dyDescent="0.25">
      <c r="A205">
        <v>10442918</v>
      </c>
      <c r="B205" t="s">
        <v>131</v>
      </c>
      <c r="C205" t="s">
        <v>265</v>
      </c>
      <c r="D205">
        <v>967</v>
      </c>
      <c r="E205">
        <v>983509792</v>
      </c>
      <c r="F205" t="s">
        <v>116</v>
      </c>
      <c r="G205" s="230">
        <v>43585.371527777781</v>
      </c>
      <c r="H205">
        <v>20000</v>
      </c>
      <c r="I205">
        <v>20000</v>
      </c>
      <c r="J205">
        <v>31127987</v>
      </c>
    </row>
    <row r="206" spans="1:10" x14ac:dyDescent="0.25">
      <c r="A206">
        <v>10442918</v>
      </c>
      <c r="B206" t="s">
        <v>131</v>
      </c>
      <c r="C206" t="s">
        <v>265</v>
      </c>
      <c r="D206">
        <v>968</v>
      </c>
      <c r="E206">
        <v>983511652</v>
      </c>
      <c r="F206" t="s">
        <v>116</v>
      </c>
      <c r="G206" s="230">
        <v>43585.37228009259</v>
      </c>
      <c r="H206">
        <v>20000</v>
      </c>
      <c r="I206">
        <v>20000</v>
      </c>
      <c r="J206">
        <v>31127987</v>
      </c>
    </row>
    <row r="207" spans="1:10" x14ac:dyDescent="0.25">
      <c r="A207">
        <v>10442918</v>
      </c>
      <c r="B207" t="s">
        <v>131</v>
      </c>
      <c r="C207" t="s">
        <v>266</v>
      </c>
      <c r="D207">
        <v>971</v>
      </c>
      <c r="E207">
        <v>983516580</v>
      </c>
      <c r="F207" t="s">
        <v>116</v>
      </c>
      <c r="G207" s="230">
        <v>43585.374224537038</v>
      </c>
      <c r="H207">
        <v>1000</v>
      </c>
      <c r="I207">
        <v>1000</v>
      </c>
      <c r="J207">
        <v>3.2503750120100499E+17</v>
      </c>
    </row>
    <row r="208" spans="1:10" x14ac:dyDescent="0.25">
      <c r="A208">
        <v>10442918</v>
      </c>
      <c r="B208" t="s">
        <v>131</v>
      </c>
      <c r="C208" t="s">
        <v>267</v>
      </c>
      <c r="D208">
        <v>973</v>
      </c>
      <c r="E208">
        <v>983518956</v>
      </c>
      <c r="F208" t="s">
        <v>116</v>
      </c>
      <c r="G208" s="230">
        <v>43585.375173611108</v>
      </c>
      <c r="H208">
        <v>20000</v>
      </c>
      <c r="I208">
        <v>20000</v>
      </c>
      <c r="J208">
        <v>44702647</v>
      </c>
    </row>
    <row r="209" spans="1:10" x14ac:dyDescent="0.25">
      <c r="A209">
        <v>10442918</v>
      </c>
      <c r="B209" t="s">
        <v>131</v>
      </c>
      <c r="C209" t="s">
        <v>267</v>
      </c>
      <c r="D209">
        <v>974</v>
      </c>
      <c r="E209">
        <v>983520479</v>
      </c>
      <c r="F209" t="s">
        <v>116</v>
      </c>
      <c r="G209" s="230">
        <v>43585.375798611109</v>
      </c>
      <c r="H209">
        <v>20000</v>
      </c>
      <c r="I209">
        <v>20000</v>
      </c>
      <c r="J209">
        <v>44702647</v>
      </c>
    </row>
    <row r="210" spans="1:10" x14ac:dyDescent="0.25">
      <c r="A210">
        <v>10442918</v>
      </c>
      <c r="B210" t="s">
        <v>131</v>
      </c>
      <c r="C210" t="s">
        <v>267</v>
      </c>
      <c r="D210">
        <v>975</v>
      </c>
      <c r="E210">
        <v>983522029</v>
      </c>
      <c r="F210" t="s">
        <v>116</v>
      </c>
      <c r="G210" s="230">
        <v>43585.376423611109</v>
      </c>
      <c r="H210">
        <v>10000</v>
      </c>
      <c r="I210">
        <v>10000</v>
      </c>
      <c r="J210">
        <v>44702647</v>
      </c>
    </row>
    <row r="211" spans="1:10" x14ac:dyDescent="0.25">
      <c r="A211">
        <v>10442918</v>
      </c>
      <c r="B211" t="s">
        <v>131</v>
      </c>
      <c r="C211" t="s">
        <v>268</v>
      </c>
      <c r="D211">
        <v>977</v>
      </c>
      <c r="E211">
        <v>983524502</v>
      </c>
      <c r="F211" t="s">
        <v>116</v>
      </c>
      <c r="G211" s="230">
        <v>43585.377430555556</v>
      </c>
      <c r="H211">
        <v>20000</v>
      </c>
      <c r="I211">
        <v>20000</v>
      </c>
      <c r="J211">
        <v>8233121</v>
      </c>
    </row>
    <row r="212" spans="1:10" x14ac:dyDescent="0.25">
      <c r="A212">
        <v>10442918</v>
      </c>
      <c r="B212" t="s">
        <v>131</v>
      </c>
      <c r="C212" t="s">
        <v>268</v>
      </c>
      <c r="D212">
        <v>978</v>
      </c>
      <c r="E212">
        <v>983526735</v>
      </c>
      <c r="F212" t="s">
        <v>116</v>
      </c>
      <c r="G212" s="230">
        <v>43585.378321759257</v>
      </c>
      <c r="H212">
        <v>9000</v>
      </c>
      <c r="I212">
        <v>9000</v>
      </c>
      <c r="J212">
        <v>8233121</v>
      </c>
    </row>
    <row r="213" spans="1:10" x14ac:dyDescent="0.25">
      <c r="A213">
        <v>10442918</v>
      </c>
      <c r="B213" t="s">
        <v>131</v>
      </c>
      <c r="C213" t="s">
        <v>269</v>
      </c>
      <c r="D213">
        <v>980</v>
      </c>
      <c r="E213">
        <v>983528829</v>
      </c>
      <c r="F213" t="s">
        <v>116</v>
      </c>
      <c r="G213" s="230">
        <v>43585.379155092596</v>
      </c>
      <c r="H213">
        <v>10000</v>
      </c>
      <c r="I213">
        <v>10000</v>
      </c>
      <c r="J213">
        <v>58868120</v>
      </c>
    </row>
    <row r="214" spans="1:10" x14ac:dyDescent="0.25">
      <c r="A214">
        <v>10442918</v>
      </c>
      <c r="B214" t="s">
        <v>131</v>
      </c>
      <c r="C214" t="s">
        <v>270</v>
      </c>
      <c r="D214">
        <v>983</v>
      </c>
      <c r="E214">
        <v>983534405</v>
      </c>
      <c r="F214" t="s">
        <v>116</v>
      </c>
      <c r="G214" s="230">
        <v>43585.381423611114</v>
      </c>
      <c r="H214">
        <v>3000</v>
      </c>
      <c r="I214">
        <v>3000</v>
      </c>
      <c r="J214">
        <v>3.7103738530100499E+17</v>
      </c>
    </row>
    <row r="215" spans="1:10" x14ac:dyDescent="0.25">
      <c r="A215">
        <v>10442918</v>
      </c>
      <c r="B215" t="s">
        <v>131</v>
      </c>
      <c r="C215" t="s">
        <v>271</v>
      </c>
      <c r="D215">
        <v>987</v>
      </c>
      <c r="E215">
        <v>983542894</v>
      </c>
      <c r="F215" t="s">
        <v>135</v>
      </c>
      <c r="G215" s="230">
        <v>43585.384756944448</v>
      </c>
      <c r="H215">
        <v>20000</v>
      </c>
      <c r="I215">
        <v>0</v>
      </c>
      <c r="J215">
        <v>1010101010</v>
      </c>
    </row>
    <row r="216" spans="1:10" x14ac:dyDescent="0.25">
      <c r="A216">
        <v>10442918</v>
      </c>
      <c r="B216" t="s">
        <v>131</v>
      </c>
      <c r="C216" t="s">
        <v>271</v>
      </c>
      <c r="D216">
        <v>989</v>
      </c>
      <c r="E216">
        <v>983544888</v>
      </c>
      <c r="F216" t="s">
        <v>135</v>
      </c>
      <c r="G216" s="230">
        <v>43585.385520833333</v>
      </c>
      <c r="H216">
        <v>10000</v>
      </c>
      <c r="I216">
        <v>0</v>
      </c>
      <c r="J216">
        <v>1010101010</v>
      </c>
    </row>
    <row r="217" spans="1:10" x14ac:dyDescent="0.25">
      <c r="A217">
        <v>10442918</v>
      </c>
      <c r="B217" t="s">
        <v>131</v>
      </c>
      <c r="C217" t="s">
        <v>272</v>
      </c>
      <c r="D217">
        <v>2003</v>
      </c>
      <c r="E217">
        <v>983578779</v>
      </c>
      <c r="F217" t="s">
        <v>116</v>
      </c>
      <c r="G217" s="230">
        <v>43585.397719907407</v>
      </c>
      <c r="H217">
        <v>15000</v>
      </c>
      <c r="I217">
        <v>15000</v>
      </c>
      <c r="J217">
        <v>8875987</v>
      </c>
    </row>
    <row r="218" spans="1:10" x14ac:dyDescent="0.25">
      <c r="A218">
        <v>10442918</v>
      </c>
      <c r="B218" t="s">
        <v>131</v>
      </c>
      <c r="C218" t="s">
        <v>273</v>
      </c>
      <c r="D218">
        <v>2005</v>
      </c>
      <c r="E218">
        <v>983581376</v>
      </c>
      <c r="F218" t="s">
        <v>135</v>
      </c>
      <c r="G218" s="230">
        <v>43585.398657407408</v>
      </c>
      <c r="H218">
        <v>5000</v>
      </c>
      <c r="I218">
        <v>0</v>
      </c>
      <c r="J218">
        <v>1010101010</v>
      </c>
    </row>
    <row r="219" spans="1:10" x14ac:dyDescent="0.25">
      <c r="A219">
        <v>10442918</v>
      </c>
      <c r="B219" t="s">
        <v>131</v>
      </c>
      <c r="C219" t="s">
        <v>274</v>
      </c>
      <c r="D219">
        <v>2008</v>
      </c>
      <c r="E219">
        <v>983585349</v>
      </c>
      <c r="F219" t="s">
        <v>116</v>
      </c>
      <c r="G219" s="230">
        <v>43585.400081018517</v>
      </c>
      <c r="H219">
        <v>500</v>
      </c>
      <c r="I219">
        <v>500</v>
      </c>
      <c r="J219">
        <v>8878940</v>
      </c>
    </row>
    <row r="220" spans="1:10" x14ac:dyDescent="0.25">
      <c r="A220">
        <v>10442918</v>
      </c>
      <c r="B220" t="s">
        <v>131</v>
      </c>
      <c r="C220" t="s">
        <v>275</v>
      </c>
      <c r="D220">
        <v>2011</v>
      </c>
      <c r="E220">
        <v>983593177</v>
      </c>
      <c r="F220" t="s">
        <v>116</v>
      </c>
      <c r="G220" s="230">
        <v>43585.40253472222</v>
      </c>
      <c r="H220">
        <v>20000</v>
      </c>
      <c r="I220">
        <v>20000</v>
      </c>
      <c r="J220">
        <v>1285741</v>
      </c>
    </row>
    <row r="221" spans="1:10" x14ac:dyDescent="0.25">
      <c r="A221">
        <v>10442918</v>
      </c>
      <c r="B221" t="s">
        <v>131</v>
      </c>
      <c r="C221" t="s">
        <v>275</v>
      </c>
      <c r="D221">
        <v>2012</v>
      </c>
      <c r="E221">
        <v>983594880</v>
      </c>
      <c r="F221" t="s">
        <v>116</v>
      </c>
      <c r="G221" s="230">
        <v>43585.403113425928</v>
      </c>
      <c r="H221">
        <v>10000</v>
      </c>
      <c r="I221">
        <v>10000</v>
      </c>
      <c r="J221">
        <v>1285741</v>
      </c>
    </row>
    <row r="222" spans="1:10" x14ac:dyDescent="0.25">
      <c r="A222">
        <v>10442918</v>
      </c>
      <c r="B222" t="s">
        <v>131</v>
      </c>
      <c r="C222" t="s">
        <v>276</v>
      </c>
      <c r="D222">
        <v>2014</v>
      </c>
      <c r="E222">
        <v>983597611</v>
      </c>
      <c r="F222" t="s">
        <v>116</v>
      </c>
      <c r="G222" s="230">
        <v>43585.404050925928</v>
      </c>
      <c r="H222">
        <v>9500</v>
      </c>
      <c r="I222">
        <v>9500</v>
      </c>
      <c r="J222">
        <v>69189745</v>
      </c>
    </row>
    <row r="223" spans="1:10" x14ac:dyDescent="0.25">
      <c r="A223">
        <v>10442918</v>
      </c>
      <c r="B223" t="s">
        <v>131</v>
      </c>
      <c r="C223" t="s">
        <v>277</v>
      </c>
      <c r="D223">
        <v>2021</v>
      </c>
      <c r="E223">
        <v>983609095</v>
      </c>
      <c r="F223" t="s">
        <v>116</v>
      </c>
      <c r="G223" s="230">
        <v>43585.408032407409</v>
      </c>
      <c r="H223">
        <v>20000</v>
      </c>
      <c r="I223">
        <v>20000</v>
      </c>
      <c r="J223">
        <v>739429080</v>
      </c>
    </row>
    <row r="224" spans="1:10" x14ac:dyDescent="0.25">
      <c r="A224">
        <v>10442918</v>
      </c>
      <c r="B224" t="s">
        <v>131</v>
      </c>
      <c r="C224" t="s">
        <v>277</v>
      </c>
      <c r="D224">
        <v>2022</v>
      </c>
      <c r="E224">
        <v>983610984</v>
      </c>
      <c r="F224" t="s">
        <v>116</v>
      </c>
      <c r="G224" s="230">
        <v>43585.408668981479</v>
      </c>
      <c r="H224">
        <v>20000</v>
      </c>
      <c r="I224">
        <v>20000</v>
      </c>
      <c r="J224">
        <v>739429080</v>
      </c>
    </row>
    <row r="225" spans="1:10" x14ac:dyDescent="0.25">
      <c r="A225">
        <v>10442918</v>
      </c>
      <c r="B225" t="s">
        <v>131</v>
      </c>
      <c r="C225" t="s">
        <v>277</v>
      </c>
      <c r="D225">
        <v>2022</v>
      </c>
      <c r="E225">
        <v>983610984</v>
      </c>
      <c r="F225" t="s">
        <v>116</v>
      </c>
      <c r="G225" s="230">
        <v>43585.408750000002</v>
      </c>
      <c r="H225">
        <v>0</v>
      </c>
      <c r="I225">
        <v>0</v>
      </c>
      <c r="J225">
        <v>739429080</v>
      </c>
    </row>
    <row r="226" spans="1:10" x14ac:dyDescent="0.25">
      <c r="A226">
        <v>10442918</v>
      </c>
      <c r="B226" t="s">
        <v>131</v>
      </c>
      <c r="C226" t="s">
        <v>278</v>
      </c>
      <c r="D226">
        <v>2025</v>
      </c>
      <c r="E226">
        <v>983670295</v>
      </c>
      <c r="F226" t="s">
        <v>116</v>
      </c>
      <c r="G226" s="230">
        <v>43585.43041666667</v>
      </c>
      <c r="H226">
        <v>5000</v>
      </c>
      <c r="I226">
        <v>5000</v>
      </c>
      <c r="J226">
        <v>12442389</v>
      </c>
    </row>
    <row r="227" spans="1:10" x14ac:dyDescent="0.25">
      <c r="A227">
        <v>10442918</v>
      </c>
      <c r="B227" t="s">
        <v>131</v>
      </c>
      <c r="C227" t="s">
        <v>279</v>
      </c>
      <c r="D227">
        <v>2027</v>
      </c>
      <c r="E227">
        <v>983676134</v>
      </c>
      <c r="F227" t="s">
        <v>228</v>
      </c>
      <c r="G227" s="230">
        <v>43585.432013888887</v>
      </c>
      <c r="H227">
        <v>20000</v>
      </c>
      <c r="I227">
        <v>0</v>
      </c>
    </row>
    <row r="228" spans="1:10" x14ac:dyDescent="0.25">
      <c r="A228">
        <v>10442918</v>
      </c>
      <c r="B228" t="s">
        <v>131</v>
      </c>
      <c r="C228" t="s">
        <v>280</v>
      </c>
      <c r="D228">
        <v>2029</v>
      </c>
      <c r="E228">
        <v>983680082</v>
      </c>
      <c r="F228" t="s">
        <v>116</v>
      </c>
      <c r="G228" s="230">
        <v>43585.432962962965</v>
      </c>
      <c r="H228">
        <v>20000</v>
      </c>
      <c r="I228">
        <v>20000</v>
      </c>
      <c r="J228">
        <v>707375151</v>
      </c>
    </row>
    <row r="229" spans="1:10" x14ac:dyDescent="0.25">
      <c r="A229">
        <v>10442918</v>
      </c>
      <c r="B229" t="s">
        <v>131</v>
      </c>
      <c r="C229" t="s">
        <v>281</v>
      </c>
      <c r="D229">
        <v>2031</v>
      </c>
      <c r="E229">
        <v>983683538</v>
      </c>
      <c r="F229" t="s">
        <v>116</v>
      </c>
      <c r="G229" s="230">
        <v>43585.43378472222</v>
      </c>
      <c r="H229">
        <v>20000</v>
      </c>
      <c r="I229">
        <v>20000</v>
      </c>
      <c r="J229">
        <v>694117307</v>
      </c>
    </row>
    <row r="230" spans="1:10" x14ac:dyDescent="0.25">
      <c r="A230">
        <v>10442918</v>
      </c>
      <c r="B230" t="s">
        <v>131</v>
      </c>
      <c r="C230" t="s">
        <v>281</v>
      </c>
      <c r="D230">
        <v>2032</v>
      </c>
      <c r="E230">
        <v>983685953</v>
      </c>
      <c r="F230" t="s">
        <v>116</v>
      </c>
      <c r="G230" s="230">
        <v>43585.43445601852</v>
      </c>
      <c r="H230">
        <v>10000</v>
      </c>
      <c r="I230">
        <v>10000</v>
      </c>
      <c r="J230">
        <v>694117307</v>
      </c>
    </row>
    <row r="231" spans="1:10" x14ac:dyDescent="0.25">
      <c r="A231">
        <v>10442918</v>
      </c>
      <c r="B231" t="s">
        <v>131</v>
      </c>
      <c r="C231" t="s">
        <v>279</v>
      </c>
      <c r="D231">
        <v>2042</v>
      </c>
      <c r="E231">
        <v>983700050</v>
      </c>
      <c r="F231" t="s">
        <v>116</v>
      </c>
      <c r="G231" s="230">
        <v>43585.438680555555</v>
      </c>
      <c r="H231">
        <v>10000</v>
      </c>
      <c r="I231">
        <v>10000</v>
      </c>
      <c r="J231">
        <v>3488066</v>
      </c>
    </row>
    <row r="232" spans="1:10" x14ac:dyDescent="0.25">
      <c r="A232">
        <v>10442918</v>
      </c>
      <c r="B232" t="s">
        <v>131</v>
      </c>
      <c r="C232" t="s">
        <v>282</v>
      </c>
      <c r="D232">
        <v>2044</v>
      </c>
      <c r="E232">
        <v>983704592</v>
      </c>
      <c r="F232" t="s">
        <v>228</v>
      </c>
      <c r="G232" s="230">
        <v>43585.440081018518</v>
      </c>
      <c r="H232">
        <v>1000</v>
      </c>
      <c r="I232">
        <v>0</v>
      </c>
    </row>
    <row r="233" spans="1:10" x14ac:dyDescent="0.25">
      <c r="A233">
        <v>10442918</v>
      </c>
      <c r="B233" t="s">
        <v>131</v>
      </c>
      <c r="C233" t="s">
        <v>283</v>
      </c>
      <c r="D233">
        <v>2046</v>
      </c>
      <c r="E233">
        <v>983707867</v>
      </c>
      <c r="F233" t="s">
        <v>116</v>
      </c>
      <c r="G233" s="230">
        <v>43585.441111111111</v>
      </c>
      <c r="H233">
        <v>5000</v>
      </c>
      <c r="I233">
        <v>5000</v>
      </c>
      <c r="J233">
        <v>53316900</v>
      </c>
    </row>
    <row r="234" spans="1:10" x14ac:dyDescent="0.25">
      <c r="A234">
        <v>10442918</v>
      </c>
      <c r="B234" t="s">
        <v>131</v>
      </c>
      <c r="C234" t="s">
        <v>122</v>
      </c>
      <c r="D234">
        <v>2048</v>
      </c>
      <c r="E234">
        <v>983711574</v>
      </c>
      <c r="F234" t="s">
        <v>116</v>
      </c>
      <c r="G234" s="230">
        <v>43585.442291666666</v>
      </c>
      <c r="H234">
        <v>7000</v>
      </c>
      <c r="I234">
        <v>7000</v>
      </c>
      <c r="J234">
        <v>22840141</v>
      </c>
    </row>
    <row r="235" spans="1:10" x14ac:dyDescent="0.25">
      <c r="A235">
        <v>10442918</v>
      </c>
      <c r="B235" t="s">
        <v>131</v>
      </c>
      <c r="C235" t="s">
        <v>284</v>
      </c>
      <c r="D235">
        <v>2050</v>
      </c>
      <c r="E235">
        <v>984325844</v>
      </c>
      <c r="F235" t="s">
        <v>116</v>
      </c>
      <c r="G235" s="230">
        <v>43585.651076388887</v>
      </c>
      <c r="H235">
        <v>3000</v>
      </c>
      <c r="I235">
        <v>3000</v>
      </c>
      <c r="J235">
        <v>4426288</v>
      </c>
    </row>
    <row r="236" spans="1:10" x14ac:dyDescent="0.25">
      <c r="A236">
        <v>10442918</v>
      </c>
      <c r="B236" t="s">
        <v>131</v>
      </c>
      <c r="C236" t="s">
        <v>285</v>
      </c>
      <c r="D236">
        <v>2052</v>
      </c>
      <c r="E236">
        <v>984328956</v>
      </c>
      <c r="F236" t="s">
        <v>116</v>
      </c>
      <c r="G236" s="230">
        <v>43585.65221064815</v>
      </c>
      <c r="H236">
        <v>3000</v>
      </c>
      <c r="I236">
        <v>3000</v>
      </c>
      <c r="J236">
        <v>6.9201679600100506E+17</v>
      </c>
    </row>
    <row r="237" spans="1:10" x14ac:dyDescent="0.25">
      <c r="A237">
        <v>10442918</v>
      </c>
      <c r="B237" t="s">
        <v>131</v>
      </c>
      <c r="C237" t="s">
        <v>286</v>
      </c>
      <c r="D237">
        <v>2054</v>
      </c>
      <c r="E237">
        <v>984331599</v>
      </c>
      <c r="F237" t="s">
        <v>116</v>
      </c>
      <c r="G237" s="230">
        <v>43585.65315972222</v>
      </c>
      <c r="H237">
        <v>20000</v>
      </c>
      <c r="I237">
        <v>20000</v>
      </c>
      <c r="J237">
        <v>39300415</v>
      </c>
    </row>
    <row r="238" spans="1:10" x14ac:dyDescent="0.25">
      <c r="A238">
        <v>10442918</v>
      </c>
      <c r="B238" t="s">
        <v>131</v>
      </c>
      <c r="C238" t="s">
        <v>286</v>
      </c>
      <c r="D238">
        <v>2056</v>
      </c>
      <c r="E238">
        <v>984335259</v>
      </c>
      <c r="F238" t="s">
        <v>116</v>
      </c>
      <c r="G238" s="230">
        <v>43585.654456018521</v>
      </c>
      <c r="H238">
        <v>20000</v>
      </c>
      <c r="I238">
        <v>20000</v>
      </c>
      <c r="J238">
        <v>39300415</v>
      </c>
    </row>
    <row r="239" spans="1:10" x14ac:dyDescent="0.25">
      <c r="A239">
        <v>10442918</v>
      </c>
      <c r="B239" t="s">
        <v>131</v>
      </c>
      <c r="C239" t="s">
        <v>286</v>
      </c>
      <c r="D239">
        <v>2057</v>
      </c>
      <c r="E239">
        <v>984337290</v>
      </c>
      <c r="F239" t="s">
        <v>116</v>
      </c>
      <c r="G239" s="230">
        <v>43585.655185185184</v>
      </c>
      <c r="H239">
        <v>20000</v>
      </c>
      <c r="I239">
        <v>20000</v>
      </c>
      <c r="J239">
        <v>39300415</v>
      </c>
    </row>
    <row r="240" spans="1:10" x14ac:dyDescent="0.25">
      <c r="A240">
        <v>10442918</v>
      </c>
      <c r="B240" t="s">
        <v>131</v>
      </c>
      <c r="C240" t="s">
        <v>286</v>
      </c>
      <c r="D240">
        <v>2058</v>
      </c>
      <c r="E240">
        <v>984339039</v>
      </c>
      <c r="F240" t="s">
        <v>116</v>
      </c>
      <c r="G240" s="230">
        <v>43585.655798611115</v>
      </c>
      <c r="H240">
        <v>20000</v>
      </c>
      <c r="I240">
        <v>20000</v>
      </c>
      <c r="J240">
        <v>39300415</v>
      </c>
    </row>
    <row r="241" spans="1:10" x14ac:dyDescent="0.25">
      <c r="A241">
        <v>10442918</v>
      </c>
      <c r="B241" t="s">
        <v>131</v>
      </c>
      <c r="C241" t="s">
        <v>286</v>
      </c>
      <c r="D241">
        <v>2059</v>
      </c>
      <c r="E241">
        <v>984340562</v>
      </c>
      <c r="F241" t="s">
        <v>116</v>
      </c>
      <c r="G241" s="230">
        <v>43585.656342592592</v>
      </c>
      <c r="H241">
        <v>20000</v>
      </c>
      <c r="I241">
        <v>20000</v>
      </c>
      <c r="J241">
        <v>39300415</v>
      </c>
    </row>
    <row r="242" spans="1:10" x14ac:dyDescent="0.25">
      <c r="A242">
        <v>10442918</v>
      </c>
      <c r="B242" t="s">
        <v>131</v>
      </c>
      <c r="C242" t="s">
        <v>286</v>
      </c>
      <c r="D242">
        <v>2060</v>
      </c>
      <c r="E242">
        <v>984342281</v>
      </c>
      <c r="F242" t="s">
        <v>116</v>
      </c>
      <c r="G242" s="230">
        <v>43585.656956018516</v>
      </c>
      <c r="H242">
        <v>20000</v>
      </c>
      <c r="I242">
        <v>20000</v>
      </c>
      <c r="J242">
        <v>39300415</v>
      </c>
    </row>
    <row r="243" spans="1:10" x14ac:dyDescent="0.25">
      <c r="A243">
        <v>10442918</v>
      </c>
      <c r="B243" t="s">
        <v>131</v>
      </c>
      <c r="C243" t="s">
        <v>286</v>
      </c>
      <c r="D243">
        <v>2061</v>
      </c>
      <c r="E243">
        <v>984344424</v>
      </c>
      <c r="F243" t="s">
        <v>116</v>
      </c>
      <c r="G243" s="230">
        <v>43585.657719907409</v>
      </c>
      <c r="H243">
        <v>20000</v>
      </c>
      <c r="I243">
        <v>20000</v>
      </c>
      <c r="J243">
        <v>39300415</v>
      </c>
    </row>
    <row r="244" spans="1:10" x14ac:dyDescent="0.25">
      <c r="A244">
        <v>10442918</v>
      </c>
      <c r="B244" t="s">
        <v>131</v>
      </c>
      <c r="C244" t="s">
        <v>286</v>
      </c>
      <c r="D244">
        <v>2062</v>
      </c>
      <c r="E244">
        <v>984346000</v>
      </c>
      <c r="F244" t="s">
        <v>121</v>
      </c>
      <c r="G244" s="230">
        <v>43585.658275462964</v>
      </c>
      <c r="H244">
        <v>20000</v>
      </c>
      <c r="I244">
        <v>0</v>
      </c>
      <c r="J244">
        <v>39300415</v>
      </c>
    </row>
    <row r="245" spans="1:10" x14ac:dyDescent="0.25">
      <c r="A245">
        <v>10442918</v>
      </c>
      <c r="B245" t="s">
        <v>131</v>
      </c>
      <c r="C245" t="s">
        <v>286</v>
      </c>
      <c r="D245">
        <v>2064</v>
      </c>
      <c r="E245">
        <v>984347712</v>
      </c>
      <c r="F245" t="s">
        <v>121</v>
      </c>
      <c r="G245" s="230">
        <v>43585.658888888887</v>
      </c>
      <c r="H245">
        <v>20000</v>
      </c>
      <c r="I245">
        <v>0</v>
      </c>
      <c r="J245">
        <v>39300415</v>
      </c>
    </row>
    <row r="246" spans="1:10" x14ac:dyDescent="0.25">
      <c r="A246">
        <v>10442918</v>
      </c>
      <c r="B246" t="s">
        <v>131</v>
      </c>
      <c r="C246" t="s">
        <v>287</v>
      </c>
      <c r="D246">
        <v>2067</v>
      </c>
      <c r="E246">
        <v>984356209</v>
      </c>
      <c r="F246" t="s">
        <v>116</v>
      </c>
      <c r="G246" s="230">
        <v>43585.661874999998</v>
      </c>
      <c r="H246">
        <v>10000</v>
      </c>
      <c r="I246">
        <v>10000</v>
      </c>
      <c r="J246">
        <v>3.2302683500100499E+17</v>
      </c>
    </row>
    <row r="247" spans="1:10" x14ac:dyDescent="0.25">
      <c r="A247">
        <v>10442918</v>
      </c>
      <c r="B247" t="s">
        <v>131</v>
      </c>
      <c r="C247" t="s">
        <v>288</v>
      </c>
      <c r="D247">
        <v>2070</v>
      </c>
      <c r="E247">
        <v>984360174</v>
      </c>
      <c r="F247" t="s">
        <v>116</v>
      </c>
      <c r="G247" s="230">
        <v>43585.663287037038</v>
      </c>
      <c r="H247">
        <v>20000</v>
      </c>
      <c r="I247">
        <v>20000</v>
      </c>
      <c r="J247">
        <v>271030417</v>
      </c>
    </row>
    <row r="248" spans="1:10" x14ac:dyDescent="0.25">
      <c r="A248">
        <v>10442918</v>
      </c>
      <c r="B248" t="s">
        <v>131</v>
      </c>
      <c r="C248" t="s">
        <v>289</v>
      </c>
      <c r="D248">
        <v>2072</v>
      </c>
      <c r="E248">
        <v>984368695</v>
      </c>
      <c r="F248" t="s">
        <v>116</v>
      </c>
      <c r="G248" s="230">
        <v>43585.666388888887</v>
      </c>
      <c r="H248">
        <v>6000</v>
      </c>
      <c r="I248">
        <v>6000</v>
      </c>
      <c r="J248">
        <v>3.2203735300100499E+17</v>
      </c>
    </row>
    <row r="249" spans="1:10" x14ac:dyDescent="0.25">
      <c r="A249">
        <v>10442918</v>
      </c>
      <c r="B249" t="s">
        <v>131</v>
      </c>
      <c r="C249" t="s">
        <v>290</v>
      </c>
      <c r="D249">
        <v>2074</v>
      </c>
      <c r="E249">
        <v>984370959</v>
      </c>
      <c r="F249" t="s">
        <v>116</v>
      </c>
      <c r="G249" s="230">
        <v>43585.667210648149</v>
      </c>
      <c r="H249">
        <v>20000</v>
      </c>
      <c r="I249">
        <v>20000</v>
      </c>
      <c r="J249">
        <v>2.0807387300100499E+17</v>
      </c>
    </row>
    <row r="250" spans="1:10" x14ac:dyDescent="0.25">
      <c r="A250">
        <v>10442918</v>
      </c>
      <c r="B250" t="s">
        <v>131</v>
      </c>
      <c r="C250" t="s">
        <v>290</v>
      </c>
      <c r="D250">
        <v>2075</v>
      </c>
      <c r="E250">
        <v>984372664</v>
      </c>
      <c r="F250" t="s">
        <v>116</v>
      </c>
      <c r="G250" s="230">
        <v>43585.667824074073</v>
      </c>
      <c r="H250">
        <v>10000</v>
      </c>
      <c r="I250">
        <v>10000</v>
      </c>
      <c r="J250">
        <v>2.0807387300100499E+17</v>
      </c>
    </row>
    <row r="251" spans="1:10" x14ac:dyDescent="0.25">
      <c r="A251">
        <v>10442918</v>
      </c>
      <c r="B251" t="s">
        <v>131</v>
      </c>
      <c r="C251" t="s">
        <v>291</v>
      </c>
      <c r="D251">
        <v>2077</v>
      </c>
      <c r="E251">
        <v>984378316</v>
      </c>
      <c r="F251" t="s">
        <v>116</v>
      </c>
      <c r="G251" s="230">
        <v>43585.669814814813</v>
      </c>
      <c r="H251">
        <v>500</v>
      </c>
      <c r="I251">
        <v>500</v>
      </c>
      <c r="J251">
        <v>720245750</v>
      </c>
    </row>
    <row r="252" spans="1:10" x14ac:dyDescent="0.25">
      <c r="A252">
        <v>10442918</v>
      </c>
      <c r="B252" t="s">
        <v>131</v>
      </c>
      <c r="C252" t="s">
        <v>292</v>
      </c>
      <c r="D252">
        <v>2079</v>
      </c>
      <c r="E252">
        <v>984385000</v>
      </c>
      <c r="F252" t="s">
        <v>116</v>
      </c>
      <c r="G252" s="230">
        <v>43585.672164351854</v>
      </c>
      <c r="H252">
        <v>10000</v>
      </c>
      <c r="I252">
        <v>10000</v>
      </c>
    </row>
    <row r="253" spans="1:10" x14ac:dyDescent="0.25">
      <c r="A253">
        <v>10442918</v>
      </c>
      <c r="B253" t="s">
        <v>131</v>
      </c>
      <c r="C253" t="s">
        <v>293</v>
      </c>
      <c r="D253">
        <v>2081</v>
      </c>
      <c r="E253">
        <v>984388554</v>
      </c>
      <c r="F253" t="s">
        <v>116</v>
      </c>
      <c r="G253" s="230">
        <v>43585.673402777778</v>
      </c>
      <c r="H253">
        <v>500</v>
      </c>
      <c r="I253">
        <v>500</v>
      </c>
      <c r="J253">
        <v>15479192</v>
      </c>
    </row>
    <row r="254" spans="1:10" x14ac:dyDescent="0.25">
      <c r="A254">
        <v>10442918</v>
      </c>
      <c r="B254" t="s">
        <v>131</v>
      </c>
      <c r="C254" t="s">
        <v>288</v>
      </c>
      <c r="D254">
        <v>2085</v>
      </c>
      <c r="E254">
        <v>984395319</v>
      </c>
      <c r="F254" t="s">
        <v>135</v>
      </c>
      <c r="G254" s="230">
        <v>43585.675729166665</v>
      </c>
      <c r="H254">
        <v>20000</v>
      </c>
      <c r="I254">
        <v>0</v>
      </c>
      <c r="J254">
        <v>1010101010</v>
      </c>
    </row>
    <row r="255" spans="1:10" x14ac:dyDescent="0.25">
      <c r="A255">
        <v>10442918</v>
      </c>
      <c r="B255" t="s">
        <v>131</v>
      </c>
      <c r="C255" t="s">
        <v>288</v>
      </c>
      <c r="D255">
        <v>2087</v>
      </c>
      <c r="E255">
        <v>984397893</v>
      </c>
      <c r="F255" t="s">
        <v>135</v>
      </c>
      <c r="G255" s="230">
        <v>43585.676585648151</v>
      </c>
      <c r="H255">
        <v>20000</v>
      </c>
      <c r="I255">
        <v>0</v>
      </c>
      <c r="J255">
        <v>1010101010</v>
      </c>
    </row>
    <row r="256" spans="1:10" x14ac:dyDescent="0.25">
      <c r="A256">
        <v>10442918</v>
      </c>
      <c r="B256" t="s">
        <v>131</v>
      </c>
      <c r="C256" t="s">
        <v>294</v>
      </c>
      <c r="D256">
        <v>2090</v>
      </c>
      <c r="E256">
        <v>984401044</v>
      </c>
      <c r="F256" t="s">
        <v>116</v>
      </c>
      <c r="G256" s="230">
        <v>43585.67769675926</v>
      </c>
      <c r="H256">
        <v>1500</v>
      </c>
      <c r="I256">
        <v>1500</v>
      </c>
      <c r="J256">
        <v>731068454</v>
      </c>
    </row>
    <row r="257" spans="1:10" x14ac:dyDescent="0.25">
      <c r="A257">
        <v>10442918</v>
      </c>
      <c r="B257" t="s">
        <v>131</v>
      </c>
      <c r="C257" t="s">
        <v>295</v>
      </c>
      <c r="D257">
        <v>2092</v>
      </c>
      <c r="E257">
        <v>984404011</v>
      </c>
      <c r="F257" t="s">
        <v>198</v>
      </c>
      <c r="G257" s="230">
        <v>43585.678761574076</v>
      </c>
      <c r="H257">
        <v>20000</v>
      </c>
      <c r="I257">
        <v>0</v>
      </c>
      <c r="J257">
        <v>1010101010</v>
      </c>
    </row>
    <row r="258" spans="1:10" x14ac:dyDescent="0.25">
      <c r="A258">
        <v>10442918</v>
      </c>
      <c r="B258" t="s">
        <v>131</v>
      </c>
      <c r="C258" t="s">
        <v>295</v>
      </c>
      <c r="D258">
        <v>2094</v>
      </c>
      <c r="E258">
        <v>984407268</v>
      </c>
      <c r="F258" t="s">
        <v>198</v>
      </c>
      <c r="G258" s="230">
        <v>43585.679884259262</v>
      </c>
      <c r="H258">
        <v>15000</v>
      </c>
      <c r="I258">
        <v>0</v>
      </c>
      <c r="J258">
        <v>1010101010</v>
      </c>
    </row>
    <row r="259" spans="1:10" x14ac:dyDescent="0.25">
      <c r="A259">
        <v>10442918</v>
      </c>
      <c r="B259" t="s">
        <v>131</v>
      </c>
      <c r="C259" t="s">
        <v>296</v>
      </c>
      <c r="D259">
        <v>2100</v>
      </c>
      <c r="E259">
        <v>984422990</v>
      </c>
      <c r="F259" t="s">
        <v>116</v>
      </c>
      <c r="G259" s="230">
        <v>43585.685254629629</v>
      </c>
      <c r="H259">
        <v>15000</v>
      </c>
      <c r="I259">
        <v>15000</v>
      </c>
      <c r="J259">
        <v>12300650</v>
      </c>
    </row>
    <row r="260" spans="1:10" x14ac:dyDescent="0.25">
      <c r="A260">
        <v>10442918</v>
      </c>
      <c r="B260" t="s">
        <v>131</v>
      </c>
      <c r="C260" t="s">
        <v>297</v>
      </c>
      <c r="D260">
        <v>2102</v>
      </c>
      <c r="E260">
        <v>984438923</v>
      </c>
      <c r="F260" t="s">
        <v>116</v>
      </c>
      <c r="G260" s="230">
        <v>43585.690821759257</v>
      </c>
      <c r="H260">
        <v>5000</v>
      </c>
      <c r="I260">
        <v>5000</v>
      </c>
      <c r="J260">
        <v>90597164</v>
      </c>
    </row>
    <row r="261" spans="1:10" x14ac:dyDescent="0.25">
      <c r="A261">
        <v>10442918</v>
      </c>
      <c r="B261" t="s">
        <v>131</v>
      </c>
      <c r="C261" t="s">
        <v>298</v>
      </c>
      <c r="D261">
        <v>2104</v>
      </c>
      <c r="E261">
        <v>984441982</v>
      </c>
      <c r="F261" t="s">
        <v>116</v>
      </c>
      <c r="G261" s="230">
        <v>43585.69189814815</v>
      </c>
      <c r="H261">
        <v>2500</v>
      </c>
      <c r="I261">
        <v>2500</v>
      </c>
      <c r="J261">
        <v>3.21022675001E+17</v>
      </c>
    </row>
    <row r="262" spans="1:10" x14ac:dyDescent="0.25">
      <c r="A262">
        <v>10442918</v>
      </c>
      <c r="B262" t="s">
        <v>131</v>
      </c>
      <c r="C262" t="s">
        <v>299</v>
      </c>
      <c r="D262">
        <v>2106</v>
      </c>
      <c r="E262">
        <v>984444851</v>
      </c>
      <c r="F262" t="s">
        <v>116</v>
      </c>
      <c r="G262" s="230">
        <v>43585.692893518521</v>
      </c>
      <c r="H262">
        <v>10000</v>
      </c>
      <c r="I262">
        <v>10000</v>
      </c>
      <c r="J262">
        <v>3.27047579301E+17</v>
      </c>
    </row>
    <row r="263" spans="1:10" x14ac:dyDescent="0.25">
      <c r="A263">
        <v>10442918</v>
      </c>
      <c r="B263" t="s">
        <v>131</v>
      </c>
      <c r="C263" t="s">
        <v>300</v>
      </c>
      <c r="D263">
        <v>2108</v>
      </c>
      <c r="E263">
        <v>984448087</v>
      </c>
      <c r="F263" t="s">
        <v>116</v>
      </c>
      <c r="G263" s="230">
        <v>43585.694004629629</v>
      </c>
      <c r="H263">
        <v>15000</v>
      </c>
      <c r="I263">
        <v>15000</v>
      </c>
      <c r="J263">
        <v>38311969</v>
      </c>
    </row>
    <row r="264" spans="1:10" x14ac:dyDescent="0.25">
      <c r="A264">
        <v>10442918</v>
      </c>
      <c r="B264" t="s">
        <v>131</v>
      </c>
      <c r="C264" t="s">
        <v>301</v>
      </c>
      <c r="D264">
        <v>2113</v>
      </c>
      <c r="E264">
        <v>984461778</v>
      </c>
      <c r="F264" t="s">
        <v>116</v>
      </c>
      <c r="G264" s="230">
        <v>43585.698703703703</v>
      </c>
      <c r="H264">
        <v>20000</v>
      </c>
      <c r="I264">
        <v>20000</v>
      </c>
      <c r="J264">
        <v>6000159899</v>
      </c>
    </row>
    <row r="265" spans="1:10" x14ac:dyDescent="0.25">
      <c r="A265">
        <v>10442918</v>
      </c>
      <c r="B265" t="s">
        <v>131</v>
      </c>
      <c r="C265" t="s">
        <v>301</v>
      </c>
      <c r="D265">
        <v>2114</v>
      </c>
      <c r="E265">
        <v>984464092</v>
      </c>
      <c r="F265" t="s">
        <v>116</v>
      </c>
      <c r="G265" s="230">
        <v>43585.699479166666</v>
      </c>
      <c r="H265">
        <v>10000</v>
      </c>
      <c r="I265">
        <v>10000</v>
      </c>
      <c r="J265">
        <v>6000159899</v>
      </c>
    </row>
    <row r="266" spans="1:10" x14ac:dyDescent="0.25">
      <c r="A266">
        <v>10442918</v>
      </c>
      <c r="B266" t="s">
        <v>131</v>
      </c>
      <c r="C266" t="s">
        <v>302</v>
      </c>
      <c r="D266">
        <v>2116</v>
      </c>
      <c r="E266">
        <v>984466814</v>
      </c>
      <c r="F266" t="s">
        <v>116</v>
      </c>
      <c r="G266" s="230">
        <v>43585.700381944444</v>
      </c>
      <c r="H266">
        <v>1000</v>
      </c>
      <c r="I266">
        <v>1000</v>
      </c>
      <c r="J266">
        <v>3.1102213100100499E+17</v>
      </c>
    </row>
    <row r="267" spans="1:10" x14ac:dyDescent="0.25">
      <c r="A267">
        <v>10442918</v>
      </c>
      <c r="B267" t="s">
        <v>131</v>
      </c>
      <c r="C267" t="s">
        <v>303</v>
      </c>
      <c r="D267">
        <v>2121</v>
      </c>
      <c r="E267">
        <v>984479716</v>
      </c>
      <c r="F267" t="s">
        <v>116</v>
      </c>
      <c r="G267" s="230">
        <v>43585.704745370371</v>
      </c>
      <c r="H267">
        <v>20000</v>
      </c>
      <c r="I267">
        <v>20000</v>
      </c>
      <c r="J267">
        <v>39827866</v>
      </c>
    </row>
    <row r="268" spans="1:10" x14ac:dyDescent="0.25">
      <c r="A268">
        <v>10442918</v>
      </c>
      <c r="B268" t="s">
        <v>131</v>
      </c>
      <c r="C268" t="s">
        <v>136</v>
      </c>
      <c r="D268">
        <v>2123</v>
      </c>
      <c r="E268">
        <v>984485927</v>
      </c>
      <c r="F268" t="s">
        <v>116</v>
      </c>
      <c r="G268" s="230">
        <v>43585.706886574073</v>
      </c>
      <c r="H268">
        <v>10000</v>
      </c>
      <c r="I268">
        <v>10000</v>
      </c>
      <c r="J268">
        <v>17403243</v>
      </c>
    </row>
    <row r="269" spans="1:10" x14ac:dyDescent="0.25">
      <c r="A269">
        <v>10442918</v>
      </c>
      <c r="B269" t="s">
        <v>131</v>
      </c>
      <c r="C269" t="s">
        <v>304</v>
      </c>
      <c r="D269">
        <v>2126</v>
      </c>
      <c r="E269">
        <v>984492319</v>
      </c>
      <c r="F269" t="s">
        <v>117</v>
      </c>
      <c r="G269" s="230">
        <v>43585.709050925929</v>
      </c>
      <c r="H269">
        <v>20000</v>
      </c>
      <c r="I269">
        <v>0</v>
      </c>
      <c r="J269">
        <v>1281047118</v>
      </c>
    </row>
    <row r="270" spans="1:10" x14ac:dyDescent="0.25">
      <c r="A270">
        <v>10442918</v>
      </c>
      <c r="B270" t="s">
        <v>131</v>
      </c>
      <c r="C270" t="s">
        <v>304</v>
      </c>
      <c r="D270">
        <v>2127</v>
      </c>
      <c r="E270">
        <v>984492896</v>
      </c>
      <c r="F270" t="s">
        <v>117</v>
      </c>
      <c r="G270" s="230">
        <v>43585.70925925926</v>
      </c>
      <c r="H270">
        <v>20000</v>
      </c>
      <c r="I270">
        <v>0</v>
      </c>
      <c r="J270">
        <v>1281047118</v>
      </c>
    </row>
    <row r="271" spans="1:10" x14ac:dyDescent="0.25">
      <c r="A271">
        <v>10442918</v>
      </c>
      <c r="B271" t="s">
        <v>131</v>
      </c>
      <c r="C271" t="s">
        <v>304</v>
      </c>
      <c r="D271">
        <v>2128</v>
      </c>
      <c r="E271">
        <v>984494914</v>
      </c>
      <c r="F271" t="s">
        <v>305</v>
      </c>
      <c r="G271" s="230">
        <v>43585.709965277776</v>
      </c>
      <c r="H271">
        <v>20000</v>
      </c>
      <c r="I271">
        <v>0</v>
      </c>
      <c r="J271">
        <v>1281047118</v>
      </c>
    </row>
    <row r="272" spans="1:10" x14ac:dyDescent="0.25">
      <c r="A272">
        <v>10442918</v>
      </c>
      <c r="B272" t="s">
        <v>131</v>
      </c>
      <c r="C272" t="s">
        <v>306</v>
      </c>
      <c r="D272">
        <v>2130</v>
      </c>
      <c r="E272">
        <v>984497151</v>
      </c>
      <c r="F272" t="s">
        <v>116</v>
      </c>
      <c r="G272" s="230">
        <v>43585.7106712963</v>
      </c>
      <c r="H272">
        <v>40000</v>
      </c>
      <c r="I272">
        <v>40000</v>
      </c>
      <c r="J272">
        <v>58327814</v>
      </c>
    </row>
    <row r="273" spans="1:10" x14ac:dyDescent="0.25">
      <c r="A273">
        <v>10442918</v>
      </c>
      <c r="B273" t="s">
        <v>131</v>
      </c>
      <c r="C273" t="s">
        <v>306</v>
      </c>
      <c r="D273">
        <v>2131</v>
      </c>
      <c r="E273">
        <v>984499947</v>
      </c>
      <c r="F273" t="s">
        <v>116</v>
      </c>
      <c r="G273" s="230">
        <v>43585.711597222224</v>
      </c>
      <c r="H273">
        <v>25000</v>
      </c>
      <c r="I273">
        <v>25000</v>
      </c>
      <c r="J273">
        <v>58327814</v>
      </c>
    </row>
    <row r="274" spans="1:10" x14ac:dyDescent="0.25">
      <c r="A274">
        <v>10442918</v>
      </c>
      <c r="B274" t="s">
        <v>131</v>
      </c>
      <c r="C274" t="s">
        <v>307</v>
      </c>
      <c r="D274">
        <v>2134</v>
      </c>
      <c r="E274">
        <v>984503916</v>
      </c>
      <c r="F274" t="s">
        <v>116</v>
      </c>
      <c r="G274" s="230">
        <v>43585.71292824074</v>
      </c>
      <c r="H274">
        <v>1000</v>
      </c>
      <c r="I274">
        <v>1000</v>
      </c>
      <c r="J274">
        <v>94096892</v>
      </c>
    </row>
    <row r="275" spans="1:10" x14ac:dyDescent="0.25">
      <c r="A275">
        <v>10442918</v>
      </c>
      <c r="B275" t="s">
        <v>131</v>
      </c>
      <c r="C275" t="s">
        <v>304</v>
      </c>
      <c r="D275">
        <v>2136</v>
      </c>
      <c r="E275">
        <v>984506733</v>
      </c>
      <c r="F275" t="s">
        <v>305</v>
      </c>
      <c r="G275" s="230">
        <v>43585.713865740741</v>
      </c>
      <c r="H275">
        <v>20000</v>
      </c>
      <c r="I275">
        <v>0</v>
      </c>
      <c r="J275">
        <v>1281047118</v>
      </c>
    </row>
    <row r="276" spans="1:10" x14ac:dyDescent="0.25">
      <c r="A276">
        <v>10442918</v>
      </c>
      <c r="B276" t="s">
        <v>131</v>
      </c>
      <c r="C276" t="s">
        <v>308</v>
      </c>
      <c r="D276">
        <v>2138</v>
      </c>
      <c r="E276">
        <v>984509146</v>
      </c>
      <c r="F276" t="s">
        <v>116</v>
      </c>
      <c r="G276" s="230">
        <v>43585.71471064815</v>
      </c>
      <c r="H276">
        <v>20000</v>
      </c>
      <c r="I276">
        <v>20000</v>
      </c>
      <c r="J276">
        <v>60596882</v>
      </c>
    </row>
    <row r="277" spans="1:10" x14ac:dyDescent="0.25">
      <c r="A277">
        <v>10442918</v>
      </c>
      <c r="B277" t="s">
        <v>131</v>
      </c>
      <c r="C277" t="s">
        <v>308</v>
      </c>
      <c r="D277">
        <v>2139</v>
      </c>
      <c r="E277">
        <v>984511337</v>
      </c>
      <c r="F277" t="s">
        <v>116</v>
      </c>
      <c r="G277" s="230">
        <v>43585.715416666666</v>
      </c>
      <c r="H277">
        <v>7000</v>
      </c>
      <c r="I277">
        <v>7000</v>
      </c>
      <c r="J277">
        <v>60596882</v>
      </c>
    </row>
    <row r="278" spans="1:10" x14ac:dyDescent="0.25">
      <c r="A278">
        <v>10442918</v>
      </c>
      <c r="B278" t="s">
        <v>131</v>
      </c>
      <c r="C278" t="s">
        <v>309</v>
      </c>
      <c r="D278">
        <v>2142</v>
      </c>
      <c r="E278">
        <v>984518135</v>
      </c>
      <c r="F278" t="s">
        <v>116</v>
      </c>
      <c r="G278" s="230">
        <v>43585.717847222222</v>
      </c>
      <c r="H278">
        <v>2000</v>
      </c>
      <c r="I278">
        <v>2000</v>
      </c>
      <c r="J278">
        <v>2173860015</v>
      </c>
    </row>
    <row r="279" spans="1:10" x14ac:dyDescent="0.25">
      <c r="A279">
        <v>10442918</v>
      </c>
      <c r="B279" t="s">
        <v>131</v>
      </c>
      <c r="C279" t="s">
        <v>310</v>
      </c>
      <c r="D279">
        <v>2144</v>
      </c>
      <c r="E279">
        <v>984520584</v>
      </c>
      <c r="F279" t="s">
        <v>116</v>
      </c>
      <c r="G279" s="230">
        <v>43585.7187037037</v>
      </c>
      <c r="H279">
        <v>10000</v>
      </c>
      <c r="I279">
        <v>10000</v>
      </c>
      <c r="J279">
        <v>1010101010</v>
      </c>
    </row>
    <row r="280" spans="1:10" x14ac:dyDescent="0.25">
      <c r="A280">
        <v>10442918</v>
      </c>
      <c r="B280" t="s">
        <v>131</v>
      </c>
      <c r="C280" t="s">
        <v>311</v>
      </c>
      <c r="D280">
        <v>2146</v>
      </c>
      <c r="E280">
        <v>984523414</v>
      </c>
      <c r="F280" t="s">
        <v>179</v>
      </c>
      <c r="G280" s="230">
        <v>43585.719641203701</v>
      </c>
      <c r="H280">
        <v>20000</v>
      </c>
      <c r="I280">
        <v>0</v>
      </c>
    </row>
    <row r="281" spans="1:10" x14ac:dyDescent="0.25">
      <c r="A281">
        <v>10442918</v>
      </c>
      <c r="B281" t="s">
        <v>131</v>
      </c>
      <c r="C281" t="s">
        <v>312</v>
      </c>
      <c r="D281">
        <v>2148</v>
      </c>
      <c r="E281">
        <v>984527857</v>
      </c>
      <c r="F281" t="s">
        <v>228</v>
      </c>
      <c r="G281" s="230">
        <v>43585.721180555556</v>
      </c>
      <c r="H281">
        <v>500</v>
      </c>
      <c r="I281">
        <v>0</v>
      </c>
    </row>
    <row r="282" spans="1:10" x14ac:dyDescent="0.25">
      <c r="A282">
        <v>10442918</v>
      </c>
      <c r="B282" t="s">
        <v>131</v>
      </c>
      <c r="C282" t="s">
        <v>313</v>
      </c>
      <c r="D282">
        <v>2150</v>
      </c>
      <c r="E282">
        <v>984536077</v>
      </c>
      <c r="F282" t="s">
        <v>228</v>
      </c>
      <c r="G282" s="230">
        <v>43585.724050925928</v>
      </c>
      <c r="H282">
        <v>20000</v>
      </c>
      <c r="I282">
        <v>0</v>
      </c>
    </row>
    <row r="283" spans="1:10" x14ac:dyDescent="0.25">
      <c r="A283">
        <v>10442918</v>
      </c>
      <c r="B283" t="s">
        <v>131</v>
      </c>
      <c r="C283" t="s">
        <v>314</v>
      </c>
      <c r="D283">
        <v>2152</v>
      </c>
      <c r="E283">
        <v>984541106</v>
      </c>
      <c r="F283" t="s">
        <v>116</v>
      </c>
      <c r="G283" s="230">
        <v>43585.725868055553</v>
      </c>
      <c r="H283">
        <v>20000</v>
      </c>
      <c r="I283">
        <v>20000</v>
      </c>
      <c r="J283">
        <v>35443289</v>
      </c>
    </row>
    <row r="284" spans="1:10" x14ac:dyDescent="0.25">
      <c r="A284">
        <v>10442918</v>
      </c>
      <c r="B284" t="s">
        <v>131</v>
      </c>
      <c r="C284" t="s">
        <v>315</v>
      </c>
      <c r="D284">
        <v>2154</v>
      </c>
      <c r="E284">
        <v>984544469</v>
      </c>
      <c r="F284" t="s">
        <v>116</v>
      </c>
      <c r="G284" s="230">
        <v>43585.726863425924</v>
      </c>
      <c r="H284">
        <v>5000</v>
      </c>
      <c r="I284">
        <v>5000</v>
      </c>
      <c r="J284">
        <v>78138602</v>
      </c>
    </row>
    <row r="285" spans="1:10" x14ac:dyDescent="0.25">
      <c r="A285">
        <v>10442918</v>
      </c>
      <c r="B285" t="s">
        <v>131</v>
      </c>
      <c r="C285" t="s">
        <v>316</v>
      </c>
      <c r="D285">
        <v>2157</v>
      </c>
      <c r="E285">
        <v>984550085</v>
      </c>
      <c r="F285" t="s">
        <v>317</v>
      </c>
      <c r="G285" s="230">
        <v>43585.728726851848</v>
      </c>
      <c r="H285">
        <v>10000</v>
      </c>
      <c r="I285">
        <v>0</v>
      </c>
      <c r="J285">
        <v>86080931</v>
      </c>
    </row>
    <row r="286" spans="1:10" x14ac:dyDescent="0.25">
      <c r="A286">
        <v>10442918</v>
      </c>
      <c r="B286" t="s">
        <v>131</v>
      </c>
      <c r="C286" t="s">
        <v>318</v>
      </c>
      <c r="D286">
        <v>2164</v>
      </c>
      <c r="E286">
        <v>984576640</v>
      </c>
      <c r="F286" t="s">
        <v>116</v>
      </c>
      <c r="G286" s="230">
        <v>43585.73773148148</v>
      </c>
      <c r="H286">
        <v>5000</v>
      </c>
      <c r="I286">
        <v>5000</v>
      </c>
      <c r="J286">
        <v>690595138</v>
      </c>
    </row>
    <row r="287" spans="1:10" x14ac:dyDescent="0.25">
      <c r="A287">
        <v>10442918</v>
      </c>
      <c r="B287" t="s">
        <v>131</v>
      </c>
      <c r="C287" t="s">
        <v>319</v>
      </c>
      <c r="D287">
        <v>2166</v>
      </c>
      <c r="E287">
        <v>984579708</v>
      </c>
      <c r="F287" t="s">
        <v>116</v>
      </c>
      <c r="G287" s="230">
        <v>43585.738749999997</v>
      </c>
      <c r="H287">
        <v>6000</v>
      </c>
      <c r="I287">
        <v>6000</v>
      </c>
      <c r="J287">
        <v>689489620</v>
      </c>
    </row>
    <row r="288" spans="1:10" x14ac:dyDescent="0.25">
      <c r="A288">
        <v>10442918</v>
      </c>
      <c r="B288" t="s">
        <v>131</v>
      </c>
      <c r="C288" t="s">
        <v>320</v>
      </c>
      <c r="D288">
        <v>2168</v>
      </c>
      <c r="E288">
        <v>984582088</v>
      </c>
      <c r="F288" t="s">
        <v>116</v>
      </c>
      <c r="G288" s="230">
        <v>43585.739560185182</v>
      </c>
      <c r="H288">
        <v>20000</v>
      </c>
      <c r="I288">
        <v>20000</v>
      </c>
      <c r="J288">
        <v>2008173230</v>
      </c>
    </row>
    <row r="289" spans="1:10" x14ac:dyDescent="0.25">
      <c r="A289">
        <v>10442918</v>
      </c>
      <c r="B289" t="s">
        <v>131</v>
      </c>
      <c r="C289" t="s">
        <v>320</v>
      </c>
      <c r="D289">
        <v>2169</v>
      </c>
      <c r="E289">
        <v>984584503</v>
      </c>
      <c r="F289" t="s">
        <v>116</v>
      </c>
      <c r="G289" s="230">
        <v>43585.740393518521</v>
      </c>
      <c r="H289">
        <v>3000</v>
      </c>
      <c r="I289">
        <v>3000</v>
      </c>
      <c r="J289">
        <v>2008173230</v>
      </c>
    </row>
    <row r="290" spans="1:10" x14ac:dyDescent="0.25">
      <c r="A290">
        <v>10442918</v>
      </c>
      <c r="B290" t="s">
        <v>131</v>
      </c>
      <c r="C290" t="s">
        <v>321</v>
      </c>
      <c r="D290">
        <v>2171</v>
      </c>
      <c r="E290">
        <v>984587091</v>
      </c>
      <c r="F290" t="s">
        <v>116</v>
      </c>
      <c r="G290" s="230">
        <v>43585.741273148145</v>
      </c>
      <c r="H290">
        <v>8000</v>
      </c>
      <c r="I290">
        <v>8000</v>
      </c>
      <c r="J290">
        <v>7224941</v>
      </c>
    </row>
    <row r="291" spans="1:10" x14ac:dyDescent="0.25">
      <c r="A291">
        <v>10442918</v>
      </c>
      <c r="B291" t="s">
        <v>131</v>
      </c>
      <c r="C291" t="s">
        <v>322</v>
      </c>
      <c r="D291">
        <v>2173</v>
      </c>
      <c r="E291">
        <v>984589501</v>
      </c>
      <c r="F291" t="s">
        <v>116</v>
      </c>
      <c r="G291" s="230">
        <v>43585.742094907408</v>
      </c>
      <c r="H291">
        <v>1000</v>
      </c>
      <c r="I291">
        <v>1000</v>
      </c>
      <c r="J291">
        <v>762634482</v>
      </c>
    </row>
    <row r="292" spans="1:10" x14ac:dyDescent="0.25">
      <c r="A292">
        <v>10442918</v>
      </c>
      <c r="B292" t="s">
        <v>131</v>
      </c>
      <c r="C292" t="s">
        <v>323</v>
      </c>
      <c r="D292">
        <v>2177</v>
      </c>
      <c r="E292">
        <v>984597550</v>
      </c>
      <c r="F292" t="s">
        <v>116</v>
      </c>
      <c r="G292" s="230">
        <v>43585.744814814818</v>
      </c>
      <c r="H292">
        <v>6000</v>
      </c>
      <c r="I292">
        <v>6000</v>
      </c>
      <c r="J292">
        <v>77120152</v>
      </c>
    </row>
    <row r="293" spans="1:10" x14ac:dyDescent="0.25">
      <c r="A293">
        <v>10442918</v>
      </c>
      <c r="B293" t="s">
        <v>131</v>
      </c>
      <c r="C293" t="s">
        <v>323</v>
      </c>
      <c r="D293">
        <v>2179</v>
      </c>
      <c r="E293">
        <v>984601810</v>
      </c>
      <c r="F293" t="s">
        <v>116</v>
      </c>
      <c r="G293" s="230">
        <v>43585.746307870373</v>
      </c>
      <c r="H293">
        <v>3000</v>
      </c>
      <c r="I293">
        <v>3000</v>
      </c>
      <c r="J293">
        <v>77120152</v>
      </c>
    </row>
    <row r="294" spans="1:10" x14ac:dyDescent="0.25">
      <c r="A294">
        <v>10442918</v>
      </c>
      <c r="B294" t="s">
        <v>131</v>
      </c>
      <c r="C294" t="s">
        <v>324</v>
      </c>
      <c r="D294">
        <v>2181</v>
      </c>
      <c r="E294">
        <v>984607152</v>
      </c>
      <c r="F294" t="s">
        <v>116</v>
      </c>
      <c r="G294" s="230">
        <v>43585.748136574075</v>
      </c>
      <c r="H294">
        <v>2000</v>
      </c>
      <c r="I294">
        <v>2000</v>
      </c>
      <c r="J294">
        <v>2051652632</v>
      </c>
    </row>
    <row r="295" spans="1:10" x14ac:dyDescent="0.25">
      <c r="A295">
        <v>10442918</v>
      </c>
      <c r="B295" t="s">
        <v>131</v>
      </c>
      <c r="C295" t="s">
        <v>325</v>
      </c>
      <c r="D295">
        <v>2183</v>
      </c>
      <c r="E295">
        <v>984609996</v>
      </c>
      <c r="F295" t="s">
        <v>116</v>
      </c>
      <c r="G295" s="230">
        <v>43585.749097222222</v>
      </c>
      <c r="H295">
        <v>1000</v>
      </c>
      <c r="I295">
        <v>1000</v>
      </c>
      <c r="J295">
        <v>689665813</v>
      </c>
    </row>
    <row r="296" spans="1:10" x14ac:dyDescent="0.25">
      <c r="A296">
        <v>10442918</v>
      </c>
      <c r="B296" t="s">
        <v>131</v>
      </c>
      <c r="C296" t="s">
        <v>326</v>
      </c>
      <c r="D296">
        <v>2188</v>
      </c>
      <c r="E296">
        <v>984616030</v>
      </c>
      <c r="F296" t="s">
        <v>228</v>
      </c>
      <c r="G296" s="230">
        <v>43585.751168981478</v>
      </c>
      <c r="H296">
        <v>2000</v>
      </c>
      <c r="I296">
        <v>0</v>
      </c>
      <c r="J296">
        <v>2.74148380501E+17</v>
      </c>
    </row>
    <row r="297" spans="1:10" x14ac:dyDescent="0.25">
      <c r="A297">
        <v>10442918</v>
      </c>
      <c r="B297" t="s">
        <v>131</v>
      </c>
      <c r="C297" t="s">
        <v>327</v>
      </c>
      <c r="D297">
        <v>2190</v>
      </c>
      <c r="E297">
        <v>984619202</v>
      </c>
      <c r="F297" t="s">
        <v>116</v>
      </c>
      <c r="G297" s="230">
        <v>43585.752210648148</v>
      </c>
      <c r="H297">
        <v>3500</v>
      </c>
      <c r="I297">
        <v>3500</v>
      </c>
      <c r="J297">
        <v>1010101010</v>
      </c>
    </row>
    <row r="298" spans="1:10" x14ac:dyDescent="0.25">
      <c r="A298">
        <v>10442918</v>
      </c>
      <c r="B298" t="s">
        <v>131</v>
      </c>
      <c r="C298" t="s">
        <v>328</v>
      </c>
      <c r="D298">
        <v>2192</v>
      </c>
      <c r="E298">
        <v>984621966</v>
      </c>
      <c r="F298" t="s">
        <v>116</v>
      </c>
      <c r="G298" s="230">
        <v>43585.753148148149</v>
      </c>
      <c r="H298">
        <v>20000</v>
      </c>
      <c r="I298">
        <v>20000</v>
      </c>
      <c r="J298">
        <v>52553309</v>
      </c>
    </row>
    <row r="299" spans="1:10" x14ac:dyDescent="0.25">
      <c r="A299">
        <v>10442918</v>
      </c>
      <c r="B299" t="s">
        <v>131</v>
      </c>
      <c r="C299" t="s">
        <v>328</v>
      </c>
      <c r="D299">
        <v>2193</v>
      </c>
      <c r="E299">
        <v>984624120</v>
      </c>
      <c r="F299" t="s">
        <v>116</v>
      </c>
      <c r="G299" s="230">
        <v>43585.753888888888</v>
      </c>
      <c r="H299">
        <v>10000</v>
      </c>
      <c r="I299">
        <v>10000</v>
      </c>
      <c r="J299">
        <v>52553309</v>
      </c>
    </row>
    <row r="300" spans="1:10" x14ac:dyDescent="0.25">
      <c r="A300">
        <v>10442918</v>
      </c>
      <c r="B300" t="s">
        <v>131</v>
      </c>
      <c r="C300" t="s">
        <v>329</v>
      </c>
      <c r="D300">
        <v>2195</v>
      </c>
      <c r="E300">
        <v>984628129</v>
      </c>
      <c r="F300" t="s">
        <v>116</v>
      </c>
      <c r="G300" s="230">
        <v>43585.755266203705</v>
      </c>
      <c r="H300">
        <v>5000</v>
      </c>
      <c r="I300">
        <v>5000</v>
      </c>
      <c r="J300">
        <v>19524372</v>
      </c>
    </row>
    <row r="301" spans="1:10" x14ac:dyDescent="0.25">
      <c r="A301">
        <v>10442918</v>
      </c>
      <c r="B301" t="s">
        <v>131</v>
      </c>
      <c r="C301" t="s">
        <v>330</v>
      </c>
      <c r="D301">
        <v>2197</v>
      </c>
      <c r="E301">
        <v>984638693</v>
      </c>
      <c r="F301" t="s">
        <v>116</v>
      </c>
      <c r="G301" s="230">
        <v>43585.759027777778</v>
      </c>
      <c r="H301">
        <v>40000</v>
      </c>
      <c r="I301">
        <v>40000</v>
      </c>
      <c r="J301">
        <v>696481307</v>
      </c>
    </row>
    <row r="302" spans="1:10" x14ac:dyDescent="0.25">
      <c r="A302">
        <v>10442918</v>
      </c>
      <c r="B302" t="s">
        <v>131</v>
      </c>
      <c r="C302" t="s">
        <v>330</v>
      </c>
      <c r="D302">
        <v>2198</v>
      </c>
      <c r="E302">
        <v>984640397</v>
      </c>
      <c r="F302" t="s">
        <v>116</v>
      </c>
      <c r="G302" s="230">
        <v>43585.759664351855</v>
      </c>
      <c r="H302">
        <v>40000</v>
      </c>
      <c r="I302">
        <v>40000</v>
      </c>
      <c r="J302">
        <v>696481307</v>
      </c>
    </row>
    <row r="303" spans="1:10" x14ac:dyDescent="0.25">
      <c r="A303">
        <v>10442918</v>
      </c>
      <c r="B303" t="s">
        <v>131</v>
      </c>
      <c r="C303" t="s">
        <v>330</v>
      </c>
      <c r="D303">
        <v>2199</v>
      </c>
      <c r="E303">
        <v>984642558</v>
      </c>
      <c r="F303" t="s">
        <v>116</v>
      </c>
      <c r="G303" s="230">
        <v>43585.760439814818</v>
      </c>
      <c r="H303">
        <v>30000</v>
      </c>
      <c r="I303">
        <v>30000</v>
      </c>
      <c r="J303">
        <v>696481307</v>
      </c>
    </row>
    <row r="304" spans="1:10" x14ac:dyDescent="0.25">
      <c r="A304">
        <v>10442918</v>
      </c>
      <c r="B304" t="s">
        <v>131</v>
      </c>
      <c r="C304" t="s">
        <v>331</v>
      </c>
      <c r="D304">
        <v>2201</v>
      </c>
      <c r="E304">
        <v>984647595</v>
      </c>
      <c r="F304" t="s">
        <v>116</v>
      </c>
      <c r="G304" s="230">
        <v>43585.762233796297</v>
      </c>
      <c r="H304">
        <v>5000</v>
      </c>
      <c r="I304">
        <v>5000</v>
      </c>
      <c r="J304">
        <v>45827103</v>
      </c>
    </row>
    <row r="305" spans="1:10" x14ac:dyDescent="0.25">
      <c r="A305">
        <v>10442918</v>
      </c>
      <c r="B305" t="s">
        <v>131</v>
      </c>
      <c r="C305" t="s">
        <v>332</v>
      </c>
      <c r="D305">
        <v>2203</v>
      </c>
      <c r="E305">
        <v>984651403</v>
      </c>
      <c r="F305" t="s">
        <v>116</v>
      </c>
      <c r="G305" s="230">
        <v>43585.763622685183</v>
      </c>
      <c r="H305">
        <v>5000</v>
      </c>
      <c r="I305">
        <v>5000</v>
      </c>
      <c r="J305">
        <v>53104894</v>
      </c>
    </row>
    <row r="306" spans="1:10" x14ac:dyDescent="0.25">
      <c r="A306">
        <v>10442918</v>
      </c>
      <c r="B306" t="s">
        <v>131</v>
      </c>
      <c r="C306" t="s">
        <v>333</v>
      </c>
      <c r="D306">
        <v>2205</v>
      </c>
      <c r="E306">
        <v>984653943</v>
      </c>
      <c r="F306" t="s">
        <v>116</v>
      </c>
      <c r="G306" s="230">
        <v>43585.764525462961</v>
      </c>
      <c r="H306">
        <v>20000</v>
      </c>
      <c r="I306">
        <v>20000</v>
      </c>
      <c r="J306">
        <v>4719824</v>
      </c>
    </row>
    <row r="307" spans="1:10" x14ac:dyDescent="0.25">
      <c r="A307">
        <v>10442918</v>
      </c>
      <c r="B307" t="s">
        <v>131</v>
      </c>
      <c r="C307" t="s">
        <v>326</v>
      </c>
      <c r="D307">
        <v>2207</v>
      </c>
      <c r="E307">
        <v>984656600</v>
      </c>
      <c r="F307" t="s">
        <v>228</v>
      </c>
      <c r="G307" s="230">
        <v>43585.765486111108</v>
      </c>
      <c r="H307">
        <v>2000</v>
      </c>
      <c r="I307">
        <v>0</v>
      </c>
      <c r="J307">
        <v>2.74148380501E+17</v>
      </c>
    </row>
    <row r="308" spans="1:10" x14ac:dyDescent="0.25">
      <c r="A308">
        <v>10442918</v>
      </c>
      <c r="B308" t="s">
        <v>131</v>
      </c>
      <c r="C308" t="s">
        <v>326</v>
      </c>
      <c r="D308">
        <v>2211</v>
      </c>
      <c r="E308">
        <v>984665269</v>
      </c>
      <c r="F308" t="s">
        <v>116</v>
      </c>
      <c r="G308" s="230">
        <v>43585.768506944441</v>
      </c>
      <c r="H308">
        <v>2000</v>
      </c>
      <c r="I308">
        <v>2000</v>
      </c>
      <c r="J308">
        <v>2.74148380501E+17</v>
      </c>
    </row>
    <row r="309" spans="1:10" x14ac:dyDescent="0.25">
      <c r="A309">
        <v>10442918</v>
      </c>
      <c r="B309" t="s">
        <v>131</v>
      </c>
      <c r="C309" t="s">
        <v>334</v>
      </c>
      <c r="D309">
        <v>2213</v>
      </c>
      <c r="E309">
        <v>984670374</v>
      </c>
      <c r="F309" t="s">
        <v>116</v>
      </c>
      <c r="G309" s="230">
        <v>43585.770358796297</v>
      </c>
      <c r="H309">
        <v>5000</v>
      </c>
      <c r="I309">
        <v>5000</v>
      </c>
      <c r="J309">
        <v>731590382</v>
      </c>
    </row>
    <row r="310" spans="1:10" x14ac:dyDescent="0.25">
      <c r="A310">
        <v>10442918</v>
      </c>
      <c r="B310" t="s">
        <v>131</v>
      </c>
      <c r="C310" t="s">
        <v>335</v>
      </c>
      <c r="D310">
        <v>2215</v>
      </c>
      <c r="E310">
        <v>984672870</v>
      </c>
      <c r="F310" t="s">
        <v>116</v>
      </c>
      <c r="G310" s="230">
        <v>43585.771261574075</v>
      </c>
      <c r="H310">
        <v>2000</v>
      </c>
      <c r="I310">
        <v>2000</v>
      </c>
      <c r="J310">
        <v>3363272014</v>
      </c>
    </row>
    <row r="311" spans="1:10" x14ac:dyDescent="0.25">
      <c r="A311">
        <v>10442918</v>
      </c>
      <c r="B311" t="s">
        <v>131</v>
      </c>
      <c r="C311" t="s">
        <v>336</v>
      </c>
      <c r="D311">
        <v>2217</v>
      </c>
      <c r="E311">
        <v>984685521</v>
      </c>
      <c r="F311" t="s">
        <v>116</v>
      </c>
      <c r="G311" s="230">
        <v>43585.775891203702</v>
      </c>
      <c r="H311">
        <v>5000</v>
      </c>
      <c r="I311">
        <v>5000</v>
      </c>
      <c r="J311">
        <v>728827730</v>
      </c>
    </row>
    <row r="312" spans="1:10" x14ac:dyDescent="0.25">
      <c r="A312">
        <v>10442918</v>
      </c>
      <c r="B312" t="s">
        <v>131</v>
      </c>
      <c r="C312" t="s">
        <v>337</v>
      </c>
      <c r="D312">
        <v>2219</v>
      </c>
      <c r="E312">
        <v>984688242</v>
      </c>
      <c r="F312" t="s">
        <v>116</v>
      </c>
      <c r="G312" s="230">
        <v>43585.776932870373</v>
      </c>
      <c r="H312">
        <v>7000</v>
      </c>
      <c r="I312">
        <v>7000</v>
      </c>
      <c r="J312">
        <v>3483377</v>
      </c>
    </row>
    <row r="313" spans="1:10" x14ac:dyDescent="0.25">
      <c r="A313">
        <v>10442918</v>
      </c>
      <c r="B313" t="s">
        <v>131</v>
      </c>
      <c r="C313" t="s">
        <v>338</v>
      </c>
      <c r="D313">
        <v>2221</v>
      </c>
      <c r="E313">
        <v>984690424</v>
      </c>
      <c r="F313" t="s">
        <v>116</v>
      </c>
      <c r="G313" s="230">
        <v>43585.777754629627</v>
      </c>
      <c r="H313">
        <v>10000</v>
      </c>
      <c r="I313">
        <v>10000</v>
      </c>
      <c r="J313">
        <v>3024113887</v>
      </c>
    </row>
    <row r="314" spans="1:10" x14ac:dyDescent="0.25">
      <c r="A314">
        <v>10442918</v>
      </c>
      <c r="B314" t="s">
        <v>131</v>
      </c>
      <c r="C314" t="s">
        <v>339</v>
      </c>
      <c r="D314">
        <v>2223</v>
      </c>
      <c r="E314">
        <v>984692889</v>
      </c>
      <c r="F314" t="s">
        <v>116</v>
      </c>
      <c r="G314" s="230">
        <v>43585.778668981482</v>
      </c>
      <c r="H314">
        <v>500</v>
      </c>
      <c r="I314">
        <v>500</v>
      </c>
      <c r="J314">
        <v>44294003</v>
      </c>
    </row>
    <row r="315" spans="1:10" x14ac:dyDescent="0.25">
      <c r="A315">
        <v>10442918</v>
      </c>
      <c r="B315" t="s">
        <v>131</v>
      </c>
      <c r="C315" t="s">
        <v>340</v>
      </c>
      <c r="D315">
        <v>2226</v>
      </c>
      <c r="E315">
        <v>984697574</v>
      </c>
      <c r="F315" t="s">
        <v>116</v>
      </c>
      <c r="G315" s="230">
        <v>43585.780428240738</v>
      </c>
      <c r="H315">
        <v>20000</v>
      </c>
      <c r="I315">
        <v>20000</v>
      </c>
      <c r="J315">
        <v>3.21026625601E+17</v>
      </c>
    </row>
    <row r="316" spans="1:10" x14ac:dyDescent="0.25">
      <c r="A316">
        <v>10442918</v>
      </c>
      <c r="B316" t="s">
        <v>131</v>
      </c>
      <c r="C316" t="s">
        <v>341</v>
      </c>
      <c r="D316">
        <v>2228</v>
      </c>
      <c r="E316">
        <v>984700676</v>
      </c>
      <c r="F316" t="s">
        <v>116</v>
      </c>
      <c r="G316" s="230">
        <v>43585.781574074077</v>
      </c>
      <c r="H316">
        <v>20000</v>
      </c>
      <c r="I316">
        <v>20000</v>
      </c>
      <c r="J316">
        <v>2004127747</v>
      </c>
    </row>
    <row r="317" spans="1:10" x14ac:dyDescent="0.25">
      <c r="A317">
        <v>10442918</v>
      </c>
      <c r="B317" t="s">
        <v>131</v>
      </c>
      <c r="C317" t="s">
        <v>341</v>
      </c>
      <c r="D317">
        <v>2229</v>
      </c>
      <c r="E317">
        <v>984702501</v>
      </c>
      <c r="F317" t="s">
        <v>116</v>
      </c>
      <c r="G317" s="230">
        <v>43585.782256944447</v>
      </c>
      <c r="H317">
        <v>20000</v>
      </c>
      <c r="I317">
        <v>20000</v>
      </c>
      <c r="J317">
        <v>2004127747</v>
      </c>
    </row>
    <row r="318" spans="1:10" x14ac:dyDescent="0.25">
      <c r="A318">
        <v>10442918</v>
      </c>
      <c r="B318" t="s">
        <v>131</v>
      </c>
      <c r="C318" t="s">
        <v>341</v>
      </c>
      <c r="D318">
        <v>2230</v>
      </c>
      <c r="E318">
        <v>984704640</v>
      </c>
      <c r="F318" t="s">
        <v>116</v>
      </c>
      <c r="G318" s="230">
        <v>43585.783055555556</v>
      </c>
      <c r="H318">
        <v>9000</v>
      </c>
      <c r="I318">
        <v>9000</v>
      </c>
      <c r="J318">
        <v>2004127747</v>
      </c>
    </row>
    <row r="319" spans="1:10" x14ac:dyDescent="0.25">
      <c r="A319">
        <v>10442918</v>
      </c>
      <c r="B319" t="s">
        <v>131</v>
      </c>
      <c r="C319" t="s">
        <v>342</v>
      </c>
      <c r="D319">
        <v>2232</v>
      </c>
      <c r="E319">
        <v>984707167</v>
      </c>
      <c r="F319" t="s">
        <v>116</v>
      </c>
      <c r="G319" s="230">
        <v>43585.783993055556</v>
      </c>
      <c r="H319">
        <v>20000</v>
      </c>
      <c r="I319">
        <v>20000</v>
      </c>
      <c r="J319">
        <v>2016549511</v>
      </c>
    </row>
    <row r="320" spans="1:10" x14ac:dyDescent="0.25">
      <c r="A320">
        <v>10442918</v>
      </c>
      <c r="B320" t="s">
        <v>131</v>
      </c>
      <c r="C320" t="s">
        <v>342</v>
      </c>
      <c r="D320">
        <v>2233</v>
      </c>
      <c r="E320">
        <v>984709424</v>
      </c>
      <c r="F320" t="s">
        <v>116</v>
      </c>
      <c r="G320" s="230">
        <v>43585.784837962965</v>
      </c>
      <c r="H320">
        <v>20000</v>
      </c>
      <c r="I320">
        <v>20000</v>
      </c>
      <c r="J320">
        <v>2016549511</v>
      </c>
    </row>
    <row r="321" spans="1:10" x14ac:dyDescent="0.25">
      <c r="A321">
        <v>10442918</v>
      </c>
      <c r="B321" t="s">
        <v>131</v>
      </c>
      <c r="C321" t="s">
        <v>342</v>
      </c>
      <c r="D321">
        <v>2234</v>
      </c>
      <c r="E321">
        <v>984711711</v>
      </c>
      <c r="F321" t="s">
        <v>116</v>
      </c>
      <c r="G321" s="230">
        <v>43585.785740740743</v>
      </c>
      <c r="H321">
        <v>19000</v>
      </c>
      <c r="I321">
        <v>19000</v>
      </c>
      <c r="J321">
        <v>2016549511</v>
      </c>
    </row>
    <row r="322" spans="1:10" x14ac:dyDescent="0.25">
      <c r="A322">
        <v>10442918</v>
      </c>
      <c r="B322" t="s">
        <v>131</v>
      </c>
      <c r="C322" t="s">
        <v>343</v>
      </c>
      <c r="D322">
        <v>2236</v>
      </c>
      <c r="E322">
        <v>984714240</v>
      </c>
      <c r="F322" t="s">
        <v>116</v>
      </c>
      <c r="G322" s="230">
        <v>43585.786678240744</v>
      </c>
      <c r="H322">
        <v>500</v>
      </c>
      <c r="I322">
        <v>500</v>
      </c>
      <c r="J322">
        <v>31697272</v>
      </c>
    </row>
    <row r="323" spans="1:10" x14ac:dyDescent="0.25">
      <c r="A323">
        <v>10442918</v>
      </c>
      <c r="B323" t="s">
        <v>131</v>
      </c>
      <c r="C323" t="s">
        <v>344</v>
      </c>
      <c r="D323">
        <v>2238</v>
      </c>
      <c r="E323">
        <v>984717883</v>
      </c>
      <c r="F323" t="s">
        <v>116</v>
      </c>
      <c r="G323" s="230">
        <v>43585.788078703707</v>
      </c>
      <c r="H323">
        <v>2500</v>
      </c>
      <c r="I323">
        <v>2500</v>
      </c>
      <c r="J323">
        <v>731462650</v>
      </c>
    </row>
    <row r="324" spans="1:10" x14ac:dyDescent="0.25">
      <c r="A324">
        <v>10442918</v>
      </c>
      <c r="B324" t="s">
        <v>131</v>
      </c>
      <c r="C324" t="s">
        <v>345</v>
      </c>
      <c r="D324">
        <v>2240</v>
      </c>
      <c r="E324">
        <v>984719964</v>
      </c>
      <c r="F324" t="s">
        <v>116</v>
      </c>
      <c r="G324" s="230">
        <v>43585.788877314815</v>
      </c>
      <c r="H324">
        <v>20000</v>
      </c>
      <c r="I324">
        <v>20000</v>
      </c>
      <c r="J324">
        <v>3.81036011301E+17</v>
      </c>
    </row>
    <row r="325" spans="1:10" x14ac:dyDescent="0.25">
      <c r="A325">
        <v>10442918</v>
      </c>
      <c r="B325" t="s">
        <v>131</v>
      </c>
      <c r="C325" t="s">
        <v>346</v>
      </c>
      <c r="D325">
        <v>2242</v>
      </c>
      <c r="E325">
        <v>984729800</v>
      </c>
      <c r="F325" t="s">
        <v>116</v>
      </c>
      <c r="G325" s="230">
        <v>43585.792685185188</v>
      </c>
      <c r="H325">
        <v>14000</v>
      </c>
      <c r="I325">
        <v>14000</v>
      </c>
      <c r="J325">
        <v>35120693</v>
      </c>
    </row>
    <row r="326" spans="1:10" x14ac:dyDescent="0.25">
      <c r="A326">
        <v>10442918</v>
      </c>
      <c r="B326" t="s">
        <v>131</v>
      </c>
      <c r="C326" t="s">
        <v>347</v>
      </c>
      <c r="D326">
        <v>2245</v>
      </c>
      <c r="E326">
        <v>984735331</v>
      </c>
      <c r="F326" t="s">
        <v>118</v>
      </c>
      <c r="G326" s="230">
        <v>43585.794733796298</v>
      </c>
      <c r="H326">
        <v>2000</v>
      </c>
      <c r="I326">
        <v>0</v>
      </c>
    </row>
    <row r="327" spans="1:10" x14ac:dyDescent="0.25">
      <c r="A327">
        <v>10442918</v>
      </c>
      <c r="B327" t="s">
        <v>131</v>
      </c>
      <c r="C327" t="s">
        <v>348</v>
      </c>
      <c r="D327">
        <v>2247</v>
      </c>
      <c r="E327">
        <v>984737341</v>
      </c>
      <c r="F327" t="s">
        <v>116</v>
      </c>
      <c r="G327" s="230">
        <v>43585.795486111114</v>
      </c>
      <c r="H327">
        <v>2000</v>
      </c>
      <c r="I327">
        <v>2000</v>
      </c>
      <c r="J327">
        <v>1005990536</v>
      </c>
    </row>
    <row r="328" spans="1:10" x14ac:dyDescent="0.25">
      <c r="A328">
        <v>10442918</v>
      </c>
      <c r="B328" t="s">
        <v>131</v>
      </c>
      <c r="C328" t="s">
        <v>349</v>
      </c>
      <c r="D328">
        <v>2249</v>
      </c>
      <c r="E328">
        <v>984739915</v>
      </c>
      <c r="F328" t="s">
        <v>116</v>
      </c>
      <c r="G328" s="230">
        <v>43585.796469907407</v>
      </c>
      <c r="H328">
        <v>3000</v>
      </c>
      <c r="I328">
        <v>3000</v>
      </c>
      <c r="J328">
        <v>719779839</v>
      </c>
    </row>
    <row r="329" spans="1:10" x14ac:dyDescent="0.25">
      <c r="A329">
        <v>10442918</v>
      </c>
      <c r="B329" t="s">
        <v>131</v>
      </c>
      <c r="C329" t="s">
        <v>350</v>
      </c>
      <c r="D329">
        <v>2252</v>
      </c>
      <c r="E329">
        <v>984744666</v>
      </c>
      <c r="F329" t="s">
        <v>116</v>
      </c>
      <c r="G329" s="230">
        <v>43585.798333333332</v>
      </c>
      <c r="H329">
        <v>16500</v>
      </c>
      <c r="I329">
        <v>16500</v>
      </c>
      <c r="J329">
        <v>726738885</v>
      </c>
    </row>
    <row r="330" spans="1:10" x14ac:dyDescent="0.25">
      <c r="A330">
        <v>10442918</v>
      </c>
      <c r="B330" t="s">
        <v>131</v>
      </c>
      <c r="C330" t="s">
        <v>351</v>
      </c>
      <c r="D330">
        <v>2254</v>
      </c>
      <c r="E330">
        <v>984747063</v>
      </c>
      <c r="F330" t="s">
        <v>116</v>
      </c>
      <c r="G330" s="230">
        <v>43585.799293981479</v>
      </c>
      <c r="H330">
        <v>5000</v>
      </c>
      <c r="I330">
        <v>5000</v>
      </c>
      <c r="J330">
        <v>3.6103530420100499E+17</v>
      </c>
    </row>
    <row r="331" spans="1:10" x14ac:dyDescent="0.25">
      <c r="A331">
        <v>10442918</v>
      </c>
      <c r="B331" t="s">
        <v>131</v>
      </c>
      <c r="C331" t="s">
        <v>352</v>
      </c>
      <c r="D331">
        <v>2256</v>
      </c>
      <c r="E331">
        <v>984749305</v>
      </c>
      <c r="F331" t="s">
        <v>116</v>
      </c>
      <c r="G331" s="230">
        <v>43585.800150462965</v>
      </c>
      <c r="H331">
        <v>15000</v>
      </c>
      <c r="I331">
        <v>15000</v>
      </c>
      <c r="J331">
        <v>5.41052820101E+17</v>
      </c>
    </row>
    <row r="332" spans="1:10" x14ac:dyDescent="0.25">
      <c r="A332">
        <v>10442918</v>
      </c>
      <c r="B332" t="s">
        <v>131</v>
      </c>
      <c r="C332" t="s">
        <v>352</v>
      </c>
      <c r="D332">
        <v>2257</v>
      </c>
      <c r="E332">
        <v>984750986</v>
      </c>
      <c r="F332" t="s">
        <v>116</v>
      </c>
      <c r="G332" s="230">
        <v>43585.800787037035</v>
      </c>
      <c r="H332">
        <v>5000</v>
      </c>
      <c r="I332">
        <v>5000</v>
      </c>
      <c r="J332">
        <v>5.41052820101E+17</v>
      </c>
    </row>
    <row r="333" spans="1:10" x14ac:dyDescent="0.25">
      <c r="A333">
        <v>10442918</v>
      </c>
      <c r="B333" t="s">
        <v>131</v>
      </c>
      <c r="C333" t="s">
        <v>353</v>
      </c>
      <c r="D333">
        <v>2259</v>
      </c>
      <c r="E333">
        <v>984753339</v>
      </c>
      <c r="F333" t="s">
        <v>116</v>
      </c>
      <c r="G333" s="230">
        <v>43585.801666666666</v>
      </c>
      <c r="H333">
        <v>5000</v>
      </c>
      <c r="I333">
        <v>5000</v>
      </c>
      <c r="J333">
        <v>20253634</v>
      </c>
    </row>
    <row r="334" spans="1:10" x14ac:dyDescent="0.25">
      <c r="A334">
        <v>10442918</v>
      </c>
      <c r="B334" t="s">
        <v>131</v>
      </c>
      <c r="C334" t="s">
        <v>354</v>
      </c>
      <c r="D334">
        <v>2262</v>
      </c>
      <c r="E334">
        <v>984757603</v>
      </c>
      <c r="F334" t="s">
        <v>116</v>
      </c>
      <c r="G334" s="230">
        <v>43585.80332175926</v>
      </c>
      <c r="H334">
        <v>10000</v>
      </c>
      <c r="I334">
        <v>10000</v>
      </c>
      <c r="J334">
        <v>28900148</v>
      </c>
    </row>
    <row r="335" spans="1:10" x14ac:dyDescent="0.25">
      <c r="A335">
        <v>10442918</v>
      </c>
      <c r="B335" t="s">
        <v>131</v>
      </c>
      <c r="C335" t="s">
        <v>355</v>
      </c>
      <c r="D335">
        <v>2264</v>
      </c>
      <c r="E335">
        <v>984759900</v>
      </c>
      <c r="F335" t="s">
        <v>116</v>
      </c>
      <c r="G335" s="230">
        <v>43585.804236111115</v>
      </c>
      <c r="H335">
        <v>20000</v>
      </c>
      <c r="I335">
        <v>20000</v>
      </c>
      <c r="J335">
        <v>3066506662</v>
      </c>
    </row>
    <row r="336" spans="1:10" x14ac:dyDescent="0.25">
      <c r="A336">
        <v>10442918</v>
      </c>
      <c r="B336" t="s">
        <v>131</v>
      </c>
      <c r="C336" t="s">
        <v>356</v>
      </c>
      <c r="D336">
        <v>2266</v>
      </c>
      <c r="E336">
        <v>984762239</v>
      </c>
      <c r="F336" t="s">
        <v>116</v>
      </c>
      <c r="G336" s="230">
        <v>43585.805127314816</v>
      </c>
      <c r="H336">
        <v>10000</v>
      </c>
      <c r="I336">
        <v>10000</v>
      </c>
      <c r="J336">
        <v>4368098</v>
      </c>
    </row>
    <row r="337" spans="1:10" x14ac:dyDescent="0.25">
      <c r="A337">
        <v>10442918</v>
      </c>
      <c r="B337" t="s">
        <v>131</v>
      </c>
      <c r="C337" t="s">
        <v>357</v>
      </c>
      <c r="D337">
        <v>2268</v>
      </c>
      <c r="E337">
        <v>984764717</v>
      </c>
      <c r="F337" t="s">
        <v>116</v>
      </c>
      <c r="G337" s="230">
        <v>43585.80605324074</v>
      </c>
      <c r="H337">
        <v>5000</v>
      </c>
      <c r="I337">
        <v>5000</v>
      </c>
      <c r="J337">
        <v>19632254</v>
      </c>
    </row>
    <row r="338" spans="1:10" x14ac:dyDescent="0.25">
      <c r="A338">
        <v>10442918</v>
      </c>
      <c r="B338" t="s">
        <v>131</v>
      </c>
      <c r="C338" t="s">
        <v>358</v>
      </c>
      <c r="D338">
        <v>2271</v>
      </c>
      <c r="E338">
        <v>984769640</v>
      </c>
      <c r="F338" t="s">
        <v>116</v>
      </c>
      <c r="G338" s="230">
        <v>43585.807951388888</v>
      </c>
      <c r="H338">
        <v>5000</v>
      </c>
      <c r="I338">
        <v>5000</v>
      </c>
      <c r="J338">
        <v>102579704</v>
      </c>
    </row>
    <row r="339" spans="1:10" x14ac:dyDescent="0.25">
      <c r="A339">
        <v>10442918</v>
      </c>
      <c r="B339" t="s">
        <v>131</v>
      </c>
      <c r="C339" t="s">
        <v>358</v>
      </c>
      <c r="D339">
        <v>2273</v>
      </c>
      <c r="E339">
        <v>984772625</v>
      </c>
      <c r="F339" t="s">
        <v>116</v>
      </c>
      <c r="G339" s="230">
        <v>43585.809016203704</v>
      </c>
      <c r="H339">
        <v>2000</v>
      </c>
      <c r="I339">
        <v>2000</v>
      </c>
      <c r="J339">
        <v>102579704</v>
      </c>
    </row>
    <row r="340" spans="1:10" x14ac:dyDescent="0.25">
      <c r="A340">
        <v>10442918</v>
      </c>
      <c r="B340" t="s">
        <v>131</v>
      </c>
      <c r="C340" t="s">
        <v>194</v>
      </c>
      <c r="D340">
        <v>2275</v>
      </c>
      <c r="E340">
        <v>984775269</v>
      </c>
      <c r="F340" t="s">
        <v>116</v>
      </c>
      <c r="G340" s="230">
        <v>43585.809930555559</v>
      </c>
      <c r="H340">
        <v>5000</v>
      </c>
      <c r="I340">
        <v>5000</v>
      </c>
      <c r="J340">
        <v>109970094</v>
      </c>
    </row>
    <row r="341" spans="1:10" x14ac:dyDescent="0.25">
      <c r="A341">
        <v>10442918</v>
      </c>
      <c r="B341" t="s">
        <v>131</v>
      </c>
      <c r="C341" t="s">
        <v>359</v>
      </c>
      <c r="D341">
        <v>2277</v>
      </c>
      <c r="E341">
        <v>984778102</v>
      </c>
      <c r="F341" t="s">
        <v>116</v>
      </c>
      <c r="G341" s="230">
        <v>43585.81082175926</v>
      </c>
      <c r="H341">
        <v>20000</v>
      </c>
      <c r="I341">
        <v>20000</v>
      </c>
      <c r="J341">
        <v>1010101010</v>
      </c>
    </row>
    <row r="342" spans="1:10" x14ac:dyDescent="0.25">
      <c r="A342">
        <v>10442918</v>
      </c>
      <c r="B342" t="s">
        <v>131</v>
      </c>
      <c r="C342" t="s">
        <v>359</v>
      </c>
      <c r="D342">
        <v>2278</v>
      </c>
      <c r="E342">
        <v>984780248</v>
      </c>
      <c r="F342" t="s">
        <v>116</v>
      </c>
      <c r="G342" s="230">
        <v>43585.811493055553</v>
      </c>
      <c r="H342">
        <v>20000</v>
      </c>
      <c r="I342">
        <v>20000</v>
      </c>
      <c r="J342">
        <v>1010101010</v>
      </c>
    </row>
    <row r="343" spans="1:10" x14ac:dyDescent="0.25">
      <c r="A343">
        <v>10442918</v>
      </c>
      <c r="B343" t="s">
        <v>131</v>
      </c>
      <c r="C343" t="s">
        <v>360</v>
      </c>
      <c r="D343">
        <v>2281</v>
      </c>
      <c r="E343">
        <v>984786670</v>
      </c>
      <c r="F343" t="s">
        <v>116</v>
      </c>
      <c r="G343" s="230">
        <v>43585.813645833332</v>
      </c>
      <c r="H343">
        <v>3000</v>
      </c>
      <c r="I343">
        <v>3000</v>
      </c>
      <c r="J343">
        <v>51728814</v>
      </c>
    </row>
    <row r="344" spans="1:10" x14ac:dyDescent="0.25">
      <c r="A344">
        <v>10442918</v>
      </c>
      <c r="B344" t="s">
        <v>131</v>
      </c>
      <c r="C344" t="s">
        <v>361</v>
      </c>
      <c r="D344">
        <v>2283</v>
      </c>
      <c r="E344">
        <v>984789903</v>
      </c>
      <c r="F344" t="s">
        <v>116</v>
      </c>
      <c r="G344" s="230">
        <v>43585.814780092594</v>
      </c>
      <c r="H344">
        <v>8000</v>
      </c>
      <c r="I344">
        <v>8000</v>
      </c>
      <c r="J344">
        <v>2.0807263520100499E+17</v>
      </c>
    </row>
    <row r="345" spans="1:10" x14ac:dyDescent="0.25">
      <c r="A345">
        <v>10442918</v>
      </c>
      <c r="B345" t="s">
        <v>131</v>
      </c>
      <c r="C345" t="s">
        <v>362</v>
      </c>
      <c r="D345">
        <v>2285</v>
      </c>
      <c r="E345">
        <v>984793086</v>
      </c>
      <c r="F345" t="s">
        <v>116</v>
      </c>
      <c r="G345" s="230">
        <v>43585.815925925926</v>
      </c>
      <c r="H345">
        <v>10000</v>
      </c>
      <c r="I345">
        <v>10000</v>
      </c>
      <c r="J345">
        <v>3.6103474550100499E+17</v>
      </c>
    </row>
    <row r="346" spans="1:10" x14ac:dyDescent="0.25">
      <c r="A346">
        <v>10442918</v>
      </c>
      <c r="B346" t="s">
        <v>131</v>
      </c>
      <c r="C346" t="s">
        <v>363</v>
      </c>
      <c r="D346">
        <v>2287</v>
      </c>
      <c r="E346">
        <v>984795796</v>
      </c>
      <c r="F346" t="s">
        <v>116</v>
      </c>
      <c r="G346" s="230">
        <v>43585.816828703704</v>
      </c>
      <c r="H346">
        <v>20000</v>
      </c>
      <c r="I346">
        <v>20000</v>
      </c>
      <c r="J346">
        <v>1010101010</v>
      </c>
    </row>
    <row r="347" spans="1:10" x14ac:dyDescent="0.25">
      <c r="A347">
        <v>10442918</v>
      </c>
      <c r="B347" t="s">
        <v>131</v>
      </c>
      <c r="C347" t="s">
        <v>363</v>
      </c>
      <c r="D347">
        <v>2288</v>
      </c>
      <c r="E347">
        <v>984797951</v>
      </c>
      <c r="F347" t="s">
        <v>116</v>
      </c>
      <c r="G347" s="230">
        <v>43585.817615740743</v>
      </c>
      <c r="H347">
        <v>20000</v>
      </c>
      <c r="I347">
        <v>20000</v>
      </c>
      <c r="J347">
        <v>1010101010</v>
      </c>
    </row>
    <row r="348" spans="1:10" x14ac:dyDescent="0.25">
      <c r="A348">
        <v>10442918</v>
      </c>
      <c r="B348" t="s">
        <v>131</v>
      </c>
      <c r="C348" t="s">
        <v>363</v>
      </c>
      <c r="D348">
        <v>2289</v>
      </c>
      <c r="E348">
        <v>984799954</v>
      </c>
      <c r="F348" t="s">
        <v>116</v>
      </c>
      <c r="G348" s="230">
        <v>43585.818344907406</v>
      </c>
      <c r="H348">
        <v>20000</v>
      </c>
      <c r="I348">
        <v>20000</v>
      </c>
      <c r="J348">
        <v>1010101010</v>
      </c>
    </row>
    <row r="349" spans="1:10" x14ac:dyDescent="0.25">
      <c r="A349">
        <v>10442918</v>
      </c>
      <c r="B349" t="s">
        <v>131</v>
      </c>
      <c r="C349" t="s">
        <v>363</v>
      </c>
      <c r="D349">
        <v>2290</v>
      </c>
      <c r="E349">
        <v>984801944</v>
      </c>
      <c r="F349" t="s">
        <v>116</v>
      </c>
      <c r="G349" s="230">
        <v>43585.819108796299</v>
      </c>
      <c r="H349">
        <v>20000</v>
      </c>
      <c r="I349">
        <v>20000</v>
      </c>
      <c r="J349">
        <v>1010101010</v>
      </c>
    </row>
    <row r="350" spans="1:10" x14ac:dyDescent="0.25">
      <c r="A350">
        <v>10442918</v>
      </c>
      <c r="B350" t="s">
        <v>131</v>
      </c>
      <c r="C350" t="s">
        <v>363</v>
      </c>
      <c r="D350">
        <v>2291</v>
      </c>
      <c r="E350">
        <v>984803959</v>
      </c>
      <c r="F350" t="s">
        <v>116</v>
      </c>
      <c r="G350" s="230">
        <v>43585.819884259261</v>
      </c>
      <c r="H350">
        <v>20000</v>
      </c>
      <c r="I350">
        <v>20000</v>
      </c>
      <c r="J350">
        <v>1010101010</v>
      </c>
    </row>
    <row r="351" spans="1:10" x14ac:dyDescent="0.25">
      <c r="A351">
        <v>10442918</v>
      </c>
      <c r="B351" t="s">
        <v>131</v>
      </c>
      <c r="C351" t="s">
        <v>364</v>
      </c>
      <c r="D351">
        <v>2293</v>
      </c>
      <c r="E351">
        <v>984806639</v>
      </c>
      <c r="F351" t="s">
        <v>116</v>
      </c>
      <c r="G351" s="230">
        <v>43585.820925925924</v>
      </c>
      <c r="H351">
        <v>3000</v>
      </c>
      <c r="I351">
        <v>3000</v>
      </c>
      <c r="J351">
        <v>3.2903357900100499E+17</v>
      </c>
    </row>
    <row r="352" spans="1:10" x14ac:dyDescent="0.25">
      <c r="A352">
        <v>10442918</v>
      </c>
      <c r="B352" t="s">
        <v>131</v>
      </c>
      <c r="C352" t="s">
        <v>365</v>
      </c>
      <c r="D352">
        <v>2295</v>
      </c>
      <c r="E352">
        <v>984809528</v>
      </c>
      <c r="F352" t="s">
        <v>116</v>
      </c>
      <c r="G352" s="230">
        <v>43585.822060185186</v>
      </c>
      <c r="H352">
        <v>40000</v>
      </c>
      <c r="I352">
        <v>40000</v>
      </c>
      <c r="J352">
        <v>21351318</v>
      </c>
    </row>
    <row r="353" spans="1:10" x14ac:dyDescent="0.25">
      <c r="A353">
        <v>10442918</v>
      </c>
      <c r="B353" t="s">
        <v>131</v>
      </c>
      <c r="C353" t="s">
        <v>365</v>
      </c>
      <c r="D353">
        <v>2296</v>
      </c>
      <c r="E353">
        <v>984811304</v>
      </c>
      <c r="F353" t="s">
        <v>116</v>
      </c>
      <c r="G353" s="230">
        <v>43585.822789351849</v>
      </c>
      <c r="H353">
        <v>40000</v>
      </c>
      <c r="I353">
        <v>40000</v>
      </c>
      <c r="J353">
        <v>21351318</v>
      </c>
    </row>
    <row r="354" spans="1:10" x14ac:dyDescent="0.25">
      <c r="A354">
        <v>10442918</v>
      </c>
      <c r="B354" t="s">
        <v>131</v>
      </c>
      <c r="C354" t="s">
        <v>365</v>
      </c>
      <c r="D354">
        <v>2297</v>
      </c>
      <c r="E354">
        <v>984813205</v>
      </c>
      <c r="F354" t="s">
        <v>116</v>
      </c>
      <c r="G354" s="230">
        <v>43585.823564814818</v>
      </c>
      <c r="H354">
        <v>40000</v>
      </c>
      <c r="I354">
        <v>40000</v>
      </c>
      <c r="J354">
        <v>21351318</v>
      </c>
    </row>
    <row r="355" spans="1:10" x14ac:dyDescent="0.25">
      <c r="A355">
        <v>10442918</v>
      </c>
      <c r="B355" t="s">
        <v>131</v>
      </c>
      <c r="C355" t="s">
        <v>365</v>
      </c>
      <c r="D355">
        <v>2298</v>
      </c>
      <c r="E355">
        <v>984815215</v>
      </c>
      <c r="F355" t="s">
        <v>116</v>
      </c>
      <c r="G355" s="230">
        <v>43585.824444444443</v>
      </c>
      <c r="H355">
        <v>30000</v>
      </c>
      <c r="I355">
        <v>30000</v>
      </c>
      <c r="J355">
        <v>21351318</v>
      </c>
    </row>
    <row r="356" spans="1:10" x14ac:dyDescent="0.25">
      <c r="A356">
        <v>10442918</v>
      </c>
      <c r="B356" t="s">
        <v>131</v>
      </c>
      <c r="C356" t="s">
        <v>233</v>
      </c>
      <c r="D356">
        <v>2300</v>
      </c>
      <c r="E356">
        <v>984817513</v>
      </c>
      <c r="F356" t="s">
        <v>116</v>
      </c>
      <c r="G356" s="230">
        <v>43585.825462962966</v>
      </c>
      <c r="H356">
        <v>5000</v>
      </c>
      <c r="I356">
        <v>5000</v>
      </c>
      <c r="J356">
        <v>65175956</v>
      </c>
    </row>
    <row r="357" spans="1:10" x14ac:dyDescent="0.25">
      <c r="A357">
        <v>10442918</v>
      </c>
      <c r="B357" t="s">
        <v>131</v>
      </c>
      <c r="C357" t="s">
        <v>366</v>
      </c>
      <c r="D357">
        <v>2302</v>
      </c>
      <c r="E357">
        <v>984819605</v>
      </c>
      <c r="F357" t="s">
        <v>116</v>
      </c>
      <c r="G357" s="230">
        <v>43585.826331018521</v>
      </c>
      <c r="H357">
        <v>20000</v>
      </c>
      <c r="I357">
        <v>20000</v>
      </c>
      <c r="J357">
        <v>3077555016</v>
      </c>
    </row>
    <row r="358" spans="1:10" x14ac:dyDescent="0.25">
      <c r="A358">
        <v>10442918</v>
      </c>
      <c r="B358" t="s">
        <v>131</v>
      </c>
      <c r="C358" t="s">
        <v>366</v>
      </c>
      <c r="D358">
        <v>2303</v>
      </c>
      <c r="E358">
        <v>984821497</v>
      </c>
      <c r="F358" t="s">
        <v>116</v>
      </c>
      <c r="G358" s="230">
        <v>43585.827164351853</v>
      </c>
      <c r="H358">
        <v>2000</v>
      </c>
      <c r="I358">
        <v>2000</v>
      </c>
      <c r="J358">
        <v>3077555016</v>
      </c>
    </row>
    <row r="359" spans="1:10" x14ac:dyDescent="0.25">
      <c r="A359">
        <v>10442918</v>
      </c>
      <c r="B359" t="s">
        <v>131</v>
      </c>
      <c r="C359" t="s">
        <v>367</v>
      </c>
      <c r="D359">
        <v>2305</v>
      </c>
      <c r="E359">
        <v>984823912</v>
      </c>
      <c r="F359" t="s">
        <v>116</v>
      </c>
      <c r="G359" s="230">
        <v>43585.828182870369</v>
      </c>
      <c r="H359">
        <v>5000</v>
      </c>
      <c r="I359">
        <v>5000</v>
      </c>
      <c r="J359">
        <v>701527439</v>
      </c>
    </row>
    <row r="360" spans="1:10" x14ac:dyDescent="0.25">
      <c r="A360">
        <v>10442918</v>
      </c>
      <c r="B360" t="s">
        <v>131</v>
      </c>
      <c r="C360" t="s">
        <v>368</v>
      </c>
      <c r="D360">
        <v>2307</v>
      </c>
      <c r="E360">
        <v>984825815</v>
      </c>
      <c r="F360" t="s">
        <v>116</v>
      </c>
      <c r="G360" s="230">
        <v>43585.829027777778</v>
      </c>
      <c r="H360">
        <v>20000</v>
      </c>
      <c r="I360">
        <v>20000</v>
      </c>
      <c r="J360">
        <v>3019040573</v>
      </c>
    </row>
    <row r="361" spans="1:10" x14ac:dyDescent="0.25">
      <c r="A361">
        <v>10442918</v>
      </c>
      <c r="B361" t="s">
        <v>131</v>
      </c>
      <c r="C361" t="s">
        <v>369</v>
      </c>
      <c r="D361">
        <v>2310</v>
      </c>
      <c r="E361">
        <v>984828756</v>
      </c>
      <c r="F361" t="s">
        <v>116</v>
      </c>
      <c r="G361" s="230">
        <v>43585.830358796295</v>
      </c>
      <c r="H361">
        <v>20000</v>
      </c>
      <c r="I361">
        <v>20000</v>
      </c>
      <c r="J361">
        <v>26463615</v>
      </c>
    </row>
    <row r="362" spans="1:10" x14ac:dyDescent="0.25">
      <c r="A362">
        <v>10442918</v>
      </c>
      <c r="B362" t="s">
        <v>131</v>
      </c>
      <c r="C362" t="s">
        <v>369</v>
      </c>
      <c r="D362">
        <v>2311</v>
      </c>
      <c r="E362">
        <v>984830188</v>
      </c>
      <c r="F362" t="s">
        <v>116</v>
      </c>
      <c r="G362" s="230">
        <v>43585.831018518518</v>
      </c>
      <c r="H362">
        <v>20000</v>
      </c>
      <c r="I362">
        <v>20000</v>
      </c>
      <c r="J362">
        <v>26463615</v>
      </c>
    </row>
    <row r="363" spans="1:10" x14ac:dyDescent="0.25">
      <c r="A363">
        <v>10442918</v>
      </c>
      <c r="B363" t="s">
        <v>131</v>
      </c>
      <c r="C363" t="s">
        <v>369</v>
      </c>
      <c r="D363">
        <v>2312</v>
      </c>
      <c r="E363">
        <v>984831653</v>
      </c>
      <c r="F363" t="s">
        <v>116</v>
      </c>
      <c r="G363" s="230">
        <v>43585.831678240742</v>
      </c>
      <c r="H363">
        <v>20000</v>
      </c>
      <c r="I363">
        <v>20000</v>
      </c>
      <c r="J363">
        <v>26463615</v>
      </c>
    </row>
    <row r="364" spans="1:10" x14ac:dyDescent="0.25">
      <c r="A364">
        <v>10442918</v>
      </c>
      <c r="B364" t="s">
        <v>131</v>
      </c>
      <c r="C364" t="s">
        <v>369</v>
      </c>
      <c r="D364">
        <v>2315</v>
      </c>
      <c r="E364">
        <v>984835464</v>
      </c>
      <c r="F364" t="s">
        <v>116</v>
      </c>
      <c r="G364" s="230">
        <v>43585.833472222221</v>
      </c>
      <c r="H364">
        <v>20000</v>
      </c>
      <c r="I364">
        <v>20000</v>
      </c>
      <c r="J364">
        <v>26463615</v>
      </c>
    </row>
    <row r="365" spans="1:10" x14ac:dyDescent="0.25">
      <c r="A365">
        <v>10442918</v>
      </c>
      <c r="B365" t="s">
        <v>131</v>
      </c>
      <c r="C365" t="s">
        <v>369</v>
      </c>
      <c r="D365">
        <v>2316</v>
      </c>
      <c r="E365">
        <v>984837012</v>
      </c>
      <c r="F365" t="s">
        <v>116</v>
      </c>
      <c r="G365" s="230">
        <v>43585.834201388891</v>
      </c>
      <c r="H365">
        <v>2000</v>
      </c>
      <c r="I365">
        <v>2000</v>
      </c>
      <c r="J365">
        <v>26463615</v>
      </c>
    </row>
    <row r="366" spans="1:10" x14ac:dyDescent="0.25">
      <c r="A366">
        <v>10442918</v>
      </c>
      <c r="B366" t="s">
        <v>131</v>
      </c>
      <c r="C366" t="s">
        <v>370</v>
      </c>
      <c r="D366">
        <v>2319</v>
      </c>
      <c r="E366">
        <v>984841008</v>
      </c>
      <c r="F366" t="s">
        <v>116</v>
      </c>
      <c r="G366" s="230">
        <v>43585.836053240739</v>
      </c>
      <c r="H366">
        <v>20000</v>
      </c>
      <c r="I366">
        <v>20000</v>
      </c>
      <c r="J366">
        <v>2.34011631501E+17</v>
      </c>
    </row>
    <row r="367" spans="1:10" x14ac:dyDescent="0.25">
      <c r="A367">
        <v>10442918</v>
      </c>
      <c r="B367" t="s">
        <v>131</v>
      </c>
      <c r="C367" t="s">
        <v>370</v>
      </c>
      <c r="D367">
        <v>2320</v>
      </c>
      <c r="E367">
        <v>984842404</v>
      </c>
      <c r="F367" t="s">
        <v>116</v>
      </c>
      <c r="G367" s="230">
        <v>43585.836701388886</v>
      </c>
      <c r="H367">
        <v>20000</v>
      </c>
      <c r="I367">
        <v>20000</v>
      </c>
      <c r="J367">
        <v>2.34011631501E+17</v>
      </c>
    </row>
    <row r="368" spans="1:10" x14ac:dyDescent="0.25">
      <c r="A368">
        <v>10442918</v>
      </c>
      <c r="B368" t="s">
        <v>131</v>
      </c>
      <c r="C368" t="s">
        <v>371</v>
      </c>
      <c r="D368">
        <v>2322</v>
      </c>
      <c r="E368">
        <v>984844161</v>
      </c>
      <c r="F368" t="s">
        <v>116</v>
      </c>
      <c r="G368" s="230">
        <v>43585.837523148148</v>
      </c>
      <c r="H368">
        <v>10000</v>
      </c>
      <c r="I368">
        <v>10000</v>
      </c>
      <c r="J368">
        <v>16863641</v>
      </c>
    </row>
    <row r="369" spans="1:10" x14ac:dyDescent="0.25">
      <c r="A369">
        <v>10442918</v>
      </c>
      <c r="B369" t="s">
        <v>131</v>
      </c>
      <c r="C369" t="s">
        <v>372</v>
      </c>
      <c r="D369">
        <v>2324</v>
      </c>
      <c r="E369">
        <v>984846573</v>
      </c>
      <c r="F369" t="s">
        <v>116</v>
      </c>
      <c r="G369" s="230">
        <v>43585.83865740741</v>
      </c>
      <c r="H369">
        <v>10000</v>
      </c>
      <c r="I369">
        <v>10000</v>
      </c>
      <c r="J369">
        <v>16754780</v>
      </c>
    </row>
    <row r="370" spans="1:10" x14ac:dyDescent="0.25">
      <c r="A370">
        <v>10442918</v>
      </c>
      <c r="B370" t="s">
        <v>131</v>
      </c>
      <c r="C370" t="s">
        <v>373</v>
      </c>
      <c r="D370">
        <v>2328</v>
      </c>
      <c r="E370">
        <v>984852331</v>
      </c>
      <c r="F370" t="s">
        <v>116</v>
      </c>
      <c r="G370" s="230">
        <v>43585.841446759259</v>
      </c>
      <c r="H370">
        <v>5000</v>
      </c>
      <c r="I370">
        <v>5000</v>
      </c>
      <c r="J370">
        <v>1010101010</v>
      </c>
    </row>
    <row r="371" spans="1:10" x14ac:dyDescent="0.25">
      <c r="A371">
        <v>10442918</v>
      </c>
      <c r="B371" t="s">
        <v>131</v>
      </c>
      <c r="C371" t="s">
        <v>374</v>
      </c>
      <c r="D371">
        <v>2330</v>
      </c>
      <c r="E371">
        <v>984855424</v>
      </c>
      <c r="F371" t="s">
        <v>116</v>
      </c>
      <c r="G371" s="230">
        <v>43585.842916666668</v>
      </c>
      <c r="H371">
        <v>5000</v>
      </c>
      <c r="I371">
        <v>5000</v>
      </c>
      <c r="J371">
        <v>702814516</v>
      </c>
    </row>
    <row r="372" spans="1:10" x14ac:dyDescent="0.25">
      <c r="A372">
        <v>10442918</v>
      </c>
      <c r="B372" t="s">
        <v>131</v>
      </c>
      <c r="C372" t="s">
        <v>375</v>
      </c>
      <c r="D372">
        <v>2332</v>
      </c>
      <c r="E372">
        <v>984857634</v>
      </c>
      <c r="F372" t="s">
        <v>116</v>
      </c>
      <c r="G372" s="230">
        <v>43585.843923611108</v>
      </c>
      <c r="H372">
        <v>10000</v>
      </c>
      <c r="I372">
        <v>10000</v>
      </c>
      <c r="J372">
        <v>3.22035101001E+17</v>
      </c>
    </row>
    <row r="373" spans="1:10" x14ac:dyDescent="0.25">
      <c r="A373">
        <v>10442918</v>
      </c>
      <c r="B373" t="s">
        <v>131</v>
      </c>
      <c r="C373" t="s">
        <v>376</v>
      </c>
      <c r="D373">
        <v>2338</v>
      </c>
      <c r="E373">
        <v>984874968</v>
      </c>
      <c r="F373" t="s">
        <v>116</v>
      </c>
      <c r="G373" s="230">
        <v>43585.852719907409</v>
      </c>
      <c r="H373">
        <v>40000</v>
      </c>
      <c r="I373">
        <v>40000</v>
      </c>
      <c r="J373">
        <v>28050562</v>
      </c>
    </row>
    <row r="374" spans="1:10" x14ac:dyDescent="0.25">
      <c r="A374">
        <v>10442918</v>
      </c>
      <c r="B374" t="s">
        <v>131</v>
      </c>
      <c r="C374" t="s">
        <v>376</v>
      </c>
      <c r="D374">
        <v>2339</v>
      </c>
      <c r="E374">
        <v>984876274</v>
      </c>
      <c r="F374" t="s">
        <v>116</v>
      </c>
      <c r="G374" s="230">
        <v>43585.853414351855</v>
      </c>
      <c r="H374">
        <v>15000</v>
      </c>
      <c r="I374">
        <v>15000</v>
      </c>
      <c r="J374">
        <v>28050562</v>
      </c>
    </row>
    <row r="375" spans="1:10" x14ac:dyDescent="0.25">
      <c r="A375">
        <v>10442918</v>
      </c>
      <c r="B375" t="s">
        <v>131</v>
      </c>
      <c r="C375" t="s">
        <v>377</v>
      </c>
      <c r="D375">
        <v>2342</v>
      </c>
      <c r="E375">
        <v>984881915</v>
      </c>
      <c r="F375" t="s">
        <v>116</v>
      </c>
      <c r="G375" s="230">
        <v>43585.856446759259</v>
      </c>
      <c r="H375">
        <v>40000</v>
      </c>
      <c r="I375">
        <v>40000</v>
      </c>
      <c r="J375">
        <v>40949305</v>
      </c>
    </row>
    <row r="376" spans="1:10" x14ac:dyDescent="0.25">
      <c r="A376">
        <v>10442918</v>
      </c>
      <c r="B376" t="s">
        <v>131</v>
      </c>
      <c r="C376" t="s">
        <v>377</v>
      </c>
      <c r="D376">
        <v>2344</v>
      </c>
      <c r="E376">
        <v>984884262</v>
      </c>
      <c r="F376" t="s">
        <v>116</v>
      </c>
      <c r="G376" s="230">
        <v>43585.857870370368</v>
      </c>
      <c r="H376">
        <v>20000</v>
      </c>
      <c r="I376">
        <v>20000</v>
      </c>
      <c r="J376">
        <v>40949305</v>
      </c>
    </row>
    <row r="377" spans="1:10" x14ac:dyDescent="0.25">
      <c r="A377">
        <v>10442918</v>
      </c>
      <c r="B377" t="s">
        <v>131</v>
      </c>
      <c r="C377" t="s">
        <v>377</v>
      </c>
      <c r="D377">
        <v>2345</v>
      </c>
      <c r="E377">
        <v>984885311</v>
      </c>
      <c r="F377" t="s">
        <v>116</v>
      </c>
      <c r="G377" s="230">
        <v>43585.858518518522</v>
      </c>
      <c r="H377">
        <v>20000</v>
      </c>
      <c r="I377">
        <v>20000</v>
      </c>
      <c r="J377">
        <v>40949305</v>
      </c>
    </row>
    <row r="378" spans="1:10" x14ac:dyDescent="0.25">
      <c r="A378">
        <v>10442918</v>
      </c>
      <c r="B378" t="s">
        <v>131</v>
      </c>
      <c r="C378" t="s">
        <v>377</v>
      </c>
      <c r="D378">
        <v>2346</v>
      </c>
      <c r="E378">
        <v>984886354</v>
      </c>
      <c r="F378" t="s">
        <v>116</v>
      </c>
      <c r="G378" s="230">
        <v>43585.859166666669</v>
      </c>
      <c r="H378">
        <v>10000</v>
      </c>
      <c r="I378">
        <v>10000</v>
      </c>
      <c r="J378">
        <v>40949305</v>
      </c>
    </row>
    <row r="379" spans="1:10" x14ac:dyDescent="0.25">
      <c r="A379">
        <v>10442918</v>
      </c>
      <c r="B379" t="s">
        <v>131</v>
      </c>
      <c r="C379" t="s">
        <v>378</v>
      </c>
      <c r="D379">
        <v>2352</v>
      </c>
      <c r="E379">
        <v>984891030</v>
      </c>
      <c r="F379" t="s">
        <v>118</v>
      </c>
      <c r="G379" s="230">
        <v>43585.862118055556</v>
      </c>
      <c r="H379">
        <v>40000</v>
      </c>
      <c r="I379">
        <v>0</v>
      </c>
      <c r="J379">
        <v>786629114</v>
      </c>
    </row>
    <row r="380" spans="1:10" x14ac:dyDescent="0.25">
      <c r="A380">
        <v>10442918</v>
      </c>
      <c r="B380" t="s">
        <v>131</v>
      </c>
      <c r="C380" t="s">
        <v>378</v>
      </c>
      <c r="D380">
        <v>2353</v>
      </c>
      <c r="E380">
        <v>984891660</v>
      </c>
      <c r="F380" t="s">
        <v>116</v>
      </c>
      <c r="G380" s="230">
        <v>43585.862511574072</v>
      </c>
      <c r="H380">
        <v>500</v>
      </c>
      <c r="I380">
        <v>500</v>
      </c>
      <c r="J380">
        <v>786629114</v>
      </c>
    </row>
    <row r="381" spans="1:10" x14ac:dyDescent="0.25">
      <c r="A381">
        <v>10442918</v>
      </c>
      <c r="B381" t="s">
        <v>131</v>
      </c>
      <c r="C381" t="s">
        <v>379</v>
      </c>
      <c r="D381">
        <v>2355</v>
      </c>
      <c r="E381">
        <v>984892914</v>
      </c>
      <c r="F381" t="s">
        <v>198</v>
      </c>
      <c r="G381" s="230">
        <v>43585.863356481481</v>
      </c>
      <c r="H381">
        <v>1000</v>
      </c>
      <c r="I381">
        <v>0</v>
      </c>
      <c r="J381">
        <v>33935280</v>
      </c>
    </row>
    <row r="382" spans="1:10" x14ac:dyDescent="0.25">
      <c r="A382">
        <v>10442918</v>
      </c>
      <c r="B382" t="s">
        <v>131</v>
      </c>
      <c r="C382" t="s">
        <v>380</v>
      </c>
      <c r="D382">
        <v>2357</v>
      </c>
      <c r="E382">
        <v>984895043</v>
      </c>
      <c r="F382" t="s">
        <v>116</v>
      </c>
      <c r="G382" s="230">
        <v>43585.864733796298</v>
      </c>
      <c r="H382">
        <v>20000</v>
      </c>
      <c r="I382">
        <v>20000</v>
      </c>
      <c r="J382">
        <v>1012413826</v>
      </c>
    </row>
    <row r="383" spans="1:10" x14ac:dyDescent="0.25">
      <c r="A383">
        <v>10442918</v>
      </c>
      <c r="B383" t="s">
        <v>131</v>
      </c>
      <c r="C383" t="s">
        <v>381</v>
      </c>
      <c r="D383">
        <v>2359</v>
      </c>
      <c r="E383">
        <v>984908609</v>
      </c>
      <c r="F383" t="s">
        <v>116</v>
      </c>
      <c r="G383" s="230">
        <v>43585.874432870369</v>
      </c>
      <c r="H383">
        <v>4500</v>
      </c>
      <c r="I383">
        <v>4500</v>
      </c>
      <c r="J383">
        <v>1902162019</v>
      </c>
    </row>
    <row r="384" spans="1:10" x14ac:dyDescent="0.25">
      <c r="A384">
        <v>10442918</v>
      </c>
      <c r="B384" t="s">
        <v>131</v>
      </c>
      <c r="C384" t="s">
        <v>382</v>
      </c>
      <c r="D384">
        <v>2367</v>
      </c>
      <c r="E384">
        <v>984918004</v>
      </c>
      <c r="F384" t="s">
        <v>116</v>
      </c>
      <c r="G384" s="230">
        <v>43585.881493055553</v>
      </c>
      <c r="H384">
        <v>5000</v>
      </c>
      <c r="I384">
        <v>5000</v>
      </c>
      <c r="J384">
        <v>12031163</v>
      </c>
    </row>
    <row r="385" spans="1:10" x14ac:dyDescent="0.25">
      <c r="A385">
        <v>10442918</v>
      </c>
      <c r="B385" t="s">
        <v>131</v>
      </c>
      <c r="C385" t="s">
        <v>383</v>
      </c>
      <c r="D385">
        <v>2369</v>
      </c>
      <c r="E385">
        <v>984919696</v>
      </c>
      <c r="F385" t="s">
        <v>116</v>
      </c>
      <c r="G385" s="230">
        <v>43585.882800925923</v>
      </c>
      <c r="H385">
        <v>5000</v>
      </c>
      <c r="I385">
        <v>5000</v>
      </c>
      <c r="J385">
        <v>3.11022031901E+17</v>
      </c>
    </row>
    <row r="386" spans="1:10" x14ac:dyDescent="0.25">
      <c r="A386">
        <v>10442918</v>
      </c>
      <c r="B386" t="s">
        <v>131</v>
      </c>
      <c r="C386" t="s">
        <v>384</v>
      </c>
      <c r="D386">
        <v>2371</v>
      </c>
      <c r="E386">
        <v>984926804</v>
      </c>
      <c r="F386" t="s">
        <v>116</v>
      </c>
      <c r="G386" s="230">
        <v>43585.88890046296</v>
      </c>
      <c r="H386">
        <v>500</v>
      </c>
      <c r="I386">
        <v>500</v>
      </c>
      <c r="J386">
        <v>5.0705841620100499E+17</v>
      </c>
    </row>
    <row r="387" spans="1:10" x14ac:dyDescent="0.25">
      <c r="A387">
        <v>10442918</v>
      </c>
      <c r="B387" t="s">
        <v>131</v>
      </c>
      <c r="C387" t="s">
        <v>385</v>
      </c>
      <c r="D387">
        <v>2373</v>
      </c>
      <c r="E387">
        <v>984927919</v>
      </c>
      <c r="F387" t="s">
        <v>116</v>
      </c>
      <c r="G387" s="230">
        <v>43585.889780092592</v>
      </c>
      <c r="H387">
        <v>10000</v>
      </c>
      <c r="I387">
        <v>10000</v>
      </c>
      <c r="J387">
        <v>607437</v>
      </c>
    </row>
    <row r="388" spans="1:10" x14ac:dyDescent="0.25">
      <c r="A388">
        <v>10442918</v>
      </c>
      <c r="B388" t="s">
        <v>131</v>
      </c>
      <c r="C388" t="s">
        <v>386</v>
      </c>
      <c r="D388">
        <v>2375</v>
      </c>
      <c r="E388">
        <v>984950881</v>
      </c>
      <c r="F388" t="s">
        <v>116</v>
      </c>
      <c r="G388" s="230">
        <v>43585.916134259256</v>
      </c>
      <c r="H388">
        <v>10000</v>
      </c>
      <c r="I388">
        <v>10000</v>
      </c>
      <c r="J388">
        <v>1066333014</v>
      </c>
    </row>
    <row r="389" spans="1:10" x14ac:dyDescent="0.25">
      <c r="A389">
        <v>10442918</v>
      </c>
      <c r="B389" t="s">
        <v>131</v>
      </c>
      <c r="C389" t="s">
        <v>386</v>
      </c>
      <c r="D389">
        <v>2376</v>
      </c>
      <c r="E389">
        <v>984951421</v>
      </c>
      <c r="F389" t="s">
        <v>116</v>
      </c>
      <c r="G389" s="230">
        <v>43585.916817129626</v>
      </c>
      <c r="H389">
        <v>1000</v>
      </c>
      <c r="I389">
        <v>1000</v>
      </c>
      <c r="J389">
        <v>1066333014</v>
      </c>
    </row>
    <row r="390" spans="1:10" x14ac:dyDescent="0.25">
      <c r="A390">
        <v>10442918</v>
      </c>
      <c r="B390" t="s">
        <v>131</v>
      </c>
      <c r="C390" t="s">
        <v>386</v>
      </c>
      <c r="D390">
        <v>2378</v>
      </c>
      <c r="E390">
        <v>984952238</v>
      </c>
      <c r="F390" t="s">
        <v>116</v>
      </c>
      <c r="G390" s="230">
        <v>43585.917743055557</v>
      </c>
      <c r="H390">
        <v>1000</v>
      </c>
      <c r="I390">
        <v>1000</v>
      </c>
      <c r="J390">
        <v>1066333014</v>
      </c>
    </row>
    <row r="391" spans="1:10" x14ac:dyDescent="0.25">
      <c r="A391">
        <v>10442918</v>
      </c>
      <c r="B391" t="s">
        <v>131</v>
      </c>
      <c r="C391" t="s">
        <v>387</v>
      </c>
      <c r="D391">
        <v>2380</v>
      </c>
      <c r="E391">
        <v>984965747</v>
      </c>
      <c r="F391" t="s">
        <v>116</v>
      </c>
      <c r="G391" s="230">
        <v>43585.938506944447</v>
      </c>
      <c r="H391">
        <v>9000</v>
      </c>
      <c r="I391">
        <v>9000</v>
      </c>
      <c r="J391">
        <v>2.90011136801E+17</v>
      </c>
    </row>
    <row r="392" spans="1:10" x14ac:dyDescent="0.25">
      <c r="A392">
        <v>10442918</v>
      </c>
      <c r="B392" t="s">
        <v>131</v>
      </c>
      <c r="C392" t="s">
        <v>235</v>
      </c>
      <c r="D392">
        <v>2384</v>
      </c>
      <c r="E392">
        <v>984977188</v>
      </c>
      <c r="F392" t="s">
        <v>116</v>
      </c>
      <c r="G392" s="230">
        <v>43585.969027777777</v>
      </c>
      <c r="H392">
        <v>2000</v>
      </c>
      <c r="I392">
        <v>2000</v>
      </c>
      <c r="J392">
        <v>109941667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654"/>
  <sheetViews>
    <sheetView workbookViewId="0">
      <selection activeCell="F24" sqref="F24"/>
    </sheetView>
  </sheetViews>
  <sheetFormatPr defaultRowHeight="15" x14ac:dyDescent="0.25"/>
  <cols>
    <col min="1" max="1" width="29.140625" style="45" customWidth="1"/>
    <col min="2" max="2" width="14.7109375" style="45" bestFit="1" customWidth="1"/>
    <col min="3" max="3" width="14.7109375" style="177" bestFit="1" customWidth="1"/>
    <col min="4" max="4" width="16.140625" style="176" bestFit="1" customWidth="1"/>
    <col min="5" max="5" width="11.85546875" style="177" bestFit="1" customWidth="1"/>
    <col min="6" max="6" width="15.7109375" style="177" bestFit="1" customWidth="1"/>
    <col min="7" max="7" width="12.42578125" style="45" bestFit="1" customWidth="1"/>
    <col min="8" max="8" width="45" style="45" bestFit="1" customWidth="1"/>
    <col min="9" max="9" width="43" style="45" bestFit="1" customWidth="1"/>
    <col min="10" max="10" width="9.7109375" style="178" bestFit="1" customWidth="1"/>
    <col min="11" max="11" width="12.85546875" style="45" bestFit="1" customWidth="1"/>
    <col min="12" max="16384" width="9.140625" style="45"/>
  </cols>
  <sheetData>
    <row r="1" spans="1:11" ht="13.5" thickBot="1" x14ac:dyDescent="0.25">
      <c r="A1" s="156" t="s">
        <v>89</v>
      </c>
      <c r="B1" s="157" t="s">
        <v>90</v>
      </c>
      <c r="C1" s="158" t="s">
        <v>91</v>
      </c>
      <c r="D1" s="159" t="s">
        <v>92</v>
      </c>
      <c r="E1" s="157" t="s">
        <v>93</v>
      </c>
      <c r="F1" s="158" t="s">
        <v>88</v>
      </c>
      <c r="G1" s="157" t="s">
        <v>0</v>
      </c>
      <c r="H1" s="157" t="s">
        <v>94</v>
      </c>
      <c r="I1" s="157" t="s">
        <v>95</v>
      </c>
      <c r="J1" s="160" t="s">
        <v>96</v>
      </c>
      <c r="K1" s="161" t="s">
        <v>97</v>
      </c>
    </row>
    <row r="2" spans="1:11" x14ac:dyDescent="0.25">
      <c r="A2" s="162"/>
      <c r="B2" s="163"/>
      <c r="C2" s="163"/>
      <c r="D2" s="164"/>
      <c r="E2" s="163"/>
      <c r="F2" s="163"/>
      <c r="G2" s="163"/>
      <c r="H2" s="163"/>
      <c r="I2" s="163"/>
      <c r="J2" s="165"/>
      <c r="K2" s="50"/>
    </row>
    <row r="3" spans="1:11" x14ac:dyDescent="0.25">
      <c r="A3" s="166"/>
      <c r="B3" s="91"/>
      <c r="C3" s="91"/>
      <c r="D3" s="167"/>
      <c r="E3" s="91"/>
      <c r="F3" s="91"/>
      <c r="G3" s="91"/>
      <c r="H3" s="91"/>
      <c r="I3" s="91"/>
      <c r="J3" s="168"/>
      <c r="K3" s="50"/>
    </row>
    <row r="4" spans="1:11" x14ac:dyDescent="0.25">
      <c r="A4" s="166"/>
      <c r="B4" s="91"/>
      <c r="C4" s="91"/>
      <c r="D4" s="167"/>
      <c r="E4" s="91"/>
      <c r="F4" s="91"/>
      <c r="G4" s="91"/>
      <c r="H4" s="91"/>
      <c r="I4" s="91"/>
      <c r="J4" s="168"/>
      <c r="K4" s="50"/>
    </row>
    <row r="5" spans="1:11" x14ac:dyDescent="0.25">
      <c r="A5" s="166"/>
      <c r="B5" s="91"/>
      <c r="C5" s="91"/>
      <c r="D5" s="167"/>
      <c r="E5" s="91"/>
      <c r="F5" s="91"/>
      <c r="G5" s="91"/>
      <c r="H5" s="91"/>
      <c r="I5" s="91"/>
      <c r="J5" s="168"/>
      <c r="K5" s="50"/>
    </row>
    <row r="6" spans="1:11" x14ac:dyDescent="0.25">
      <c r="A6" s="166"/>
      <c r="B6" s="91"/>
      <c r="C6" s="91"/>
      <c r="D6" s="167"/>
      <c r="E6" s="91"/>
      <c r="F6" s="91"/>
      <c r="G6" s="91"/>
      <c r="H6" s="91"/>
      <c r="I6" s="91"/>
      <c r="J6" s="168"/>
      <c r="K6" s="50"/>
    </row>
    <row r="7" spans="1:11" x14ac:dyDescent="0.25">
      <c r="A7" s="166"/>
      <c r="B7" s="91"/>
      <c r="C7" s="91"/>
      <c r="D7" s="167"/>
      <c r="E7" s="91"/>
      <c r="F7" s="91"/>
      <c r="G7" s="91"/>
      <c r="H7" s="91"/>
      <c r="I7" s="91"/>
      <c r="J7" s="168"/>
      <c r="K7" s="50"/>
    </row>
    <row r="8" spans="1:11" x14ac:dyDescent="0.25">
      <c r="A8" s="166"/>
      <c r="B8" s="91"/>
      <c r="C8" s="91"/>
      <c r="D8" s="167"/>
      <c r="E8" s="91"/>
      <c r="F8" s="91"/>
      <c r="G8" s="91"/>
      <c r="H8" s="91"/>
      <c r="I8" s="91"/>
      <c r="J8" s="168"/>
      <c r="K8" s="50"/>
    </row>
    <row r="9" spans="1:11" x14ac:dyDescent="0.25">
      <c r="A9" s="166"/>
      <c r="B9" s="91"/>
      <c r="C9" s="91"/>
      <c r="D9" s="167"/>
      <c r="E9" s="91"/>
      <c r="F9" s="91"/>
      <c r="G9" s="91"/>
      <c r="H9" s="91"/>
      <c r="I9" s="91"/>
      <c r="J9" s="168"/>
      <c r="K9" s="50"/>
    </row>
    <row r="10" spans="1:11" x14ac:dyDescent="0.25">
      <c r="A10" s="166"/>
      <c r="B10" s="91"/>
      <c r="C10" s="91"/>
      <c r="D10" s="167"/>
      <c r="E10" s="91"/>
      <c r="F10" s="91"/>
      <c r="G10" s="91"/>
      <c r="H10" s="91"/>
      <c r="I10" s="91"/>
      <c r="J10" s="168"/>
      <c r="K10" s="50"/>
    </row>
    <row r="11" spans="1:11" x14ac:dyDescent="0.25">
      <c r="A11" s="166"/>
      <c r="B11" s="91"/>
      <c r="C11" s="91"/>
      <c r="D11" s="167"/>
      <c r="E11" s="91"/>
      <c r="F11" s="91"/>
      <c r="G11" s="91"/>
      <c r="H11" s="91"/>
      <c r="I11" s="91"/>
      <c r="J11" s="168"/>
      <c r="K11" s="50"/>
    </row>
    <row r="12" spans="1:11" x14ac:dyDescent="0.25">
      <c r="A12" s="166"/>
      <c r="B12" s="91"/>
      <c r="C12" s="91"/>
      <c r="D12" s="167"/>
      <c r="E12" s="91"/>
      <c r="F12" s="91"/>
      <c r="G12" s="91"/>
      <c r="H12" s="91"/>
      <c r="I12" s="91"/>
      <c r="J12" s="168"/>
      <c r="K12" s="50"/>
    </row>
    <row r="13" spans="1:11" x14ac:dyDescent="0.25">
      <c r="A13" s="166"/>
      <c r="B13" s="91"/>
      <c r="C13" s="91"/>
      <c r="D13" s="167"/>
      <c r="E13" s="91"/>
      <c r="F13" s="91"/>
      <c r="G13" s="91"/>
      <c r="H13" s="91"/>
      <c r="I13" s="91"/>
      <c r="J13" s="168"/>
      <c r="K13" s="50"/>
    </row>
    <row r="14" spans="1:11" x14ac:dyDescent="0.25">
      <c r="A14" s="166"/>
      <c r="B14" s="91"/>
      <c r="C14" s="91"/>
      <c r="D14" s="167"/>
      <c r="E14" s="91"/>
      <c r="F14" s="91"/>
      <c r="G14" s="91"/>
      <c r="H14" s="91"/>
      <c r="I14" s="91"/>
      <c r="J14" s="168"/>
      <c r="K14" s="50"/>
    </row>
    <row r="15" spans="1:11" x14ac:dyDescent="0.25">
      <c r="A15" s="166"/>
      <c r="B15" s="91"/>
      <c r="C15" s="91"/>
      <c r="D15" s="167"/>
      <c r="E15" s="91"/>
      <c r="F15" s="91"/>
      <c r="G15" s="91"/>
      <c r="H15" s="91"/>
      <c r="I15" s="91"/>
      <c r="J15" s="168"/>
      <c r="K15" s="50"/>
    </row>
    <row r="16" spans="1:11" x14ac:dyDescent="0.25">
      <c r="A16" s="166"/>
      <c r="B16" s="91"/>
      <c r="C16" s="91"/>
      <c r="D16" s="167"/>
      <c r="E16" s="91"/>
      <c r="F16" s="91"/>
      <c r="G16" s="91"/>
      <c r="H16" s="91"/>
      <c r="I16" s="91"/>
      <c r="J16" s="168"/>
      <c r="K16" s="50"/>
    </row>
    <row r="17" spans="1:11" x14ac:dyDescent="0.25">
      <c r="A17" s="166"/>
      <c r="B17" s="91"/>
      <c r="C17" s="91"/>
      <c r="D17" s="167"/>
      <c r="E17" s="91"/>
      <c r="F17" s="91"/>
      <c r="G17" s="91"/>
      <c r="H17" s="91"/>
      <c r="I17" s="91"/>
      <c r="J17" s="168"/>
      <c r="K17" s="50"/>
    </row>
    <row r="18" spans="1:11" x14ac:dyDescent="0.25">
      <c r="A18" s="166"/>
      <c r="B18" s="91"/>
      <c r="C18" s="91"/>
      <c r="D18" s="167"/>
      <c r="E18" s="91"/>
      <c r="F18" s="91"/>
      <c r="G18" s="91"/>
      <c r="H18" s="91"/>
      <c r="I18" s="91"/>
      <c r="J18" s="168"/>
      <c r="K18" s="50"/>
    </row>
    <row r="19" spans="1:11" x14ac:dyDescent="0.25">
      <c r="A19" s="166"/>
      <c r="B19" s="91"/>
      <c r="C19" s="91"/>
      <c r="D19" s="167"/>
      <c r="E19" s="91"/>
      <c r="F19" s="91"/>
      <c r="G19" s="91"/>
      <c r="H19" s="91"/>
      <c r="I19" s="91"/>
      <c r="J19" s="168"/>
      <c r="K19" s="50"/>
    </row>
    <row r="20" spans="1:11" x14ac:dyDescent="0.25">
      <c r="A20" s="166"/>
      <c r="B20" s="91"/>
      <c r="C20" s="91"/>
      <c r="D20" s="167"/>
      <c r="E20" s="91"/>
      <c r="F20" s="91"/>
      <c r="G20" s="91"/>
      <c r="H20" s="91"/>
      <c r="I20" s="91"/>
      <c r="J20" s="168"/>
      <c r="K20" s="50"/>
    </row>
    <row r="21" spans="1:11" x14ac:dyDescent="0.25">
      <c r="A21" s="166"/>
      <c r="B21" s="91"/>
      <c r="C21" s="91"/>
      <c r="D21" s="167"/>
      <c r="E21" s="91"/>
      <c r="F21" s="91"/>
      <c r="G21" s="91"/>
      <c r="H21" s="91"/>
      <c r="I21" s="91"/>
      <c r="J21" s="168"/>
      <c r="K21" s="50"/>
    </row>
    <row r="22" spans="1:11" x14ac:dyDescent="0.25">
      <c r="A22" s="166"/>
      <c r="B22" s="91"/>
      <c r="C22" s="91"/>
      <c r="D22" s="167"/>
      <c r="E22" s="91"/>
      <c r="F22" s="91"/>
      <c r="G22" s="91"/>
      <c r="H22" s="91"/>
      <c r="I22" s="91"/>
      <c r="J22" s="168"/>
      <c r="K22" s="50"/>
    </row>
    <row r="23" spans="1:11" x14ac:dyDescent="0.25">
      <c r="A23" s="166"/>
      <c r="B23" s="91"/>
      <c r="C23" s="91"/>
      <c r="D23" s="167"/>
      <c r="E23" s="91"/>
      <c r="F23" s="91"/>
      <c r="G23" s="91"/>
      <c r="H23" s="91"/>
      <c r="I23" s="91"/>
      <c r="J23" s="168"/>
      <c r="K23" s="50"/>
    </row>
    <row r="24" spans="1:11" ht="15.75" thickBot="1" x14ac:dyDescent="0.3">
      <c r="A24" s="166"/>
      <c r="B24" s="91"/>
      <c r="C24" s="91"/>
      <c r="D24" s="167"/>
      <c r="E24" s="91"/>
      <c r="F24" s="91"/>
      <c r="G24" s="91"/>
      <c r="H24" s="91"/>
      <c r="I24" s="91"/>
      <c r="J24" s="168"/>
      <c r="K24" s="82"/>
    </row>
    <row r="25" spans="1:11" ht="16.5" thickBot="1" x14ac:dyDescent="0.3">
      <c r="A25" s="169"/>
      <c r="B25" s="170"/>
      <c r="C25" s="170"/>
      <c r="D25" s="171"/>
      <c r="E25" s="170"/>
      <c r="F25" s="170"/>
      <c r="G25" s="170"/>
      <c r="H25" s="170"/>
      <c r="I25" s="170"/>
      <c r="J25" s="172"/>
      <c r="K25" s="173">
        <f>SUM(K2:K24)</f>
        <v>0</v>
      </c>
    </row>
    <row r="26" spans="1:11" x14ac:dyDescent="0.25">
      <c r="A26"/>
      <c r="B26"/>
      <c r="C26"/>
      <c r="D26" s="174"/>
      <c r="E26"/>
      <c r="F26"/>
      <c r="G26"/>
      <c r="H26"/>
      <c r="I26"/>
      <c r="J26" s="7"/>
    </row>
    <row r="27" spans="1:11" x14ac:dyDescent="0.25">
      <c r="A27"/>
      <c r="B27"/>
      <c r="C27"/>
      <c r="D27" s="174"/>
      <c r="E27"/>
      <c r="F27"/>
      <c r="G27"/>
      <c r="H27"/>
      <c r="I27"/>
      <c r="J27" s="7"/>
    </row>
    <row r="28" spans="1:11" x14ac:dyDescent="0.25">
      <c r="A28"/>
      <c r="B28"/>
      <c r="C28"/>
      <c r="D28" s="174"/>
      <c r="E28"/>
      <c r="F28"/>
      <c r="G28"/>
      <c r="H28"/>
      <c r="I28"/>
      <c r="J28" s="7"/>
    </row>
    <row r="29" spans="1:11" x14ac:dyDescent="0.25">
      <c r="A29"/>
      <c r="B29"/>
      <c r="C29"/>
      <c r="D29" s="174"/>
      <c r="E29"/>
      <c r="F29"/>
      <c r="G29"/>
      <c r="H29"/>
      <c r="I29"/>
      <c r="J29" s="7"/>
    </row>
    <row r="30" spans="1:11" x14ac:dyDescent="0.25">
      <c r="A30"/>
      <c r="B30"/>
      <c r="C30"/>
      <c r="D30" s="174"/>
      <c r="E30"/>
      <c r="F30"/>
      <c r="G30"/>
      <c r="H30"/>
      <c r="I30"/>
      <c r="J30" s="7"/>
    </row>
    <row r="31" spans="1:11" x14ac:dyDescent="0.25">
      <c r="A31"/>
      <c r="B31"/>
      <c r="C31"/>
      <c r="D31" s="174"/>
      <c r="E31"/>
      <c r="F31"/>
      <c r="G31"/>
      <c r="H31"/>
      <c r="I31"/>
      <c r="J31" s="7"/>
    </row>
    <row r="32" spans="1:11" x14ac:dyDescent="0.25">
      <c r="A32"/>
      <c r="B32"/>
      <c r="C32"/>
      <c r="D32" s="174"/>
      <c r="E32"/>
      <c r="F32"/>
      <c r="G32"/>
      <c r="H32"/>
      <c r="I32"/>
      <c r="J32" s="7"/>
    </row>
    <row r="33" spans="1:10" x14ac:dyDescent="0.25">
      <c r="A33"/>
      <c r="B33"/>
      <c r="C33"/>
      <c r="D33" s="174"/>
      <c r="E33"/>
      <c r="F33"/>
      <c r="G33"/>
      <c r="H33"/>
      <c r="I33"/>
      <c r="J33" s="7"/>
    </row>
    <row r="34" spans="1:10" x14ac:dyDescent="0.25">
      <c r="A34"/>
      <c r="B34"/>
      <c r="C34"/>
      <c r="D34" s="174"/>
      <c r="E34"/>
      <c r="F34"/>
      <c r="G34"/>
      <c r="H34"/>
      <c r="I34"/>
      <c r="J34" s="7"/>
    </row>
    <row r="35" spans="1:10" x14ac:dyDescent="0.25">
      <c r="A35"/>
      <c r="B35"/>
      <c r="C35"/>
      <c r="D35" s="174"/>
      <c r="E35"/>
      <c r="F35"/>
      <c r="G35"/>
      <c r="H35"/>
      <c r="I35"/>
      <c r="J35" s="7"/>
    </row>
    <row r="36" spans="1:10" x14ac:dyDescent="0.25">
      <c r="A36"/>
      <c r="B36"/>
      <c r="C36"/>
      <c r="D36" s="174"/>
      <c r="E36"/>
      <c r="F36"/>
      <c r="G36"/>
      <c r="H36"/>
      <c r="I36"/>
      <c r="J36" s="7"/>
    </row>
    <row r="37" spans="1:10" x14ac:dyDescent="0.25">
      <c r="A37"/>
      <c r="B37"/>
      <c r="C37"/>
      <c r="D37" s="174"/>
      <c r="E37"/>
      <c r="F37"/>
      <c r="G37"/>
      <c r="H37"/>
      <c r="I37"/>
      <c r="J37" s="7"/>
    </row>
    <row r="38" spans="1:10" x14ac:dyDescent="0.25">
      <c r="A38"/>
      <c r="B38"/>
      <c r="C38"/>
      <c r="D38" s="174"/>
      <c r="E38"/>
      <c r="F38"/>
      <c r="G38"/>
      <c r="H38"/>
      <c r="I38"/>
      <c r="J38" s="7"/>
    </row>
    <row r="39" spans="1:10" x14ac:dyDescent="0.25">
      <c r="A39"/>
      <c r="B39"/>
      <c r="C39"/>
      <c r="D39" s="174"/>
      <c r="E39"/>
      <c r="F39"/>
      <c r="G39"/>
      <c r="H39"/>
      <c r="I39"/>
      <c r="J39" s="7"/>
    </row>
    <row r="40" spans="1:10" x14ac:dyDescent="0.25">
      <c r="A40"/>
      <c r="B40"/>
      <c r="C40"/>
      <c r="D40" s="174"/>
      <c r="E40"/>
      <c r="F40"/>
      <c r="G40"/>
      <c r="H40"/>
      <c r="I40"/>
      <c r="J40" s="7"/>
    </row>
    <row r="41" spans="1:10" x14ac:dyDescent="0.25">
      <c r="A41"/>
      <c r="B41"/>
      <c r="C41"/>
      <c r="D41" s="174"/>
      <c r="E41"/>
      <c r="F41"/>
      <c r="G41"/>
      <c r="H41"/>
      <c r="I41"/>
      <c r="J41" s="7"/>
    </row>
    <row r="42" spans="1:10" x14ac:dyDescent="0.25">
      <c r="A42"/>
      <c r="B42"/>
      <c r="C42"/>
      <c r="D42" s="174"/>
      <c r="E42"/>
      <c r="F42"/>
      <c r="G42"/>
      <c r="H42"/>
      <c r="I42"/>
      <c r="J42" s="7"/>
    </row>
    <row r="43" spans="1:10" x14ac:dyDescent="0.25">
      <c r="A43"/>
      <c r="B43"/>
      <c r="C43"/>
      <c r="D43" s="174"/>
      <c r="E43"/>
      <c r="F43"/>
      <c r="G43"/>
      <c r="H43"/>
      <c r="I43"/>
      <c r="J43" s="7"/>
    </row>
    <row r="44" spans="1:10" x14ac:dyDescent="0.25">
      <c r="A44"/>
      <c r="B44"/>
      <c r="C44"/>
      <c r="D44" s="174"/>
      <c r="E44"/>
      <c r="F44"/>
      <c r="G44"/>
      <c r="H44"/>
      <c r="I44"/>
      <c r="J44" s="7"/>
    </row>
    <row r="45" spans="1:10" x14ac:dyDescent="0.25">
      <c r="A45"/>
      <c r="B45"/>
      <c r="C45"/>
      <c r="D45" s="174"/>
      <c r="E45"/>
      <c r="F45"/>
      <c r="G45"/>
      <c r="H45"/>
      <c r="I45"/>
      <c r="J45" s="7"/>
    </row>
    <row r="46" spans="1:10" x14ac:dyDescent="0.25">
      <c r="A46"/>
      <c r="B46"/>
      <c r="C46"/>
      <c r="D46" s="174"/>
      <c r="E46"/>
      <c r="F46"/>
      <c r="G46"/>
      <c r="H46"/>
      <c r="I46"/>
      <c r="J46" s="7"/>
    </row>
    <row r="47" spans="1:10" x14ac:dyDescent="0.25">
      <c r="A47"/>
      <c r="B47"/>
      <c r="C47"/>
      <c r="D47" s="174"/>
      <c r="E47"/>
      <c r="F47"/>
      <c r="G47"/>
      <c r="H47"/>
      <c r="I47"/>
      <c r="J47" s="7"/>
    </row>
    <row r="48" spans="1:10" x14ac:dyDescent="0.25">
      <c r="A48"/>
      <c r="B48"/>
      <c r="C48"/>
      <c r="D48" s="174"/>
      <c r="E48"/>
      <c r="F48"/>
      <c r="G48"/>
      <c r="H48"/>
      <c r="I48"/>
      <c r="J48" s="7"/>
    </row>
    <row r="49" spans="1:10" x14ac:dyDescent="0.25">
      <c r="A49"/>
      <c r="B49"/>
      <c r="C49"/>
      <c r="D49" s="174"/>
      <c r="E49"/>
      <c r="F49"/>
      <c r="G49"/>
      <c r="H49"/>
      <c r="I49"/>
      <c r="J49" s="7"/>
    </row>
    <row r="50" spans="1:10" x14ac:dyDescent="0.25">
      <c r="A50"/>
      <c r="B50"/>
      <c r="C50" s="175"/>
      <c r="E50" s="175"/>
      <c r="F50" s="175"/>
      <c r="G50"/>
      <c r="H50"/>
      <c r="I50"/>
      <c r="J50" s="7"/>
    </row>
    <row r="51" spans="1:10" x14ac:dyDescent="0.25">
      <c r="A51"/>
      <c r="B51"/>
      <c r="C51"/>
      <c r="E51"/>
      <c r="F51" s="175"/>
      <c r="G51"/>
      <c r="H51"/>
      <c r="I51"/>
      <c r="J51" s="7"/>
    </row>
    <row r="52" spans="1:10" x14ac:dyDescent="0.25">
      <c r="A52"/>
      <c r="B52"/>
      <c r="C52"/>
      <c r="E52"/>
      <c r="F52"/>
      <c r="G52"/>
      <c r="H52"/>
      <c r="I52"/>
      <c r="J52" s="7"/>
    </row>
    <row r="53" spans="1:10" x14ac:dyDescent="0.25">
      <c r="A53"/>
      <c r="B53"/>
      <c r="C53"/>
      <c r="E53"/>
      <c r="F53"/>
      <c r="G53"/>
      <c r="H53"/>
      <c r="I53"/>
      <c r="J53" s="7"/>
    </row>
    <row r="54" spans="1:10" x14ac:dyDescent="0.25">
      <c r="A54"/>
      <c r="B54"/>
      <c r="C54"/>
      <c r="E54"/>
      <c r="F54"/>
      <c r="G54"/>
      <c r="H54"/>
      <c r="I54"/>
      <c r="J54" s="7"/>
    </row>
    <row r="55" spans="1:10" x14ac:dyDescent="0.25">
      <c r="A55"/>
      <c r="B55"/>
      <c r="C55" s="175"/>
      <c r="E55" s="175"/>
      <c r="F55" s="175"/>
      <c r="G55"/>
      <c r="H55"/>
      <c r="I55"/>
      <c r="J55" s="7"/>
    </row>
    <row r="56" spans="1:10" x14ac:dyDescent="0.25">
      <c r="A56"/>
      <c r="B56"/>
      <c r="C56" s="175"/>
      <c r="E56" s="175"/>
      <c r="F56" s="175"/>
      <c r="G56"/>
      <c r="H56"/>
      <c r="I56"/>
      <c r="J56" s="7"/>
    </row>
    <row r="57" spans="1:10" x14ac:dyDescent="0.25">
      <c r="A57"/>
      <c r="B57"/>
      <c r="C57"/>
      <c r="E57"/>
      <c r="F57"/>
      <c r="G57"/>
      <c r="H57"/>
      <c r="I57"/>
      <c r="J57" s="7"/>
    </row>
    <row r="58" spans="1:10" x14ac:dyDescent="0.25">
      <c r="A58"/>
      <c r="B58"/>
      <c r="C58" s="175"/>
      <c r="E58" s="175"/>
      <c r="F58" s="175"/>
      <c r="G58"/>
      <c r="H58"/>
      <c r="I58"/>
      <c r="J58" s="7"/>
    </row>
    <row r="59" spans="1:10" x14ac:dyDescent="0.25">
      <c r="A59"/>
      <c r="B59"/>
      <c r="C59" s="175"/>
      <c r="E59" s="175"/>
      <c r="F59" s="175"/>
      <c r="G59"/>
      <c r="H59"/>
      <c r="I59"/>
      <c r="J59" s="7"/>
    </row>
    <row r="60" spans="1:10" x14ac:dyDescent="0.25">
      <c r="A60"/>
      <c r="B60"/>
      <c r="C60" s="175"/>
      <c r="E60" s="175"/>
      <c r="F60" s="175"/>
      <c r="G60"/>
      <c r="H60"/>
      <c r="I60"/>
      <c r="J60" s="7"/>
    </row>
    <row r="61" spans="1:10" x14ac:dyDescent="0.25">
      <c r="A61"/>
      <c r="B61"/>
      <c r="C61" s="175"/>
      <c r="E61" s="175"/>
      <c r="F61" s="175"/>
      <c r="G61"/>
      <c r="H61"/>
      <c r="I61"/>
      <c r="J61" s="7"/>
    </row>
    <row r="62" spans="1:10" x14ac:dyDescent="0.25">
      <c r="A62"/>
      <c r="B62"/>
      <c r="C62"/>
      <c r="E62"/>
      <c r="F62"/>
      <c r="G62"/>
      <c r="H62"/>
      <c r="I62"/>
      <c r="J62" s="7"/>
    </row>
    <row r="63" spans="1:10" x14ac:dyDescent="0.25">
      <c r="A63"/>
      <c r="B63"/>
      <c r="C63" s="175"/>
      <c r="E63" s="175"/>
      <c r="F63" s="175"/>
      <c r="G63"/>
      <c r="H63"/>
      <c r="I63"/>
      <c r="J63" s="7"/>
    </row>
    <row r="64" spans="1:10" x14ac:dyDescent="0.25">
      <c r="A64"/>
      <c r="B64"/>
      <c r="C64"/>
      <c r="E64"/>
      <c r="F64"/>
      <c r="G64"/>
      <c r="H64"/>
      <c r="I64"/>
      <c r="J64" s="7"/>
    </row>
    <row r="65" spans="1:10" x14ac:dyDescent="0.25">
      <c r="A65"/>
      <c r="B65"/>
      <c r="C65"/>
      <c r="E65"/>
      <c r="F65"/>
      <c r="G65"/>
      <c r="H65"/>
      <c r="I65"/>
      <c r="J65" s="7"/>
    </row>
    <row r="66" spans="1:10" x14ac:dyDescent="0.25">
      <c r="A66"/>
      <c r="B66"/>
      <c r="C66" s="175"/>
      <c r="E66" s="175"/>
      <c r="F66" s="175"/>
      <c r="G66"/>
      <c r="H66"/>
      <c r="I66"/>
      <c r="J66" s="7"/>
    </row>
    <row r="67" spans="1:10" x14ac:dyDescent="0.25">
      <c r="A67"/>
      <c r="B67"/>
      <c r="C67"/>
      <c r="E67"/>
      <c r="F67" s="175"/>
      <c r="G67"/>
      <c r="H67"/>
      <c r="I67"/>
      <c r="J67" s="7"/>
    </row>
    <row r="68" spans="1:10" x14ac:dyDescent="0.25">
      <c r="A68"/>
      <c r="B68"/>
      <c r="C68"/>
      <c r="E68"/>
      <c r="F68"/>
      <c r="G68"/>
      <c r="H68"/>
      <c r="I68"/>
      <c r="J68" s="7"/>
    </row>
    <row r="69" spans="1:10" x14ac:dyDescent="0.25">
      <c r="A69"/>
      <c r="B69"/>
      <c r="C69"/>
      <c r="E69"/>
      <c r="F69"/>
      <c r="G69"/>
      <c r="H69"/>
      <c r="I69"/>
      <c r="J69" s="7"/>
    </row>
    <row r="70" spans="1:10" x14ac:dyDescent="0.25">
      <c r="A70"/>
      <c r="B70"/>
      <c r="C70" s="175"/>
      <c r="E70" s="175"/>
      <c r="F70" s="175"/>
      <c r="G70"/>
      <c r="H70"/>
      <c r="I70"/>
      <c r="J70" s="7"/>
    </row>
    <row r="71" spans="1:10" x14ac:dyDescent="0.25">
      <c r="A71"/>
      <c r="B71"/>
      <c r="C71" s="175"/>
      <c r="E71" s="175"/>
      <c r="F71" s="175"/>
      <c r="G71"/>
      <c r="H71"/>
      <c r="I71"/>
      <c r="J71" s="7"/>
    </row>
    <row r="72" spans="1:10" x14ac:dyDescent="0.25">
      <c r="A72"/>
      <c r="B72"/>
      <c r="C72" s="175"/>
      <c r="E72" s="175"/>
      <c r="F72" s="175"/>
      <c r="G72"/>
      <c r="H72"/>
      <c r="I72"/>
      <c r="J72" s="7"/>
    </row>
    <row r="73" spans="1:10" x14ac:dyDescent="0.25">
      <c r="A73"/>
      <c r="B73"/>
      <c r="C73" s="175"/>
      <c r="E73" s="175"/>
      <c r="F73" s="175"/>
      <c r="G73"/>
      <c r="H73"/>
      <c r="I73"/>
      <c r="J73" s="7"/>
    </row>
    <row r="74" spans="1:10" x14ac:dyDescent="0.25">
      <c r="A74"/>
      <c r="B74"/>
      <c r="C74" s="175"/>
      <c r="E74" s="175"/>
      <c r="F74" s="175"/>
      <c r="G74"/>
      <c r="H74"/>
      <c r="I74"/>
      <c r="J74" s="7"/>
    </row>
    <row r="75" spans="1:10" x14ac:dyDescent="0.25">
      <c r="A75"/>
      <c r="B75"/>
      <c r="C75"/>
      <c r="D75" s="174"/>
      <c r="E75"/>
      <c r="F75"/>
      <c r="G75"/>
      <c r="H75"/>
      <c r="I75"/>
      <c r="J75" s="7"/>
    </row>
    <row r="76" spans="1:10" x14ac:dyDescent="0.25">
      <c r="A76"/>
      <c r="B76"/>
      <c r="C76" s="175"/>
      <c r="E76" s="175"/>
      <c r="F76" s="175"/>
      <c r="G76"/>
      <c r="H76"/>
      <c r="I76"/>
      <c r="J76" s="7"/>
    </row>
    <row r="77" spans="1:10" x14ac:dyDescent="0.25">
      <c r="A77"/>
      <c r="B77"/>
      <c r="C77"/>
      <c r="D77" s="174"/>
      <c r="E77"/>
      <c r="F77"/>
      <c r="G77"/>
      <c r="H77"/>
      <c r="I77"/>
      <c r="J77" s="7"/>
    </row>
    <row r="78" spans="1:10" x14ac:dyDescent="0.25">
      <c r="A78"/>
      <c r="B78"/>
      <c r="C78" s="175"/>
      <c r="E78" s="175"/>
      <c r="F78" s="175"/>
      <c r="G78"/>
      <c r="H78"/>
      <c r="I78"/>
      <c r="J78" s="7"/>
    </row>
    <row r="79" spans="1:10" x14ac:dyDescent="0.25">
      <c r="A79"/>
      <c r="B79"/>
      <c r="C79"/>
      <c r="D79" s="174"/>
      <c r="E79"/>
      <c r="F79"/>
      <c r="G79"/>
      <c r="H79"/>
      <c r="I79"/>
      <c r="J79" s="7"/>
    </row>
    <row r="80" spans="1:10" x14ac:dyDescent="0.25">
      <c r="A80"/>
      <c r="B80"/>
      <c r="C80"/>
      <c r="D80" s="174"/>
      <c r="E80"/>
      <c r="F80"/>
      <c r="G80"/>
      <c r="H80"/>
      <c r="I80"/>
      <c r="J80" s="7"/>
    </row>
    <row r="81" spans="1:10" x14ac:dyDescent="0.25">
      <c r="A81"/>
      <c r="B81"/>
      <c r="C81" s="175"/>
      <c r="E81" s="175"/>
      <c r="F81" s="175"/>
      <c r="G81"/>
      <c r="H81"/>
      <c r="I81"/>
      <c r="J81" s="7"/>
    </row>
    <row r="82" spans="1:10" x14ac:dyDescent="0.25">
      <c r="A82"/>
      <c r="B82"/>
      <c r="C82"/>
      <c r="E82"/>
      <c r="F82"/>
      <c r="G82"/>
      <c r="H82"/>
      <c r="I82"/>
      <c r="J82" s="7"/>
    </row>
    <row r="83" spans="1:10" x14ac:dyDescent="0.25">
      <c r="A83"/>
      <c r="B83"/>
      <c r="C83" s="175"/>
      <c r="E83" s="175"/>
      <c r="F83" s="175"/>
      <c r="G83"/>
      <c r="H83"/>
      <c r="I83"/>
      <c r="J83" s="7"/>
    </row>
    <row r="84" spans="1:10" x14ac:dyDescent="0.25">
      <c r="A84"/>
      <c r="B84"/>
      <c r="C84"/>
      <c r="E84"/>
      <c r="F84" s="175"/>
      <c r="G84"/>
      <c r="H84"/>
      <c r="I84"/>
      <c r="J84" s="7"/>
    </row>
    <row r="85" spans="1:10" x14ac:dyDescent="0.25">
      <c r="A85"/>
      <c r="B85"/>
      <c r="C85"/>
      <c r="D85" s="174"/>
      <c r="E85"/>
      <c r="F85"/>
      <c r="G85"/>
      <c r="H85"/>
      <c r="I85"/>
      <c r="J85" s="7"/>
    </row>
    <row r="86" spans="1:10" x14ac:dyDescent="0.25">
      <c r="A86"/>
      <c r="B86"/>
      <c r="C86" s="175"/>
      <c r="E86" s="175"/>
      <c r="F86" s="175"/>
      <c r="G86"/>
      <c r="H86"/>
      <c r="I86"/>
      <c r="J86" s="7"/>
    </row>
    <row r="87" spans="1:10" x14ac:dyDescent="0.25">
      <c r="A87"/>
      <c r="B87"/>
      <c r="C87" s="175"/>
      <c r="E87" s="175"/>
      <c r="F87" s="175"/>
      <c r="G87"/>
      <c r="H87"/>
      <c r="I87"/>
      <c r="J87" s="7"/>
    </row>
    <row r="88" spans="1:10" x14ac:dyDescent="0.25">
      <c r="A88"/>
      <c r="B88"/>
      <c r="C88"/>
      <c r="D88" s="174"/>
      <c r="E88"/>
      <c r="F88"/>
      <c r="G88"/>
      <c r="H88"/>
      <c r="I88"/>
      <c r="J88" s="7"/>
    </row>
    <row r="89" spans="1:10" x14ac:dyDescent="0.25">
      <c r="A89"/>
      <c r="B89"/>
      <c r="C89" s="175"/>
      <c r="E89" s="175"/>
      <c r="F89" s="175"/>
      <c r="G89"/>
      <c r="H89"/>
      <c r="I89"/>
      <c r="J89" s="7"/>
    </row>
    <row r="90" spans="1:10" x14ac:dyDescent="0.25">
      <c r="A90"/>
      <c r="B90"/>
      <c r="C90"/>
      <c r="E90"/>
      <c r="F90" s="175"/>
      <c r="G90"/>
      <c r="H90"/>
      <c r="I90"/>
      <c r="J90" s="7"/>
    </row>
    <row r="91" spans="1:10" x14ac:dyDescent="0.25">
      <c r="A91"/>
      <c r="B91"/>
      <c r="C91" s="175"/>
      <c r="E91" s="175"/>
      <c r="F91" s="175"/>
      <c r="G91"/>
      <c r="H91"/>
      <c r="I91"/>
      <c r="J91" s="7"/>
    </row>
    <row r="92" spans="1:10" x14ac:dyDescent="0.25">
      <c r="A92"/>
      <c r="B92"/>
      <c r="C92" s="175"/>
      <c r="E92" s="175"/>
      <c r="F92" s="175"/>
      <c r="G92"/>
      <c r="H92"/>
      <c r="I92"/>
      <c r="J92" s="7"/>
    </row>
    <row r="93" spans="1:10" x14ac:dyDescent="0.25">
      <c r="A93"/>
      <c r="B93"/>
      <c r="C93" s="175"/>
      <c r="E93" s="175"/>
      <c r="F93" s="175"/>
      <c r="G93"/>
      <c r="H93"/>
      <c r="I93"/>
      <c r="J93" s="7"/>
    </row>
    <row r="94" spans="1:10" x14ac:dyDescent="0.25">
      <c r="A94"/>
      <c r="B94"/>
      <c r="C94"/>
      <c r="E94"/>
      <c r="F94" s="175"/>
      <c r="G94"/>
      <c r="H94"/>
      <c r="I94"/>
      <c r="J94" s="7"/>
    </row>
    <row r="95" spans="1:10" x14ac:dyDescent="0.25">
      <c r="A95"/>
      <c r="B95"/>
      <c r="C95"/>
      <c r="D95" s="174"/>
      <c r="E95"/>
      <c r="F95"/>
      <c r="G95"/>
      <c r="H95"/>
      <c r="I95"/>
      <c r="J95" s="7"/>
    </row>
    <row r="96" spans="1:10" x14ac:dyDescent="0.25">
      <c r="A96"/>
      <c r="B96"/>
      <c r="C96"/>
      <c r="E96"/>
      <c r="F96"/>
      <c r="G96"/>
      <c r="H96"/>
      <c r="I96"/>
      <c r="J96" s="7"/>
    </row>
    <row r="97" spans="1:10" x14ac:dyDescent="0.25">
      <c r="A97"/>
      <c r="B97"/>
      <c r="C97"/>
      <c r="D97" s="174"/>
      <c r="E97"/>
      <c r="F97"/>
      <c r="G97"/>
      <c r="H97"/>
      <c r="I97"/>
      <c r="J97" s="7"/>
    </row>
    <row r="98" spans="1:10" x14ac:dyDescent="0.25">
      <c r="A98"/>
      <c r="B98"/>
      <c r="C98"/>
      <c r="D98" s="174"/>
      <c r="E98"/>
      <c r="F98"/>
      <c r="G98"/>
      <c r="H98"/>
      <c r="I98"/>
      <c r="J98" s="7"/>
    </row>
    <row r="99" spans="1:10" x14ac:dyDescent="0.25">
      <c r="A99"/>
      <c r="B99"/>
      <c r="C99"/>
      <c r="D99" s="174"/>
      <c r="E99"/>
      <c r="F99"/>
      <c r="G99"/>
      <c r="H99"/>
      <c r="I99"/>
      <c r="J99" s="7"/>
    </row>
    <row r="100" spans="1:10" x14ac:dyDescent="0.25">
      <c r="A100"/>
      <c r="B100"/>
      <c r="C100"/>
      <c r="E100"/>
      <c r="F100"/>
      <c r="G100"/>
      <c r="H100"/>
      <c r="I100"/>
      <c r="J100" s="7"/>
    </row>
    <row r="101" spans="1:10" x14ac:dyDescent="0.25">
      <c r="A101"/>
      <c r="B101"/>
      <c r="C101" s="175"/>
      <c r="E101" s="175"/>
      <c r="F101" s="175"/>
      <c r="G101"/>
      <c r="H101"/>
      <c r="I101"/>
      <c r="J101" s="7"/>
    </row>
    <row r="102" spans="1:10" x14ac:dyDescent="0.25">
      <c r="A102"/>
      <c r="B102"/>
      <c r="C102" s="175"/>
      <c r="E102" s="175"/>
      <c r="F102" s="175"/>
      <c r="G102"/>
      <c r="H102"/>
      <c r="I102"/>
      <c r="J102" s="7"/>
    </row>
    <row r="103" spans="1:10" x14ac:dyDescent="0.25">
      <c r="A103"/>
      <c r="B103"/>
      <c r="C103"/>
      <c r="E103"/>
      <c r="F103"/>
      <c r="G103"/>
      <c r="H103"/>
      <c r="I103"/>
      <c r="J103" s="7"/>
    </row>
    <row r="104" spans="1:10" x14ac:dyDescent="0.25">
      <c r="A104"/>
      <c r="B104"/>
      <c r="C104" s="175"/>
      <c r="E104" s="175"/>
      <c r="F104" s="175"/>
      <c r="G104"/>
      <c r="H104"/>
      <c r="I104"/>
      <c r="J104" s="7"/>
    </row>
    <row r="105" spans="1:10" x14ac:dyDescent="0.25">
      <c r="A105"/>
      <c r="B105"/>
      <c r="C105" s="175"/>
      <c r="E105" s="175"/>
      <c r="F105" s="175"/>
      <c r="G105"/>
      <c r="H105"/>
      <c r="I105"/>
      <c r="J105" s="7"/>
    </row>
    <row r="106" spans="1:10" x14ac:dyDescent="0.25">
      <c r="A106"/>
      <c r="B106"/>
      <c r="C106"/>
      <c r="E106"/>
      <c r="F106" s="175"/>
      <c r="G106"/>
      <c r="H106"/>
      <c r="I106"/>
      <c r="J106" s="7"/>
    </row>
    <row r="107" spans="1:10" x14ac:dyDescent="0.25">
      <c r="A107"/>
      <c r="B107"/>
      <c r="C107" s="175"/>
      <c r="E107" s="175"/>
      <c r="F107" s="175"/>
      <c r="G107"/>
      <c r="H107"/>
      <c r="I107"/>
      <c r="J107" s="7"/>
    </row>
    <row r="108" spans="1:10" x14ac:dyDescent="0.25">
      <c r="A108"/>
      <c r="B108"/>
      <c r="C108" s="175"/>
      <c r="E108" s="175"/>
      <c r="F108" s="175"/>
      <c r="G108"/>
      <c r="H108"/>
      <c r="I108"/>
      <c r="J108" s="7"/>
    </row>
    <row r="109" spans="1:10" x14ac:dyDescent="0.25">
      <c r="A109"/>
      <c r="B109"/>
      <c r="C109" s="175"/>
      <c r="E109" s="175"/>
      <c r="F109" s="175"/>
      <c r="G109"/>
      <c r="H109"/>
      <c r="I109"/>
      <c r="J109" s="7"/>
    </row>
    <row r="110" spans="1:10" x14ac:dyDescent="0.25">
      <c r="A110"/>
      <c r="B110"/>
      <c r="C110"/>
      <c r="D110" s="174"/>
      <c r="E110"/>
      <c r="F110"/>
      <c r="G110"/>
      <c r="H110"/>
      <c r="I110"/>
      <c r="J110" s="7"/>
    </row>
    <row r="111" spans="1:10" x14ac:dyDescent="0.25">
      <c r="A111"/>
      <c r="B111"/>
      <c r="C111" s="175"/>
      <c r="E111" s="175"/>
      <c r="F111" s="175"/>
      <c r="G111"/>
      <c r="H111"/>
      <c r="I111"/>
      <c r="J111" s="7"/>
    </row>
    <row r="112" spans="1:10" x14ac:dyDescent="0.25">
      <c r="A112"/>
      <c r="B112"/>
      <c r="C112"/>
      <c r="D112" s="174"/>
      <c r="E112"/>
      <c r="F112"/>
      <c r="G112"/>
      <c r="H112"/>
      <c r="I112"/>
      <c r="J112" s="7"/>
    </row>
    <row r="113" spans="1:10" x14ac:dyDescent="0.25">
      <c r="A113"/>
      <c r="B113"/>
      <c r="C113"/>
      <c r="D113" s="174"/>
      <c r="E113"/>
      <c r="F113"/>
      <c r="G113"/>
      <c r="H113"/>
      <c r="I113"/>
      <c r="J113" s="7"/>
    </row>
    <row r="114" spans="1:10" x14ac:dyDescent="0.25">
      <c r="A114"/>
      <c r="B114"/>
      <c r="C114"/>
      <c r="D114" s="174"/>
      <c r="E114"/>
      <c r="F114"/>
      <c r="G114"/>
      <c r="H114"/>
      <c r="I114"/>
      <c r="J114" s="7"/>
    </row>
    <row r="115" spans="1:10" x14ac:dyDescent="0.25">
      <c r="A115"/>
      <c r="B115"/>
      <c r="C115" s="175"/>
      <c r="E115" s="175"/>
      <c r="F115" s="175"/>
      <c r="G115"/>
      <c r="H115"/>
      <c r="I115"/>
      <c r="J115" s="7"/>
    </row>
    <row r="116" spans="1:10" x14ac:dyDescent="0.25">
      <c r="A116"/>
      <c r="B116"/>
      <c r="C116" s="175"/>
      <c r="E116" s="175"/>
      <c r="F116" s="175"/>
      <c r="G116"/>
      <c r="H116"/>
      <c r="I116"/>
      <c r="J116" s="7"/>
    </row>
    <row r="117" spans="1:10" x14ac:dyDescent="0.25">
      <c r="A117"/>
      <c r="B117"/>
      <c r="C117" s="175"/>
      <c r="E117" s="175"/>
      <c r="F117" s="175"/>
      <c r="G117"/>
      <c r="H117"/>
      <c r="I117"/>
      <c r="J117" s="7"/>
    </row>
    <row r="118" spans="1:10" x14ac:dyDescent="0.25">
      <c r="A118"/>
      <c r="B118"/>
      <c r="C118"/>
      <c r="D118" s="174"/>
      <c r="E118"/>
      <c r="F118"/>
      <c r="G118"/>
      <c r="H118"/>
      <c r="I118"/>
      <c r="J118" s="7"/>
    </row>
    <row r="119" spans="1:10" x14ac:dyDescent="0.25">
      <c r="A119"/>
      <c r="B119"/>
      <c r="C119" s="175"/>
      <c r="E119" s="175"/>
      <c r="F119" s="175"/>
      <c r="G119"/>
      <c r="H119"/>
      <c r="I119"/>
      <c r="J119" s="7"/>
    </row>
    <row r="120" spans="1:10" x14ac:dyDescent="0.25">
      <c r="A120"/>
      <c r="B120"/>
      <c r="C120"/>
      <c r="D120" s="174"/>
      <c r="E120"/>
      <c r="F120"/>
      <c r="G120"/>
      <c r="H120"/>
      <c r="I120"/>
      <c r="J120" s="7"/>
    </row>
    <row r="121" spans="1:10" x14ac:dyDescent="0.25">
      <c r="A121"/>
      <c r="B121"/>
      <c r="C121"/>
      <c r="E121"/>
      <c r="F121"/>
      <c r="G121"/>
      <c r="H121"/>
      <c r="I121"/>
      <c r="J121" s="7"/>
    </row>
    <row r="122" spans="1:10" x14ac:dyDescent="0.25">
      <c r="A122"/>
      <c r="B122"/>
      <c r="C122" s="175"/>
      <c r="E122" s="175"/>
      <c r="F122" s="175"/>
      <c r="G122"/>
      <c r="H122"/>
      <c r="I122"/>
      <c r="J122" s="7"/>
    </row>
    <row r="123" spans="1:10" x14ac:dyDescent="0.25">
      <c r="A123"/>
      <c r="B123"/>
      <c r="C123" s="175"/>
      <c r="E123" s="175"/>
      <c r="F123" s="175"/>
      <c r="G123"/>
      <c r="H123"/>
      <c r="I123"/>
      <c r="J123" s="7"/>
    </row>
    <row r="124" spans="1:10" x14ac:dyDescent="0.25">
      <c r="A124"/>
      <c r="B124"/>
      <c r="C124"/>
      <c r="E124"/>
      <c r="F124"/>
      <c r="G124"/>
      <c r="H124"/>
      <c r="I124"/>
      <c r="J124" s="7"/>
    </row>
    <row r="125" spans="1:10" x14ac:dyDescent="0.25">
      <c r="A125"/>
      <c r="B125"/>
      <c r="C125"/>
      <c r="D125" s="174"/>
      <c r="E125"/>
      <c r="F125"/>
      <c r="G125"/>
      <c r="H125"/>
      <c r="I125"/>
      <c r="J125" s="7"/>
    </row>
    <row r="126" spans="1:10" x14ac:dyDescent="0.25">
      <c r="A126"/>
      <c r="B126"/>
      <c r="C126"/>
      <c r="D126" s="174"/>
      <c r="E126"/>
      <c r="F126"/>
      <c r="G126"/>
      <c r="H126"/>
      <c r="I126"/>
      <c r="J126" s="7"/>
    </row>
    <row r="127" spans="1:10" x14ac:dyDescent="0.25">
      <c r="A127"/>
      <c r="B127"/>
      <c r="C127"/>
      <c r="D127" s="174"/>
      <c r="E127"/>
      <c r="F127"/>
      <c r="G127"/>
      <c r="H127"/>
      <c r="I127"/>
      <c r="J127" s="7"/>
    </row>
    <row r="128" spans="1:10" x14ac:dyDescent="0.25">
      <c r="A128"/>
      <c r="B128"/>
      <c r="C128"/>
      <c r="D128" s="174"/>
      <c r="E128"/>
      <c r="F128"/>
      <c r="G128"/>
      <c r="H128"/>
      <c r="I128"/>
      <c r="J128" s="7"/>
    </row>
    <row r="129" spans="1:10" x14ac:dyDescent="0.25">
      <c r="A129"/>
      <c r="B129"/>
      <c r="C129"/>
      <c r="E129"/>
      <c r="F129"/>
      <c r="G129"/>
      <c r="H129"/>
      <c r="I129"/>
      <c r="J129" s="7"/>
    </row>
    <row r="130" spans="1:10" x14ac:dyDescent="0.25">
      <c r="A130"/>
      <c r="B130"/>
      <c r="C130"/>
      <c r="E130"/>
      <c r="F130" s="175"/>
      <c r="G130"/>
      <c r="H130"/>
      <c r="I130"/>
      <c r="J130" s="7"/>
    </row>
    <row r="131" spans="1:10" x14ac:dyDescent="0.25">
      <c r="A131"/>
      <c r="B131"/>
      <c r="C131" s="175"/>
      <c r="E131" s="175"/>
      <c r="F131" s="175"/>
      <c r="G131"/>
      <c r="H131"/>
      <c r="I131"/>
      <c r="J131" s="7"/>
    </row>
    <row r="132" spans="1:10" x14ac:dyDescent="0.25">
      <c r="A132"/>
      <c r="B132"/>
      <c r="C132"/>
      <c r="D132" s="174"/>
      <c r="E132"/>
      <c r="F132"/>
      <c r="G132"/>
      <c r="H132"/>
      <c r="I132"/>
      <c r="J132" s="7"/>
    </row>
    <row r="133" spans="1:10" x14ac:dyDescent="0.25">
      <c r="A133"/>
      <c r="B133"/>
      <c r="C133" s="175"/>
      <c r="E133" s="175"/>
      <c r="F133" s="175"/>
      <c r="G133"/>
      <c r="H133"/>
      <c r="I133"/>
      <c r="J133" s="7"/>
    </row>
    <row r="134" spans="1:10" x14ac:dyDescent="0.25">
      <c r="A134"/>
      <c r="B134"/>
      <c r="C134" s="175"/>
      <c r="E134" s="175"/>
      <c r="F134" s="175"/>
      <c r="G134"/>
      <c r="H134"/>
      <c r="I134"/>
      <c r="J134" s="7"/>
    </row>
    <row r="135" spans="1:10" x14ac:dyDescent="0.25">
      <c r="A135"/>
      <c r="B135"/>
      <c r="C135"/>
      <c r="D135" s="174"/>
      <c r="E135"/>
      <c r="F135"/>
      <c r="G135"/>
      <c r="H135"/>
      <c r="I135"/>
      <c r="J135" s="7"/>
    </row>
    <row r="136" spans="1:10" x14ac:dyDescent="0.25">
      <c r="A136"/>
      <c r="B136"/>
      <c r="C136"/>
      <c r="D136" s="174"/>
      <c r="E136"/>
      <c r="F136"/>
      <c r="G136"/>
      <c r="H136"/>
      <c r="I136"/>
      <c r="J136" s="7"/>
    </row>
    <row r="137" spans="1:10" x14ac:dyDescent="0.25">
      <c r="A137"/>
      <c r="B137"/>
      <c r="C137"/>
      <c r="D137" s="174"/>
      <c r="E137"/>
      <c r="F137"/>
      <c r="G137"/>
      <c r="H137"/>
      <c r="I137"/>
      <c r="J137" s="7"/>
    </row>
    <row r="138" spans="1:10" x14ac:dyDescent="0.25">
      <c r="A138"/>
      <c r="B138"/>
      <c r="C138" s="175"/>
      <c r="E138" s="175"/>
      <c r="F138" s="175"/>
      <c r="G138"/>
      <c r="H138"/>
      <c r="I138"/>
      <c r="J138" s="7"/>
    </row>
    <row r="139" spans="1:10" x14ac:dyDescent="0.25">
      <c r="A139"/>
      <c r="B139"/>
      <c r="C139"/>
      <c r="E139"/>
      <c r="F139" s="175"/>
      <c r="G139"/>
      <c r="H139"/>
      <c r="I139"/>
      <c r="J139" s="7"/>
    </row>
    <row r="140" spans="1:10" x14ac:dyDescent="0.25">
      <c r="A140"/>
      <c r="B140"/>
      <c r="C140" s="175"/>
      <c r="E140" s="175"/>
      <c r="F140" s="175"/>
      <c r="G140"/>
      <c r="H140"/>
      <c r="I140"/>
      <c r="J140" s="7"/>
    </row>
    <row r="141" spans="1:10" x14ac:dyDescent="0.25">
      <c r="A141"/>
      <c r="B141"/>
      <c r="C141" s="175"/>
      <c r="E141" s="175"/>
      <c r="F141" s="175"/>
      <c r="G141"/>
      <c r="H141"/>
      <c r="I141"/>
      <c r="J141" s="7"/>
    </row>
    <row r="142" spans="1:10" x14ac:dyDescent="0.25">
      <c r="A142"/>
      <c r="B142"/>
      <c r="C142"/>
      <c r="D142" s="174"/>
      <c r="E142"/>
      <c r="F142"/>
      <c r="G142"/>
      <c r="H142"/>
      <c r="I142"/>
      <c r="J142" s="7"/>
    </row>
    <row r="143" spans="1:10" x14ac:dyDescent="0.25">
      <c r="A143"/>
      <c r="B143"/>
      <c r="C143" s="175"/>
      <c r="E143" s="175"/>
      <c r="F143" s="175"/>
      <c r="G143"/>
      <c r="H143"/>
      <c r="I143"/>
      <c r="J143" s="7"/>
    </row>
    <row r="144" spans="1:10" x14ac:dyDescent="0.25">
      <c r="A144"/>
      <c r="B144"/>
      <c r="C144" s="175"/>
      <c r="E144" s="175"/>
      <c r="F144" s="175"/>
      <c r="G144"/>
      <c r="H144"/>
      <c r="I144"/>
      <c r="J144" s="7"/>
    </row>
    <row r="145" spans="1:10" x14ac:dyDescent="0.25">
      <c r="A145"/>
      <c r="B145"/>
      <c r="C145" s="175"/>
      <c r="E145" s="175"/>
      <c r="F145" s="175"/>
      <c r="G145"/>
      <c r="H145"/>
      <c r="I145"/>
      <c r="J145" s="7"/>
    </row>
    <row r="146" spans="1:10" x14ac:dyDescent="0.25">
      <c r="A146"/>
      <c r="B146"/>
      <c r="C146" s="175"/>
      <c r="E146" s="175"/>
      <c r="F146" s="175"/>
      <c r="G146"/>
      <c r="H146"/>
      <c r="I146"/>
      <c r="J146" s="7"/>
    </row>
    <row r="147" spans="1:10" x14ac:dyDescent="0.25">
      <c r="A147"/>
      <c r="B147"/>
      <c r="C147" s="175"/>
      <c r="E147" s="175"/>
      <c r="F147" s="175"/>
      <c r="G147"/>
      <c r="H147"/>
      <c r="I147"/>
      <c r="J147" s="7"/>
    </row>
    <row r="148" spans="1:10" x14ac:dyDescent="0.25">
      <c r="A148"/>
      <c r="B148"/>
      <c r="C148" s="175"/>
      <c r="E148" s="175"/>
      <c r="F148" s="175"/>
      <c r="G148"/>
      <c r="H148"/>
      <c r="I148"/>
      <c r="J148" s="7"/>
    </row>
    <row r="149" spans="1:10" x14ac:dyDescent="0.25">
      <c r="A149"/>
      <c r="B149"/>
      <c r="C149"/>
      <c r="E149"/>
      <c r="F149"/>
      <c r="G149"/>
      <c r="H149"/>
      <c r="I149"/>
      <c r="J149" s="7"/>
    </row>
    <row r="150" spans="1:10" x14ac:dyDescent="0.25">
      <c r="A150"/>
      <c r="B150"/>
      <c r="C150" s="175"/>
      <c r="E150" s="175"/>
      <c r="F150" s="175"/>
      <c r="G150"/>
      <c r="H150"/>
      <c r="I150"/>
      <c r="J150" s="7"/>
    </row>
    <row r="151" spans="1:10" x14ac:dyDescent="0.25">
      <c r="A151"/>
      <c r="B151"/>
      <c r="C151"/>
      <c r="E151"/>
      <c r="F151" s="175"/>
      <c r="G151"/>
      <c r="H151"/>
      <c r="I151"/>
      <c r="J151" s="7"/>
    </row>
    <row r="152" spans="1:10" x14ac:dyDescent="0.25">
      <c r="A152"/>
      <c r="B152"/>
      <c r="C152"/>
      <c r="E152"/>
      <c r="F152"/>
      <c r="G152"/>
      <c r="H152"/>
      <c r="I152"/>
      <c r="J152" s="7"/>
    </row>
    <row r="153" spans="1:10" x14ac:dyDescent="0.25">
      <c r="A153"/>
      <c r="B153"/>
      <c r="C153"/>
      <c r="E153"/>
      <c r="F153"/>
      <c r="G153"/>
      <c r="H153"/>
      <c r="I153"/>
      <c r="J153" s="7"/>
    </row>
    <row r="154" spans="1:10" x14ac:dyDescent="0.25">
      <c r="A154"/>
      <c r="B154"/>
      <c r="C154" s="175"/>
      <c r="E154" s="175"/>
      <c r="F154" s="175"/>
      <c r="G154"/>
      <c r="H154"/>
      <c r="I154"/>
      <c r="J154" s="7"/>
    </row>
    <row r="155" spans="1:10" x14ac:dyDescent="0.25">
      <c r="A155"/>
      <c r="B155"/>
      <c r="C155" s="175"/>
      <c r="E155" s="175"/>
      <c r="F155" s="175"/>
      <c r="G155"/>
      <c r="H155"/>
      <c r="I155"/>
      <c r="J155" s="7"/>
    </row>
    <row r="156" spans="1:10" x14ac:dyDescent="0.25">
      <c r="A156"/>
      <c r="B156"/>
      <c r="C156"/>
      <c r="E156"/>
      <c r="F156"/>
      <c r="G156"/>
      <c r="H156"/>
      <c r="I156"/>
      <c r="J156" s="7"/>
    </row>
    <row r="157" spans="1:10" x14ac:dyDescent="0.25">
      <c r="A157"/>
      <c r="B157"/>
      <c r="C157"/>
      <c r="E157"/>
      <c r="F157"/>
      <c r="G157"/>
      <c r="H157"/>
      <c r="I157"/>
      <c r="J157" s="7"/>
    </row>
    <row r="158" spans="1:10" x14ac:dyDescent="0.25">
      <c r="A158"/>
      <c r="B158"/>
      <c r="C158" s="175"/>
      <c r="E158" s="175"/>
      <c r="F158" s="175"/>
      <c r="G158"/>
      <c r="H158"/>
      <c r="I158"/>
      <c r="J158" s="7"/>
    </row>
    <row r="159" spans="1:10" x14ac:dyDescent="0.25">
      <c r="A159"/>
      <c r="B159"/>
      <c r="C159"/>
      <c r="E159"/>
      <c r="F159"/>
      <c r="G159"/>
      <c r="H159"/>
      <c r="I159"/>
      <c r="J159" s="7"/>
    </row>
    <row r="160" spans="1:10" x14ac:dyDescent="0.25">
      <c r="A160"/>
      <c r="B160"/>
      <c r="C160"/>
      <c r="E160"/>
      <c r="F160"/>
      <c r="G160"/>
      <c r="H160"/>
      <c r="I160"/>
      <c r="J160" s="7"/>
    </row>
    <row r="161" spans="1:10" x14ac:dyDescent="0.25">
      <c r="A161"/>
      <c r="B161"/>
      <c r="C161" s="175"/>
      <c r="E161" s="175"/>
      <c r="F161" s="175"/>
      <c r="G161"/>
      <c r="H161"/>
      <c r="I161"/>
      <c r="J161" s="7"/>
    </row>
    <row r="162" spans="1:10" x14ac:dyDescent="0.25">
      <c r="A162"/>
      <c r="B162"/>
      <c r="C162"/>
      <c r="E162"/>
      <c r="F162"/>
      <c r="G162"/>
      <c r="H162"/>
      <c r="I162"/>
      <c r="J162" s="7"/>
    </row>
    <row r="163" spans="1:10" x14ac:dyDescent="0.25">
      <c r="A163"/>
      <c r="B163"/>
      <c r="C163"/>
      <c r="E163"/>
      <c r="F163"/>
      <c r="G163"/>
      <c r="H163"/>
      <c r="I163"/>
      <c r="J163" s="7"/>
    </row>
    <row r="164" spans="1:10" x14ac:dyDescent="0.25">
      <c r="A164"/>
      <c r="B164"/>
      <c r="C164" s="175"/>
      <c r="E164" s="175"/>
      <c r="F164" s="175"/>
      <c r="G164"/>
      <c r="H164"/>
      <c r="I164"/>
      <c r="J164" s="7"/>
    </row>
    <row r="165" spans="1:10" x14ac:dyDescent="0.25">
      <c r="A165"/>
      <c r="B165"/>
      <c r="C165" s="175"/>
      <c r="E165" s="175"/>
      <c r="F165" s="175"/>
      <c r="G165"/>
      <c r="H165"/>
      <c r="I165"/>
      <c r="J165" s="7"/>
    </row>
    <row r="166" spans="1:10" x14ac:dyDescent="0.25">
      <c r="A166"/>
      <c r="B166"/>
      <c r="C166"/>
      <c r="E166"/>
      <c r="F166"/>
      <c r="G166"/>
      <c r="H166"/>
      <c r="I166"/>
      <c r="J166" s="7"/>
    </row>
    <row r="167" spans="1:10" x14ac:dyDescent="0.25">
      <c r="A167"/>
      <c r="B167"/>
      <c r="C167" s="175"/>
      <c r="E167" s="175"/>
      <c r="F167" s="175"/>
      <c r="G167"/>
      <c r="H167"/>
      <c r="I167"/>
      <c r="J167" s="7"/>
    </row>
    <row r="168" spans="1:10" x14ac:dyDescent="0.25">
      <c r="C168" s="45"/>
      <c r="E168" s="45"/>
    </row>
    <row r="170" spans="1:10" x14ac:dyDescent="0.25">
      <c r="C170" s="45"/>
      <c r="E170" s="45"/>
      <c r="F170" s="45"/>
    </row>
    <row r="172" spans="1:10" x14ac:dyDescent="0.25">
      <c r="C172" s="45"/>
      <c r="E172" s="45"/>
      <c r="F172" s="45"/>
    </row>
    <row r="173" spans="1:10" x14ac:dyDescent="0.25">
      <c r="C173" s="45"/>
      <c r="E173" s="45"/>
      <c r="F173" s="45"/>
    </row>
    <row r="174" spans="1:10" x14ac:dyDescent="0.25">
      <c r="C174" s="45"/>
      <c r="E174" s="45"/>
    </row>
    <row r="175" spans="1:10" x14ac:dyDescent="0.25">
      <c r="C175" s="45"/>
      <c r="E175" s="45"/>
    </row>
    <row r="178" spans="3:6" x14ac:dyDescent="0.25">
      <c r="C178" s="45"/>
      <c r="E178" s="45"/>
      <c r="F178" s="45"/>
    </row>
    <row r="182" spans="3:6" x14ac:dyDescent="0.25">
      <c r="C182" s="45"/>
      <c r="E182" s="45"/>
    </row>
    <row r="185" spans="3:6" x14ac:dyDescent="0.25">
      <c r="C185" s="45"/>
      <c r="E185" s="45"/>
      <c r="F185" s="45"/>
    </row>
    <row r="189" spans="3:6" x14ac:dyDescent="0.25">
      <c r="C189" s="45"/>
      <c r="E189" s="45"/>
      <c r="F189" s="45"/>
    </row>
    <row r="190" spans="3:6" x14ac:dyDescent="0.25">
      <c r="C190" s="45"/>
      <c r="E190" s="45"/>
      <c r="F190" s="45"/>
    </row>
    <row r="191" spans="3:6" x14ac:dyDescent="0.25">
      <c r="C191" s="45"/>
      <c r="E191" s="45"/>
    </row>
    <row r="193" spans="3:6" x14ac:dyDescent="0.25">
      <c r="C193" s="45"/>
      <c r="E193" s="45"/>
      <c r="F193" s="45"/>
    </row>
    <row r="194" spans="3:6" x14ac:dyDescent="0.25">
      <c r="C194" s="45"/>
      <c r="E194" s="45"/>
      <c r="F194" s="45"/>
    </row>
    <row r="202" spans="3:6" x14ac:dyDescent="0.25">
      <c r="C202" s="45"/>
      <c r="E202" s="45"/>
    </row>
    <row r="208" spans="3:6" x14ac:dyDescent="0.25">
      <c r="C208" s="45"/>
      <c r="E208" s="45"/>
      <c r="F208" s="45"/>
    </row>
    <row r="209" spans="3:6" x14ac:dyDescent="0.25">
      <c r="C209" s="45"/>
      <c r="E209" s="45"/>
      <c r="F209" s="45"/>
    </row>
    <row r="211" spans="3:6" x14ac:dyDescent="0.25">
      <c r="C211" s="45"/>
      <c r="E211" s="45"/>
      <c r="F211" s="45"/>
    </row>
    <row r="213" spans="3:6" x14ac:dyDescent="0.25">
      <c r="C213" s="45"/>
      <c r="E213" s="45"/>
    </row>
    <row r="214" spans="3:6" x14ac:dyDescent="0.25">
      <c r="C214" s="45"/>
      <c r="E214" s="45"/>
    </row>
    <row r="216" spans="3:6" x14ac:dyDescent="0.25">
      <c r="C216" s="45"/>
      <c r="E216" s="45"/>
      <c r="F216" s="45"/>
    </row>
    <row r="219" spans="3:6" x14ac:dyDescent="0.25">
      <c r="C219" s="45"/>
      <c r="E219" s="45"/>
      <c r="F219" s="45"/>
    </row>
    <row r="221" spans="3:6" x14ac:dyDescent="0.25">
      <c r="C221" s="45"/>
      <c r="E221" s="45"/>
      <c r="F221" s="45"/>
    </row>
    <row r="222" spans="3:6" x14ac:dyDescent="0.25">
      <c r="C222" s="45"/>
      <c r="E222" s="45"/>
      <c r="F222" s="45"/>
    </row>
    <row r="226" spans="3:6" x14ac:dyDescent="0.25">
      <c r="C226" s="45"/>
      <c r="E226" s="45"/>
    </row>
    <row r="228" spans="3:6" x14ac:dyDescent="0.25">
      <c r="C228" s="45"/>
      <c r="E228" s="45"/>
      <c r="F228" s="45"/>
    </row>
    <row r="229" spans="3:6" x14ac:dyDescent="0.25">
      <c r="C229" s="45"/>
      <c r="E229" s="45"/>
      <c r="F229" s="45"/>
    </row>
    <row r="230" spans="3:6" x14ac:dyDescent="0.25">
      <c r="C230" s="45"/>
      <c r="E230" s="45"/>
      <c r="F230" s="45"/>
    </row>
    <row r="231" spans="3:6" x14ac:dyDescent="0.25">
      <c r="C231" s="45"/>
      <c r="E231" s="45"/>
      <c r="F231" s="45"/>
    </row>
    <row r="234" spans="3:6" x14ac:dyDescent="0.25">
      <c r="C234" s="45"/>
      <c r="E234" s="45"/>
      <c r="F234" s="45"/>
    </row>
    <row r="235" spans="3:6" x14ac:dyDescent="0.25">
      <c r="C235" s="45"/>
      <c r="E235" s="45"/>
      <c r="F235" s="45"/>
    </row>
    <row r="236" spans="3:6" x14ac:dyDescent="0.25">
      <c r="C236" s="45"/>
      <c r="E236" s="45"/>
      <c r="F236" s="45"/>
    </row>
    <row r="238" spans="3:6" x14ac:dyDescent="0.25">
      <c r="C238" s="45"/>
      <c r="E238" s="45"/>
      <c r="F238" s="45"/>
    </row>
    <row r="239" spans="3:6" x14ac:dyDescent="0.25">
      <c r="C239" s="45"/>
      <c r="E239" s="45"/>
    </row>
    <row r="242" spans="3:6" x14ac:dyDescent="0.25">
      <c r="C242" s="45"/>
      <c r="E242" s="45"/>
    </row>
    <row r="243" spans="3:6" x14ac:dyDescent="0.25">
      <c r="C243" s="45"/>
      <c r="E243" s="45"/>
      <c r="F243" s="45"/>
    </row>
    <row r="246" spans="3:6" x14ac:dyDescent="0.25">
      <c r="C246" s="45"/>
      <c r="E246" s="45"/>
      <c r="F246" s="45"/>
    </row>
    <row r="248" spans="3:6" x14ac:dyDescent="0.25">
      <c r="C248" s="45"/>
      <c r="E248" s="45"/>
    </row>
    <row r="249" spans="3:6" x14ac:dyDescent="0.25">
      <c r="C249" s="45"/>
      <c r="E249" s="45"/>
    </row>
    <row r="250" spans="3:6" x14ac:dyDescent="0.25">
      <c r="C250" s="45"/>
      <c r="E250" s="45"/>
      <c r="F250" s="45"/>
    </row>
    <row r="251" spans="3:6" x14ac:dyDescent="0.25">
      <c r="C251" s="45"/>
      <c r="E251" s="45"/>
      <c r="F251" s="45"/>
    </row>
    <row r="256" spans="3:6" x14ac:dyDescent="0.25">
      <c r="C256" s="45"/>
      <c r="E256" s="45"/>
      <c r="F256" s="45"/>
    </row>
    <row r="257" spans="3:6" x14ac:dyDescent="0.25">
      <c r="C257" s="45"/>
      <c r="E257" s="45"/>
      <c r="F257" s="45"/>
    </row>
    <row r="260" spans="3:6" x14ac:dyDescent="0.25">
      <c r="C260" s="45"/>
      <c r="D260" s="174"/>
      <c r="E260" s="45"/>
      <c r="F260" s="45"/>
    </row>
    <row r="261" spans="3:6" x14ac:dyDescent="0.25">
      <c r="C261" s="45"/>
      <c r="D261" s="174"/>
      <c r="E261" s="45"/>
      <c r="F261" s="45"/>
    </row>
    <row r="262" spans="3:6" x14ac:dyDescent="0.25">
      <c r="C262" s="45"/>
      <c r="D262" s="174"/>
      <c r="E262" s="45"/>
      <c r="F262" s="45"/>
    </row>
    <row r="263" spans="3:6" x14ac:dyDescent="0.25">
      <c r="C263" s="45"/>
      <c r="D263" s="174"/>
      <c r="E263" s="45"/>
      <c r="F263" s="45"/>
    </row>
    <row r="264" spans="3:6" x14ac:dyDescent="0.25">
      <c r="C264" s="45"/>
      <c r="D264" s="174"/>
      <c r="E264" s="45"/>
      <c r="F264" s="45"/>
    </row>
    <row r="265" spans="3:6" x14ac:dyDescent="0.25">
      <c r="C265" s="45"/>
      <c r="D265" s="174"/>
      <c r="E265" s="45"/>
      <c r="F265" s="45"/>
    </row>
    <row r="266" spans="3:6" x14ac:dyDescent="0.25">
      <c r="C266" s="45"/>
      <c r="D266" s="174"/>
      <c r="E266" s="45"/>
      <c r="F266" s="45"/>
    </row>
    <row r="267" spans="3:6" x14ac:dyDescent="0.25">
      <c r="C267" s="45"/>
      <c r="D267" s="174"/>
      <c r="E267" s="45"/>
      <c r="F267" s="45"/>
    </row>
    <row r="268" spans="3:6" x14ac:dyDescent="0.25">
      <c r="C268" s="45"/>
      <c r="D268" s="174"/>
      <c r="E268" s="45"/>
      <c r="F268" s="45"/>
    </row>
    <row r="269" spans="3:6" x14ac:dyDescent="0.25">
      <c r="C269" s="45"/>
      <c r="D269" s="174"/>
      <c r="E269" s="45"/>
      <c r="F269" s="45"/>
    </row>
    <row r="270" spans="3:6" x14ac:dyDescent="0.25">
      <c r="C270" s="45"/>
      <c r="D270" s="174"/>
      <c r="E270" s="45"/>
      <c r="F270" s="45"/>
    </row>
    <row r="271" spans="3:6" x14ac:dyDescent="0.25">
      <c r="C271" s="45"/>
      <c r="D271" s="174"/>
      <c r="E271" s="45"/>
      <c r="F271" s="45"/>
    </row>
    <row r="272" spans="3:6" x14ac:dyDescent="0.25">
      <c r="C272" s="45"/>
      <c r="D272" s="174"/>
      <c r="E272" s="45"/>
      <c r="F272" s="45"/>
    </row>
    <row r="273" spans="3:6" x14ac:dyDescent="0.25">
      <c r="C273" s="45"/>
      <c r="D273" s="174"/>
      <c r="E273" s="45"/>
      <c r="F273" s="45"/>
    </row>
    <row r="274" spans="3:6" x14ac:dyDescent="0.25">
      <c r="C274" s="45"/>
      <c r="D274" s="174"/>
      <c r="E274" s="45"/>
      <c r="F274" s="45"/>
    </row>
    <row r="275" spans="3:6" x14ac:dyDescent="0.25">
      <c r="C275" s="45"/>
      <c r="D275" s="174"/>
      <c r="E275" s="45"/>
      <c r="F275" s="45"/>
    </row>
    <row r="276" spans="3:6" x14ac:dyDescent="0.25">
      <c r="C276" s="45"/>
      <c r="D276" s="174"/>
      <c r="E276" s="45"/>
      <c r="F276" s="45"/>
    </row>
    <row r="277" spans="3:6" x14ac:dyDescent="0.25">
      <c r="C277" s="45"/>
      <c r="D277" s="174"/>
      <c r="E277" s="45"/>
      <c r="F277" s="45"/>
    </row>
    <row r="278" spans="3:6" x14ac:dyDescent="0.25">
      <c r="C278" s="45"/>
      <c r="D278" s="174"/>
      <c r="E278" s="45"/>
      <c r="F278" s="45"/>
    </row>
    <row r="279" spans="3:6" x14ac:dyDescent="0.25">
      <c r="C279" s="45"/>
      <c r="D279" s="174"/>
      <c r="E279" s="45"/>
      <c r="F279" s="45"/>
    </row>
    <row r="280" spans="3:6" x14ac:dyDescent="0.25">
      <c r="C280" s="45"/>
      <c r="D280" s="174"/>
      <c r="E280" s="45"/>
      <c r="F280" s="45"/>
    </row>
    <row r="281" spans="3:6" x14ac:dyDescent="0.25">
      <c r="C281" s="45"/>
      <c r="D281" s="174"/>
      <c r="E281" s="45"/>
      <c r="F281" s="45"/>
    </row>
    <row r="282" spans="3:6" x14ac:dyDescent="0.25">
      <c r="C282" s="45"/>
      <c r="D282" s="174"/>
      <c r="E282" s="45"/>
      <c r="F282" s="45"/>
    </row>
    <row r="283" spans="3:6" x14ac:dyDescent="0.25">
      <c r="C283" s="45"/>
      <c r="D283" s="174"/>
      <c r="E283" s="45"/>
      <c r="F283" s="45"/>
    </row>
    <row r="284" spans="3:6" x14ac:dyDescent="0.25">
      <c r="C284" s="45"/>
      <c r="D284" s="174"/>
      <c r="E284" s="45"/>
      <c r="F284" s="45"/>
    </row>
    <row r="285" spans="3:6" x14ac:dyDescent="0.25">
      <c r="C285" s="45"/>
      <c r="D285" s="174"/>
      <c r="E285" s="45"/>
      <c r="F285" s="45"/>
    </row>
    <row r="286" spans="3:6" x14ac:dyDescent="0.25">
      <c r="C286" s="45"/>
      <c r="D286" s="174"/>
      <c r="E286" s="45"/>
      <c r="F286" s="45"/>
    </row>
    <row r="287" spans="3:6" x14ac:dyDescent="0.25">
      <c r="C287" s="45"/>
      <c r="D287" s="174"/>
      <c r="E287" s="45"/>
      <c r="F287" s="45"/>
    </row>
    <row r="288" spans="3:6" x14ac:dyDescent="0.25">
      <c r="C288" s="45"/>
      <c r="E288" s="45"/>
      <c r="F288" s="45"/>
    </row>
    <row r="289" spans="3:6" x14ac:dyDescent="0.25">
      <c r="C289" s="45"/>
      <c r="E289" s="45"/>
      <c r="F289" s="45"/>
    </row>
    <row r="290" spans="3:6" x14ac:dyDescent="0.25">
      <c r="C290" s="45"/>
      <c r="D290" s="174"/>
      <c r="E290" s="45"/>
      <c r="F290" s="45"/>
    </row>
    <row r="291" spans="3:6" x14ac:dyDescent="0.25">
      <c r="C291" s="45"/>
      <c r="D291" s="174"/>
      <c r="E291" s="45"/>
      <c r="F291" s="45"/>
    </row>
    <row r="292" spans="3:6" x14ac:dyDescent="0.25">
      <c r="C292" s="45"/>
      <c r="D292" s="174"/>
      <c r="E292" s="45"/>
      <c r="F292" s="45"/>
    </row>
    <row r="293" spans="3:6" x14ac:dyDescent="0.25">
      <c r="C293" s="45"/>
      <c r="D293" s="174"/>
      <c r="E293" s="45"/>
      <c r="F293" s="45"/>
    </row>
    <row r="294" spans="3:6" x14ac:dyDescent="0.25">
      <c r="C294" s="45"/>
      <c r="D294" s="174"/>
      <c r="E294" s="45"/>
      <c r="F294" s="45"/>
    </row>
    <row r="295" spans="3:6" x14ac:dyDescent="0.25">
      <c r="C295" s="45"/>
      <c r="D295" s="174"/>
      <c r="E295" s="45"/>
      <c r="F295" s="45"/>
    </row>
    <row r="296" spans="3:6" x14ac:dyDescent="0.25">
      <c r="C296" s="45"/>
      <c r="D296" s="174"/>
      <c r="E296" s="45"/>
      <c r="F296" s="45"/>
    </row>
    <row r="297" spans="3:6" x14ac:dyDescent="0.25">
      <c r="C297" s="45"/>
      <c r="D297" s="174"/>
      <c r="E297" s="45"/>
      <c r="F297" s="45"/>
    </row>
    <row r="298" spans="3:6" x14ac:dyDescent="0.25">
      <c r="C298" s="45"/>
      <c r="D298" s="174"/>
      <c r="E298" s="45"/>
      <c r="F298" s="45"/>
    </row>
    <row r="299" spans="3:6" x14ac:dyDescent="0.25">
      <c r="C299" s="45"/>
      <c r="D299" s="174"/>
      <c r="E299" s="45"/>
      <c r="F299" s="45"/>
    </row>
    <row r="300" spans="3:6" x14ac:dyDescent="0.25">
      <c r="C300" s="45"/>
      <c r="D300" s="174"/>
      <c r="E300" s="45"/>
      <c r="F300" s="45"/>
    </row>
    <row r="301" spans="3:6" x14ac:dyDescent="0.25">
      <c r="C301" s="45"/>
      <c r="D301" s="174"/>
      <c r="E301" s="45"/>
      <c r="F301" s="45"/>
    </row>
    <row r="302" spans="3:6" x14ac:dyDescent="0.25">
      <c r="C302" s="45"/>
      <c r="D302" s="174"/>
      <c r="E302" s="45"/>
      <c r="F302" s="45"/>
    </row>
    <row r="303" spans="3:6" x14ac:dyDescent="0.25">
      <c r="C303" s="45"/>
      <c r="D303" s="174"/>
      <c r="E303" s="45"/>
      <c r="F303" s="45"/>
    </row>
    <row r="304" spans="3:6" x14ac:dyDescent="0.25">
      <c r="C304" s="45"/>
      <c r="D304" s="174"/>
      <c r="E304" s="45"/>
      <c r="F304" s="45"/>
    </row>
    <row r="305" spans="3:6" x14ac:dyDescent="0.25">
      <c r="C305" s="45"/>
      <c r="D305" s="174"/>
      <c r="E305" s="45"/>
      <c r="F305" s="45"/>
    </row>
    <row r="306" spans="3:6" x14ac:dyDescent="0.25">
      <c r="C306" s="45"/>
      <c r="D306" s="174"/>
      <c r="E306" s="45"/>
      <c r="F306" s="45"/>
    </row>
    <row r="307" spans="3:6" x14ac:dyDescent="0.25">
      <c r="C307" s="45"/>
      <c r="D307" s="174"/>
      <c r="E307" s="45"/>
      <c r="F307" s="45"/>
    </row>
    <row r="308" spans="3:6" x14ac:dyDescent="0.25">
      <c r="C308" s="45"/>
      <c r="D308" s="174"/>
      <c r="E308" s="45"/>
      <c r="F308" s="45"/>
    </row>
    <row r="309" spans="3:6" x14ac:dyDescent="0.25">
      <c r="C309" s="45"/>
      <c r="D309" s="174"/>
      <c r="E309" s="45"/>
      <c r="F309" s="45"/>
    </row>
    <row r="310" spans="3:6" x14ac:dyDescent="0.25">
      <c r="C310" s="45"/>
      <c r="D310" s="174"/>
      <c r="E310" s="45"/>
      <c r="F310" s="45"/>
    </row>
    <row r="311" spans="3:6" x14ac:dyDescent="0.25">
      <c r="C311" s="45"/>
      <c r="D311" s="174"/>
      <c r="E311" s="45"/>
      <c r="F311" s="45"/>
    </row>
    <row r="312" spans="3:6" x14ac:dyDescent="0.25">
      <c r="C312" s="45"/>
      <c r="D312" s="174"/>
      <c r="E312" s="45"/>
      <c r="F312" s="45"/>
    </row>
    <row r="313" spans="3:6" x14ac:dyDescent="0.25">
      <c r="C313" s="45"/>
      <c r="D313" s="174"/>
      <c r="E313" s="45"/>
      <c r="F313" s="45"/>
    </row>
    <row r="314" spans="3:6" x14ac:dyDescent="0.25">
      <c r="C314" s="45"/>
      <c r="D314" s="174"/>
      <c r="E314" s="45"/>
      <c r="F314" s="45"/>
    </row>
    <row r="315" spans="3:6" x14ac:dyDescent="0.25">
      <c r="C315" s="45"/>
      <c r="D315" s="174"/>
      <c r="E315" s="45"/>
      <c r="F315" s="45"/>
    </row>
    <row r="316" spans="3:6" x14ac:dyDescent="0.25">
      <c r="C316" s="45"/>
      <c r="D316" s="174"/>
      <c r="E316" s="45"/>
      <c r="F316" s="45"/>
    </row>
    <row r="317" spans="3:6" x14ac:dyDescent="0.25">
      <c r="C317" s="45"/>
      <c r="D317" s="174"/>
      <c r="E317" s="45"/>
      <c r="F317" s="45"/>
    </row>
    <row r="318" spans="3:6" x14ac:dyDescent="0.25">
      <c r="C318" s="45"/>
      <c r="D318" s="174"/>
      <c r="E318" s="45"/>
      <c r="F318" s="45"/>
    </row>
    <row r="319" spans="3:6" x14ac:dyDescent="0.25">
      <c r="C319" s="45"/>
      <c r="D319" s="174"/>
      <c r="E319" s="45"/>
      <c r="F319" s="45"/>
    </row>
    <row r="320" spans="3:6" x14ac:dyDescent="0.25">
      <c r="C320" s="45"/>
      <c r="D320" s="174"/>
      <c r="E320" s="45"/>
      <c r="F320" s="45"/>
    </row>
    <row r="321" spans="3:6" x14ac:dyDescent="0.25">
      <c r="C321" s="45"/>
      <c r="D321" s="174"/>
      <c r="E321" s="45"/>
      <c r="F321" s="45"/>
    </row>
    <row r="322" spans="3:6" x14ac:dyDescent="0.25">
      <c r="C322" s="45"/>
      <c r="D322" s="174"/>
      <c r="E322" s="45"/>
      <c r="F322" s="45"/>
    </row>
    <row r="323" spans="3:6" x14ac:dyDescent="0.25">
      <c r="C323" s="45"/>
      <c r="D323" s="174"/>
      <c r="E323" s="45"/>
      <c r="F323" s="45"/>
    </row>
    <row r="324" spans="3:6" x14ac:dyDescent="0.25">
      <c r="C324" s="45"/>
      <c r="D324" s="174"/>
      <c r="E324" s="45"/>
      <c r="F324" s="45"/>
    </row>
    <row r="325" spans="3:6" x14ac:dyDescent="0.25">
      <c r="C325" s="45"/>
      <c r="D325" s="174"/>
      <c r="E325" s="45"/>
      <c r="F325" s="45"/>
    </row>
    <row r="326" spans="3:6" x14ac:dyDescent="0.25">
      <c r="C326" s="45"/>
      <c r="D326" s="174"/>
      <c r="E326" s="45"/>
      <c r="F326" s="45"/>
    </row>
    <row r="327" spans="3:6" x14ac:dyDescent="0.25">
      <c r="C327" s="45"/>
      <c r="D327" s="174"/>
      <c r="E327" s="45"/>
      <c r="F327" s="45"/>
    </row>
    <row r="328" spans="3:6" x14ac:dyDescent="0.25">
      <c r="C328" s="45"/>
      <c r="D328" s="174"/>
      <c r="E328" s="45"/>
      <c r="F328" s="45"/>
    </row>
    <row r="329" spans="3:6" x14ac:dyDescent="0.25">
      <c r="C329" s="45"/>
      <c r="D329" s="174"/>
      <c r="E329" s="45"/>
      <c r="F329" s="45"/>
    </row>
    <row r="330" spans="3:6" x14ac:dyDescent="0.25">
      <c r="C330" s="45"/>
      <c r="D330" s="174"/>
      <c r="E330" s="45"/>
      <c r="F330" s="45"/>
    </row>
    <row r="331" spans="3:6" x14ac:dyDescent="0.25">
      <c r="C331" s="45"/>
      <c r="D331" s="174"/>
      <c r="E331" s="45"/>
      <c r="F331" s="45"/>
    </row>
    <row r="332" spans="3:6" x14ac:dyDescent="0.25">
      <c r="C332" s="45"/>
      <c r="D332" s="174"/>
      <c r="E332" s="45"/>
      <c r="F332" s="45"/>
    </row>
    <row r="333" spans="3:6" x14ac:dyDescent="0.25">
      <c r="C333" s="45"/>
      <c r="D333" s="174"/>
      <c r="E333" s="45"/>
      <c r="F333" s="45"/>
    </row>
    <row r="334" spans="3:6" x14ac:dyDescent="0.25">
      <c r="C334" s="45"/>
      <c r="D334" s="174"/>
      <c r="E334" s="45"/>
      <c r="F334" s="45"/>
    </row>
    <row r="335" spans="3:6" x14ac:dyDescent="0.25">
      <c r="C335" s="45"/>
      <c r="D335" s="174"/>
      <c r="E335" s="45"/>
      <c r="F335" s="45"/>
    </row>
    <row r="336" spans="3:6" x14ac:dyDescent="0.25">
      <c r="C336" s="45"/>
      <c r="D336" s="174"/>
      <c r="E336" s="45"/>
      <c r="F336" s="45"/>
    </row>
    <row r="337" spans="3:6" x14ac:dyDescent="0.25">
      <c r="C337" s="45"/>
      <c r="D337" s="174"/>
      <c r="E337" s="45"/>
      <c r="F337" s="45"/>
    </row>
    <row r="338" spans="3:6" x14ac:dyDescent="0.25">
      <c r="C338" s="45"/>
      <c r="D338" s="174"/>
      <c r="E338" s="45"/>
      <c r="F338" s="45"/>
    </row>
    <row r="339" spans="3:6" x14ac:dyDescent="0.25">
      <c r="C339" s="45"/>
      <c r="D339" s="174"/>
      <c r="E339" s="45"/>
      <c r="F339" s="45"/>
    </row>
    <row r="340" spans="3:6" x14ac:dyDescent="0.25">
      <c r="C340" s="45"/>
      <c r="D340" s="174"/>
      <c r="E340" s="45"/>
      <c r="F340" s="45"/>
    </row>
    <row r="341" spans="3:6" x14ac:dyDescent="0.25">
      <c r="C341" s="45"/>
      <c r="D341" s="174"/>
      <c r="E341" s="45"/>
      <c r="F341" s="45"/>
    </row>
    <row r="342" spans="3:6" x14ac:dyDescent="0.25">
      <c r="C342" s="45"/>
      <c r="D342" s="174"/>
      <c r="E342" s="45"/>
      <c r="F342" s="45"/>
    </row>
    <row r="343" spans="3:6" x14ac:dyDescent="0.25">
      <c r="C343" s="45"/>
      <c r="D343" s="174"/>
      <c r="E343" s="45"/>
      <c r="F343" s="45"/>
    </row>
    <row r="344" spans="3:6" x14ac:dyDescent="0.25">
      <c r="C344" s="45"/>
      <c r="D344" s="174"/>
      <c r="E344" s="45"/>
      <c r="F344" s="45"/>
    </row>
    <row r="345" spans="3:6" x14ac:dyDescent="0.25">
      <c r="C345" s="45"/>
      <c r="D345" s="174"/>
      <c r="E345" s="45"/>
      <c r="F345" s="45"/>
    </row>
    <row r="346" spans="3:6" x14ac:dyDescent="0.25">
      <c r="C346" s="45"/>
      <c r="D346" s="174"/>
      <c r="E346" s="45"/>
      <c r="F346" s="45"/>
    </row>
    <row r="347" spans="3:6" x14ac:dyDescent="0.25">
      <c r="C347" s="45"/>
      <c r="D347" s="174"/>
      <c r="E347" s="45"/>
      <c r="F347" s="45"/>
    </row>
    <row r="348" spans="3:6" x14ac:dyDescent="0.25">
      <c r="C348" s="45"/>
      <c r="D348" s="174"/>
      <c r="E348" s="45"/>
      <c r="F348" s="45"/>
    </row>
    <row r="349" spans="3:6" x14ac:dyDescent="0.25">
      <c r="C349" s="45"/>
      <c r="D349" s="174"/>
      <c r="E349" s="45"/>
      <c r="F349" s="45"/>
    </row>
    <row r="350" spans="3:6" x14ac:dyDescent="0.25">
      <c r="C350" s="45"/>
      <c r="D350" s="174"/>
      <c r="E350" s="45"/>
      <c r="F350" s="45"/>
    </row>
    <row r="351" spans="3:6" x14ac:dyDescent="0.25">
      <c r="C351" s="45"/>
      <c r="D351" s="174"/>
      <c r="E351" s="45"/>
      <c r="F351" s="45"/>
    </row>
    <row r="352" spans="3:6" x14ac:dyDescent="0.25">
      <c r="C352" s="45"/>
      <c r="D352" s="174"/>
      <c r="E352" s="45"/>
      <c r="F352" s="45"/>
    </row>
    <row r="353" spans="3:6" x14ac:dyDescent="0.25">
      <c r="C353" s="45"/>
      <c r="D353" s="174"/>
      <c r="E353" s="45"/>
      <c r="F353" s="45"/>
    </row>
    <row r="354" spans="3:6" x14ac:dyDescent="0.25">
      <c r="C354" s="45"/>
      <c r="D354" s="174"/>
      <c r="E354" s="45"/>
      <c r="F354" s="45"/>
    </row>
    <row r="355" spans="3:6" x14ac:dyDescent="0.25">
      <c r="C355" s="45"/>
      <c r="D355" s="174"/>
      <c r="E355" s="45"/>
      <c r="F355" s="45"/>
    </row>
    <row r="356" spans="3:6" x14ac:dyDescent="0.25">
      <c r="C356" s="45"/>
      <c r="D356" s="174"/>
      <c r="E356" s="45"/>
      <c r="F356" s="45"/>
    </row>
    <row r="357" spans="3:6" x14ac:dyDescent="0.25">
      <c r="C357" s="45"/>
      <c r="D357" s="174"/>
      <c r="E357" s="45"/>
      <c r="F357" s="45"/>
    </row>
    <row r="358" spans="3:6" x14ac:dyDescent="0.25">
      <c r="C358" s="45"/>
      <c r="D358" s="174"/>
      <c r="E358" s="45"/>
      <c r="F358" s="45"/>
    </row>
    <row r="359" spans="3:6" x14ac:dyDescent="0.25">
      <c r="C359" s="45"/>
      <c r="D359" s="174"/>
      <c r="E359" s="45"/>
      <c r="F359" s="45"/>
    </row>
    <row r="360" spans="3:6" x14ac:dyDescent="0.25">
      <c r="C360" s="45"/>
      <c r="D360" s="174"/>
      <c r="E360" s="45"/>
      <c r="F360" s="45"/>
    </row>
    <row r="361" spans="3:6" x14ac:dyDescent="0.25">
      <c r="C361" s="45"/>
      <c r="D361" s="174"/>
      <c r="E361" s="45"/>
      <c r="F361" s="45"/>
    </row>
    <row r="362" spans="3:6" x14ac:dyDescent="0.25">
      <c r="C362" s="45"/>
      <c r="D362" s="174"/>
      <c r="E362" s="45"/>
      <c r="F362" s="45"/>
    </row>
    <row r="363" spans="3:6" x14ac:dyDescent="0.25">
      <c r="C363" s="45"/>
      <c r="D363" s="174"/>
      <c r="E363" s="45"/>
      <c r="F363" s="45"/>
    </row>
    <row r="364" spans="3:6" x14ac:dyDescent="0.25">
      <c r="C364" s="45"/>
      <c r="D364" s="174"/>
      <c r="E364" s="45"/>
      <c r="F364" s="45"/>
    </row>
    <row r="365" spans="3:6" x14ac:dyDescent="0.25">
      <c r="C365" s="45"/>
      <c r="D365" s="174"/>
      <c r="E365" s="45"/>
      <c r="F365" s="45"/>
    </row>
    <row r="366" spans="3:6" x14ac:dyDescent="0.25">
      <c r="C366" s="45"/>
      <c r="D366" s="174"/>
      <c r="E366" s="45"/>
      <c r="F366" s="45"/>
    </row>
    <row r="367" spans="3:6" x14ac:dyDescent="0.25">
      <c r="C367" s="45"/>
      <c r="D367" s="174"/>
      <c r="E367" s="45"/>
      <c r="F367" s="45"/>
    </row>
    <row r="368" spans="3:6" x14ac:dyDescent="0.25">
      <c r="C368" s="45"/>
      <c r="D368" s="174"/>
      <c r="E368" s="45"/>
      <c r="F368" s="45"/>
    </row>
    <row r="369" spans="3:6" x14ac:dyDescent="0.25">
      <c r="C369" s="45"/>
      <c r="D369" s="174"/>
      <c r="E369" s="45"/>
      <c r="F369" s="45"/>
    </row>
    <row r="370" spans="3:6" x14ac:dyDescent="0.25">
      <c r="C370" s="45"/>
      <c r="D370" s="174"/>
      <c r="E370" s="45"/>
      <c r="F370" s="45"/>
    </row>
    <row r="371" spans="3:6" x14ac:dyDescent="0.25">
      <c r="C371" s="45"/>
      <c r="D371" s="174"/>
      <c r="E371" s="45"/>
      <c r="F371" s="45"/>
    </row>
    <row r="372" spans="3:6" x14ac:dyDescent="0.25">
      <c r="C372" s="45"/>
      <c r="D372" s="174"/>
      <c r="E372" s="45"/>
      <c r="F372" s="45"/>
    </row>
    <row r="373" spans="3:6" x14ac:dyDescent="0.25">
      <c r="C373" s="45"/>
      <c r="D373" s="174"/>
      <c r="E373" s="45"/>
      <c r="F373" s="45"/>
    </row>
    <row r="374" spans="3:6" x14ac:dyDescent="0.25">
      <c r="C374" s="45"/>
      <c r="D374" s="174"/>
      <c r="E374" s="45"/>
      <c r="F374" s="45"/>
    </row>
    <row r="376" spans="3:6" x14ac:dyDescent="0.25">
      <c r="C376" s="45"/>
      <c r="D376" s="174"/>
      <c r="E376" s="45"/>
      <c r="F376" s="45"/>
    </row>
    <row r="377" spans="3:6" x14ac:dyDescent="0.25">
      <c r="C377" s="45"/>
      <c r="D377" s="174"/>
      <c r="E377" s="45"/>
      <c r="F377" s="45"/>
    </row>
    <row r="378" spans="3:6" x14ac:dyDescent="0.25">
      <c r="C378" s="45"/>
      <c r="D378" s="174"/>
      <c r="E378" s="45"/>
      <c r="F378" s="45"/>
    </row>
    <row r="379" spans="3:6" x14ac:dyDescent="0.25">
      <c r="C379" s="45"/>
      <c r="D379" s="174"/>
      <c r="E379" s="45"/>
      <c r="F379" s="45"/>
    </row>
    <row r="380" spans="3:6" x14ac:dyDescent="0.25">
      <c r="C380" s="45"/>
      <c r="D380" s="174"/>
      <c r="E380" s="45"/>
      <c r="F380" s="45"/>
    </row>
    <row r="381" spans="3:6" x14ac:dyDescent="0.25">
      <c r="C381" s="45"/>
      <c r="D381" s="174"/>
      <c r="E381" s="45"/>
      <c r="F381" s="45"/>
    </row>
    <row r="382" spans="3:6" x14ac:dyDescent="0.25">
      <c r="C382" s="45"/>
      <c r="D382" s="174"/>
      <c r="E382" s="45"/>
      <c r="F382" s="45"/>
    </row>
    <row r="383" spans="3:6" x14ac:dyDescent="0.25">
      <c r="C383" s="45"/>
      <c r="D383" s="174"/>
      <c r="E383" s="45"/>
      <c r="F383" s="45"/>
    </row>
    <row r="384" spans="3:6" x14ac:dyDescent="0.25">
      <c r="C384" s="45"/>
      <c r="D384" s="174"/>
      <c r="E384" s="45"/>
      <c r="F384" s="45"/>
    </row>
    <row r="385" spans="3:6" x14ac:dyDescent="0.25">
      <c r="C385" s="45"/>
      <c r="D385" s="174"/>
      <c r="E385" s="45"/>
      <c r="F385" s="45"/>
    </row>
    <row r="386" spans="3:6" x14ac:dyDescent="0.25">
      <c r="C386" s="45"/>
      <c r="D386" s="174"/>
      <c r="E386" s="45"/>
      <c r="F386" s="45"/>
    </row>
    <row r="387" spans="3:6" x14ac:dyDescent="0.25">
      <c r="C387" s="45"/>
      <c r="D387" s="174"/>
      <c r="E387" s="45"/>
      <c r="F387" s="45"/>
    </row>
    <row r="388" spans="3:6" x14ac:dyDescent="0.25">
      <c r="C388" s="45"/>
      <c r="D388" s="174"/>
      <c r="E388" s="45"/>
      <c r="F388" s="45"/>
    </row>
    <row r="389" spans="3:6" x14ac:dyDescent="0.25">
      <c r="C389" s="45"/>
      <c r="D389" s="174"/>
      <c r="E389" s="45"/>
      <c r="F389" s="45"/>
    </row>
    <row r="390" spans="3:6" x14ac:dyDescent="0.25">
      <c r="C390" s="45"/>
      <c r="D390" s="174"/>
      <c r="E390" s="45"/>
      <c r="F390" s="45"/>
    </row>
    <row r="391" spans="3:6" x14ac:dyDescent="0.25">
      <c r="C391" s="45"/>
      <c r="D391" s="174"/>
      <c r="E391" s="45"/>
      <c r="F391" s="45"/>
    </row>
    <row r="392" spans="3:6" x14ac:dyDescent="0.25">
      <c r="C392" s="45"/>
      <c r="D392" s="174"/>
      <c r="E392" s="45"/>
      <c r="F392" s="45"/>
    </row>
    <row r="393" spans="3:6" x14ac:dyDescent="0.25">
      <c r="C393" s="45"/>
      <c r="D393" s="174"/>
      <c r="E393" s="45"/>
      <c r="F393" s="45"/>
    </row>
    <row r="394" spans="3:6" x14ac:dyDescent="0.25">
      <c r="C394" s="45"/>
      <c r="D394" s="174"/>
      <c r="E394" s="45"/>
      <c r="F394" s="45"/>
    </row>
    <row r="395" spans="3:6" x14ac:dyDescent="0.25">
      <c r="C395" s="45"/>
      <c r="D395" s="174"/>
      <c r="E395" s="45"/>
      <c r="F395" s="45"/>
    </row>
    <row r="396" spans="3:6" x14ac:dyDescent="0.25">
      <c r="C396" s="45"/>
      <c r="D396" s="174"/>
      <c r="E396" s="45"/>
      <c r="F396" s="45"/>
    </row>
    <row r="397" spans="3:6" x14ac:dyDescent="0.25">
      <c r="C397" s="45"/>
      <c r="D397" s="174"/>
      <c r="E397" s="45"/>
      <c r="F397" s="45"/>
    </row>
    <row r="398" spans="3:6" x14ac:dyDescent="0.25">
      <c r="C398" s="45"/>
      <c r="D398" s="174"/>
      <c r="E398" s="45"/>
      <c r="F398" s="45"/>
    </row>
    <row r="399" spans="3:6" x14ac:dyDescent="0.25">
      <c r="C399" s="45"/>
      <c r="D399" s="174"/>
      <c r="E399" s="45"/>
      <c r="F399" s="45"/>
    </row>
    <row r="400" spans="3:6" x14ac:dyDescent="0.25">
      <c r="C400" s="45"/>
      <c r="D400" s="174"/>
      <c r="E400" s="45"/>
      <c r="F400" s="45"/>
    </row>
    <row r="401" spans="3:6" x14ac:dyDescent="0.25">
      <c r="C401" s="45"/>
      <c r="D401" s="174"/>
      <c r="E401" s="45"/>
      <c r="F401" s="45"/>
    </row>
    <row r="402" spans="3:6" x14ac:dyDescent="0.25">
      <c r="C402" s="45"/>
      <c r="D402" s="174"/>
      <c r="E402" s="45"/>
      <c r="F402" s="45"/>
    </row>
    <row r="403" spans="3:6" x14ac:dyDescent="0.25">
      <c r="C403" s="45"/>
      <c r="D403" s="174"/>
      <c r="E403" s="45"/>
      <c r="F403" s="45"/>
    </row>
    <row r="404" spans="3:6" x14ac:dyDescent="0.25">
      <c r="C404" s="45"/>
      <c r="D404" s="174"/>
      <c r="E404" s="45"/>
      <c r="F404" s="45"/>
    </row>
    <row r="405" spans="3:6" x14ac:dyDescent="0.25">
      <c r="C405" s="45"/>
      <c r="D405" s="174"/>
      <c r="E405" s="45"/>
      <c r="F405" s="45"/>
    </row>
    <row r="406" spans="3:6" x14ac:dyDescent="0.25">
      <c r="C406" s="45"/>
      <c r="D406" s="174"/>
      <c r="E406" s="45"/>
      <c r="F406" s="45"/>
    </row>
    <row r="407" spans="3:6" x14ac:dyDescent="0.25">
      <c r="C407" s="45"/>
      <c r="D407" s="174"/>
      <c r="E407" s="45"/>
      <c r="F407" s="45"/>
    </row>
    <row r="408" spans="3:6" x14ac:dyDescent="0.25">
      <c r="C408" s="45"/>
      <c r="D408" s="174"/>
      <c r="E408" s="45"/>
      <c r="F408" s="45"/>
    </row>
    <row r="409" spans="3:6" x14ac:dyDescent="0.25">
      <c r="C409" s="45"/>
      <c r="D409" s="174"/>
      <c r="E409" s="45"/>
      <c r="F409" s="45"/>
    </row>
    <row r="410" spans="3:6" x14ac:dyDescent="0.25">
      <c r="C410" s="45"/>
      <c r="D410" s="174"/>
      <c r="E410" s="45"/>
      <c r="F410" s="45"/>
    </row>
    <row r="411" spans="3:6" x14ac:dyDescent="0.25">
      <c r="C411" s="45"/>
      <c r="D411" s="174"/>
      <c r="E411" s="45"/>
      <c r="F411" s="45"/>
    </row>
    <row r="412" spans="3:6" x14ac:dyDescent="0.25">
      <c r="C412" s="45"/>
      <c r="D412" s="174"/>
      <c r="E412" s="45"/>
      <c r="F412" s="45"/>
    </row>
    <row r="413" spans="3:6" x14ac:dyDescent="0.25">
      <c r="C413" s="45"/>
      <c r="D413" s="174"/>
      <c r="E413" s="45"/>
      <c r="F413" s="45"/>
    </row>
    <row r="414" spans="3:6" x14ac:dyDescent="0.25">
      <c r="C414" s="45"/>
      <c r="D414" s="174"/>
      <c r="E414" s="45"/>
      <c r="F414" s="45"/>
    </row>
    <row r="415" spans="3:6" x14ac:dyDescent="0.25">
      <c r="C415" s="45"/>
      <c r="D415" s="174"/>
      <c r="E415" s="45"/>
      <c r="F415" s="45"/>
    </row>
    <row r="416" spans="3:6" x14ac:dyDescent="0.25">
      <c r="C416" s="45"/>
      <c r="D416" s="174"/>
      <c r="E416" s="45"/>
      <c r="F416" s="45"/>
    </row>
    <row r="417" spans="3:6" x14ac:dyDescent="0.25">
      <c r="C417" s="45"/>
      <c r="D417" s="174"/>
      <c r="E417" s="45"/>
      <c r="F417" s="45"/>
    </row>
    <row r="418" spans="3:6" x14ac:dyDescent="0.25">
      <c r="C418" s="45"/>
      <c r="D418" s="174"/>
      <c r="E418" s="45"/>
      <c r="F418" s="45"/>
    </row>
    <row r="419" spans="3:6" x14ac:dyDescent="0.25">
      <c r="C419" s="45"/>
      <c r="D419" s="174"/>
      <c r="E419" s="45"/>
      <c r="F419" s="45"/>
    </row>
    <row r="420" spans="3:6" x14ac:dyDescent="0.25">
      <c r="C420" s="45"/>
      <c r="D420" s="174"/>
      <c r="E420" s="45"/>
      <c r="F420" s="45"/>
    </row>
    <row r="421" spans="3:6" x14ac:dyDescent="0.25">
      <c r="C421" s="45"/>
      <c r="D421" s="174"/>
      <c r="E421" s="45"/>
      <c r="F421" s="45"/>
    </row>
    <row r="422" spans="3:6" x14ac:dyDescent="0.25">
      <c r="C422" s="45"/>
      <c r="D422" s="174"/>
      <c r="E422" s="45"/>
      <c r="F422" s="45"/>
    </row>
    <row r="423" spans="3:6" x14ac:dyDescent="0.25">
      <c r="C423" s="45"/>
      <c r="D423" s="174"/>
      <c r="E423" s="45"/>
      <c r="F423" s="45"/>
    </row>
    <row r="424" spans="3:6" x14ac:dyDescent="0.25">
      <c r="C424" s="45"/>
      <c r="D424" s="174"/>
      <c r="E424" s="45"/>
      <c r="F424" s="45"/>
    </row>
    <row r="425" spans="3:6" x14ac:dyDescent="0.25">
      <c r="C425" s="45"/>
      <c r="D425" s="174"/>
      <c r="E425" s="45"/>
      <c r="F425" s="45"/>
    </row>
    <row r="426" spans="3:6" x14ac:dyDescent="0.25">
      <c r="C426" s="45"/>
      <c r="D426" s="174"/>
      <c r="E426" s="45"/>
      <c r="F426" s="45"/>
    </row>
    <row r="427" spans="3:6" x14ac:dyDescent="0.25">
      <c r="C427" s="45"/>
      <c r="D427" s="174"/>
      <c r="E427" s="45"/>
      <c r="F427" s="45"/>
    </row>
    <row r="428" spans="3:6" x14ac:dyDescent="0.25">
      <c r="C428" s="45"/>
      <c r="D428" s="174"/>
      <c r="E428" s="45"/>
      <c r="F428" s="45"/>
    </row>
    <row r="429" spans="3:6" x14ac:dyDescent="0.25">
      <c r="C429" s="45"/>
      <c r="D429" s="174"/>
      <c r="E429" s="45"/>
      <c r="F429" s="45"/>
    </row>
    <row r="430" spans="3:6" x14ac:dyDescent="0.25">
      <c r="C430" s="45"/>
      <c r="D430" s="174"/>
      <c r="E430" s="45"/>
      <c r="F430" s="45"/>
    </row>
    <row r="431" spans="3:6" x14ac:dyDescent="0.25">
      <c r="C431" s="45"/>
      <c r="D431" s="174"/>
      <c r="E431" s="45"/>
      <c r="F431" s="45"/>
    </row>
    <row r="432" spans="3:6" x14ac:dyDescent="0.25">
      <c r="C432" s="45"/>
      <c r="D432" s="174"/>
      <c r="E432" s="45"/>
      <c r="F432" s="45"/>
    </row>
    <row r="433" spans="3:6" x14ac:dyDescent="0.25">
      <c r="C433" s="45"/>
      <c r="D433" s="174"/>
      <c r="E433" s="45"/>
      <c r="F433" s="45"/>
    </row>
    <row r="434" spans="3:6" x14ac:dyDescent="0.25">
      <c r="C434" s="45"/>
      <c r="D434" s="174"/>
      <c r="E434" s="45"/>
      <c r="F434" s="45"/>
    </row>
    <row r="435" spans="3:6" x14ac:dyDescent="0.25">
      <c r="C435" s="45"/>
      <c r="D435" s="174"/>
      <c r="E435" s="45"/>
      <c r="F435" s="45"/>
    </row>
    <row r="436" spans="3:6" x14ac:dyDescent="0.25">
      <c r="C436" s="45"/>
      <c r="D436" s="174"/>
      <c r="E436" s="45"/>
      <c r="F436" s="45"/>
    </row>
    <row r="437" spans="3:6" x14ac:dyDescent="0.25">
      <c r="C437" s="45"/>
      <c r="D437" s="174"/>
      <c r="E437" s="45"/>
      <c r="F437" s="45"/>
    </row>
    <row r="438" spans="3:6" x14ac:dyDescent="0.25">
      <c r="C438" s="45"/>
      <c r="D438" s="174"/>
      <c r="E438" s="45"/>
      <c r="F438" s="45"/>
    </row>
    <row r="439" spans="3:6" x14ac:dyDescent="0.25">
      <c r="C439" s="45"/>
      <c r="D439" s="174"/>
      <c r="E439" s="45"/>
      <c r="F439" s="45"/>
    </row>
    <row r="440" spans="3:6" x14ac:dyDescent="0.25">
      <c r="C440" s="45"/>
      <c r="D440" s="174"/>
      <c r="E440" s="45"/>
      <c r="F440" s="45"/>
    </row>
    <row r="441" spans="3:6" x14ac:dyDescent="0.25">
      <c r="C441" s="45"/>
      <c r="D441" s="174"/>
      <c r="E441" s="45"/>
      <c r="F441" s="45"/>
    </row>
    <row r="442" spans="3:6" x14ac:dyDescent="0.25">
      <c r="C442" s="45"/>
      <c r="D442" s="174"/>
      <c r="E442" s="45"/>
      <c r="F442" s="45"/>
    </row>
    <row r="443" spans="3:6" x14ac:dyDescent="0.25">
      <c r="C443" s="45"/>
      <c r="D443" s="174"/>
      <c r="E443" s="45"/>
      <c r="F443" s="45"/>
    </row>
    <row r="444" spans="3:6" x14ac:dyDescent="0.25">
      <c r="C444" s="45"/>
      <c r="D444" s="174"/>
      <c r="E444" s="45"/>
      <c r="F444" s="45"/>
    </row>
    <row r="445" spans="3:6" x14ac:dyDescent="0.25">
      <c r="C445" s="45"/>
      <c r="D445" s="174"/>
      <c r="E445" s="45"/>
      <c r="F445" s="45"/>
    </row>
    <row r="446" spans="3:6" x14ac:dyDescent="0.25">
      <c r="C446" s="45"/>
      <c r="D446" s="174"/>
      <c r="E446" s="45"/>
      <c r="F446" s="45"/>
    </row>
    <row r="447" spans="3:6" x14ac:dyDescent="0.25">
      <c r="C447" s="45"/>
      <c r="D447" s="174"/>
      <c r="E447" s="45"/>
      <c r="F447" s="45"/>
    </row>
    <row r="448" spans="3:6" x14ac:dyDescent="0.25">
      <c r="C448" s="45"/>
      <c r="D448" s="174"/>
      <c r="E448" s="45"/>
      <c r="F448" s="45"/>
    </row>
    <row r="449" spans="3:6" x14ac:dyDescent="0.25">
      <c r="C449" s="45"/>
      <c r="D449" s="174"/>
      <c r="E449" s="45"/>
      <c r="F449" s="45"/>
    </row>
    <row r="450" spans="3:6" x14ac:dyDescent="0.25">
      <c r="C450" s="45"/>
      <c r="D450" s="174"/>
      <c r="E450" s="45"/>
      <c r="F450" s="45"/>
    </row>
    <row r="451" spans="3:6" x14ac:dyDescent="0.25">
      <c r="C451" s="45"/>
      <c r="D451" s="174"/>
      <c r="E451" s="45"/>
      <c r="F451" s="45"/>
    </row>
    <row r="452" spans="3:6" x14ac:dyDescent="0.25">
      <c r="C452" s="45"/>
      <c r="D452" s="174"/>
      <c r="E452" s="45"/>
      <c r="F452" s="45"/>
    </row>
    <row r="453" spans="3:6" x14ac:dyDescent="0.25">
      <c r="C453" s="45"/>
      <c r="D453" s="174"/>
      <c r="E453" s="45"/>
      <c r="F453" s="45"/>
    </row>
    <row r="454" spans="3:6" x14ac:dyDescent="0.25">
      <c r="C454" s="45"/>
      <c r="D454" s="174"/>
      <c r="E454" s="45"/>
      <c r="F454" s="45"/>
    </row>
    <row r="455" spans="3:6" x14ac:dyDescent="0.25">
      <c r="C455" s="45"/>
      <c r="D455" s="174"/>
      <c r="E455" s="45"/>
      <c r="F455" s="45"/>
    </row>
    <row r="456" spans="3:6" x14ac:dyDescent="0.25">
      <c r="C456" s="45"/>
      <c r="D456" s="174"/>
      <c r="E456" s="45"/>
      <c r="F456" s="45"/>
    </row>
    <row r="457" spans="3:6" x14ac:dyDescent="0.25">
      <c r="C457" s="45"/>
      <c r="D457" s="174"/>
      <c r="E457" s="45"/>
      <c r="F457" s="45"/>
    </row>
    <row r="458" spans="3:6" x14ac:dyDescent="0.25">
      <c r="C458" s="45"/>
      <c r="D458" s="174"/>
      <c r="E458" s="45"/>
      <c r="F458" s="45"/>
    </row>
    <row r="459" spans="3:6" x14ac:dyDescent="0.25">
      <c r="C459" s="45"/>
      <c r="D459" s="174"/>
      <c r="E459" s="45"/>
      <c r="F459" s="45"/>
    </row>
    <row r="460" spans="3:6" x14ac:dyDescent="0.25">
      <c r="C460" s="45"/>
      <c r="D460" s="174"/>
      <c r="E460" s="45"/>
      <c r="F460" s="45"/>
    </row>
    <row r="461" spans="3:6" x14ac:dyDescent="0.25">
      <c r="C461" s="45"/>
      <c r="D461" s="174"/>
      <c r="E461" s="45"/>
      <c r="F461" s="45"/>
    </row>
    <row r="462" spans="3:6" x14ac:dyDescent="0.25">
      <c r="C462" s="45"/>
      <c r="D462" s="174"/>
      <c r="E462" s="45"/>
      <c r="F462" s="45"/>
    </row>
    <row r="463" spans="3:6" x14ac:dyDescent="0.25">
      <c r="C463" s="45"/>
      <c r="D463" s="174"/>
      <c r="E463" s="45"/>
      <c r="F463" s="45"/>
    </row>
    <row r="464" spans="3:6" x14ac:dyDescent="0.25">
      <c r="C464" s="45"/>
      <c r="D464" s="174"/>
      <c r="E464" s="45"/>
      <c r="F464" s="45"/>
    </row>
    <row r="465" spans="3:6" x14ac:dyDescent="0.25">
      <c r="C465" s="45"/>
      <c r="D465" s="174"/>
      <c r="E465" s="45"/>
      <c r="F465" s="45"/>
    </row>
    <row r="466" spans="3:6" x14ac:dyDescent="0.25">
      <c r="C466" s="45"/>
      <c r="D466" s="174"/>
      <c r="E466" s="45"/>
      <c r="F466" s="45"/>
    </row>
    <row r="467" spans="3:6" x14ac:dyDescent="0.25">
      <c r="C467" s="45"/>
      <c r="D467" s="174"/>
      <c r="E467" s="45"/>
      <c r="F467" s="45"/>
    </row>
    <row r="468" spans="3:6" x14ac:dyDescent="0.25">
      <c r="C468" s="45"/>
      <c r="D468" s="174"/>
      <c r="E468" s="45"/>
      <c r="F468" s="45"/>
    </row>
    <row r="469" spans="3:6" x14ac:dyDescent="0.25">
      <c r="C469" s="45"/>
      <c r="D469" s="174"/>
      <c r="E469" s="45"/>
      <c r="F469" s="45"/>
    </row>
    <row r="470" spans="3:6" x14ac:dyDescent="0.25">
      <c r="C470" s="45"/>
      <c r="D470" s="174"/>
      <c r="E470" s="45"/>
      <c r="F470" s="45"/>
    </row>
    <row r="471" spans="3:6" x14ac:dyDescent="0.25">
      <c r="C471" s="45"/>
      <c r="D471" s="174"/>
      <c r="E471" s="45"/>
      <c r="F471" s="45"/>
    </row>
    <row r="472" spans="3:6" x14ac:dyDescent="0.25">
      <c r="C472" s="45"/>
      <c r="D472" s="174"/>
      <c r="E472" s="45"/>
      <c r="F472" s="45"/>
    </row>
    <row r="473" spans="3:6" x14ac:dyDescent="0.25">
      <c r="C473" s="45"/>
      <c r="D473" s="174"/>
      <c r="E473" s="45"/>
      <c r="F473" s="45"/>
    </row>
    <row r="474" spans="3:6" x14ac:dyDescent="0.25">
      <c r="C474" s="45"/>
      <c r="D474" s="174"/>
      <c r="E474" s="45"/>
      <c r="F474" s="45"/>
    </row>
    <row r="475" spans="3:6" x14ac:dyDescent="0.25">
      <c r="C475" s="45"/>
      <c r="D475" s="174"/>
      <c r="E475" s="45"/>
      <c r="F475" s="45"/>
    </row>
    <row r="476" spans="3:6" x14ac:dyDescent="0.25">
      <c r="C476" s="45"/>
      <c r="D476" s="174"/>
      <c r="E476" s="45"/>
      <c r="F476" s="45"/>
    </row>
    <row r="477" spans="3:6" x14ac:dyDescent="0.25">
      <c r="C477" s="45"/>
      <c r="D477" s="174"/>
      <c r="E477" s="45"/>
      <c r="F477" s="45"/>
    </row>
    <row r="478" spans="3:6" x14ac:dyDescent="0.25">
      <c r="C478" s="45"/>
      <c r="D478" s="174"/>
      <c r="E478" s="45"/>
      <c r="F478" s="45"/>
    </row>
    <row r="479" spans="3:6" x14ac:dyDescent="0.25">
      <c r="C479" s="45"/>
      <c r="D479" s="174"/>
      <c r="E479" s="45"/>
      <c r="F479" s="45"/>
    </row>
    <row r="480" spans="3:6" x14ac:dyDescent="0.25">
      <c r="C480" s="45"/>
      <c r="D480" s="174"/>
      <c r="E480" s="45"/>
      <c r="F480" s="45"/>
    </row>
    <row r="481" spans="3:6" x14ac:dyDescent="0.25">
      <c r="C481" s="45"/>
      <c r="D481" s="174"/>
      <c r="E481" s="45"/>
      <c r="F481" s="45"/>
    </row>
    <row r="482" spans="3:6" x14ac:dyDescent="0.25">
      <c r="C482" s="45"/>
      <c r="D482" s="174"/>
      <c r="E482" s="45"/>
      <c r="F482" s="45"/>
    </row>
    <row r="483" spans="3:6" x14ac:dyDescent="0.25">
      <c r="C483" s="45"/>
      <c r="D483" s="174"/>
      <c r="E483" s="45"/>
      <c r="F483" s="45"/>
    </row>
    <row r="484" spans="3:6" x14ac:dyDescent="0.25">
      <c r="C484" s="45"/>
      <c r="D484" s="174"/>
      <c r="E484" s="45"/>
      <c r="F484" s="45"/>
    </row>
    <row r="485" spans="3:6" x14ac:dyDescent="0.25">
      <c r="C485" s="45"/>
      <c r="D485" s="174"/>
      <c r="E485" s="45"/>
      <c r="F485" s="45"/>
    </row>
    <row r="486" spans="3:6" x14ac:dyDescent="0.25">
      <c r="C486" s="45"/>
      <c r="D486" s="174"/>
      <c r="E486" s="45"/>
      <c r="F486" s="45"/>
    </row>
    <row r="487" spans="3:6" x14ac:dyDescent="0.25">
      <c r="C487" s="45"/>
      <c r="D487" s="174"/>
      <c r="E487" s="45"/>
      <c r="F487" s="45"/>
    </row>
    <row r="488" spans="3:6" x14ac:dyDescent="0.25">
      <c r="C488" s="45"/>
      <c r="D488" s="174"/>
      <c r="E488" s="45"/>
      <c r="F488" s="45"/>
    </row>
    <row r="489" spans="3:6" x14ac:dyDescent="0.25">
      <c r="C489" s="45"/>
      <c r="D489" s="174"/>
      <c r="E489" s="45"/>
      <c r="F489" s="45"/>
    </row>
    <row r="490" spans="3:6" x14ac:dyDescent="0.25">
      <c r="C490" s="45"/>
      <c r="D490" s="174"/>
      <c r="E490" s="45"/>
      <c r="F490" s="45"/>
    </row>
    <row r="491" spans="3:6" x14ac:dyDescent="0.25">
      <c r="C491" s="45"/>
      <c r="D491" s="174"/>
      <c r="E491" s="45"/>
      <c r="F491" s="45"/>
    </row>
    <row r="492" spans="3:6" x14ac:dyDescent="0.25">
      <c r="C492" s="45"/>
      <c r="D492" s="174"/>
      <c r="E492" s="45"/>
      <c r="F492" s="45"/>
    </row>
    <row r="493" spans="3:6" x14ac:dyDescent="0.25">
      <c r="C493" s="45"/>
      <c r="E493" s="45"/>
      <c r="F493" s="45"/>
    </row>
    <row r="494" spans="3:6" x14ac:dyDescent="0.25">
      <c r="C494" s="45"/>
      <c r="E494" s="45"/>
    </row>
    <row r="495" spans="3:6" x14ac:dyDescent="0.25">
      <c r="C495" s="45"/>
      <c r="E495" s="45"/>
      <c r="F495" s="45"/>
    </row>
    <row r="496" spans="3:6" x14ac:dyDescent="0.25">
      <c r="C496" s="45"/>
      <c r="D496" s="174"/>
      <c r="E496" s="45"/>
      <c r="F496" s="45"/>
    </row>
    <row r="497" spans="3:6" x14ac:dyDescent="0.25">
      <c r="C497" s="45"/>
      <c r="E497" s="45"/>
      <c r="F497" s="45"/>
    </row>
    <row r="498" spans="3:6" x14ac:dyDescent="0.25">
      <c r="C498" s="45"/>
      <c r="E498" s="45"/>
      <c r="F498" s="45"/>
    </row>
    <row r="499" spans="3:6" x14ac:dyDescent="0.25">
      <c r="C499" s="45"/>
      <c r="D499" s="174"/>
      <c r="E499" s="45"/>
      <c r="F499" s="45"/>
    </row>
    <row r="501" spans="3:6" x14ac:dyDescent="0.25">
      <c r="C501" s="45"/>
      <c r="E501" s="45"/>
      <c r="F501" s="45"/>
    </row>
    <row r="502" spans="3:6" x14ac:dyDescent="0.25">
      <c r="C502" s="45"/>
      <c r="E502" s="45"/>
      <c r="F502" s="45"/>
    </row>
    <row r="503" spans="3:6" x14ac:dyDescent="0.25">
      <c r="C503" s="45"/>
      <c r="E503" s="45"/>
      <c r="F503" s="45"/>
    </row>
    <row r="504" spans="3:6" x14ac:dyDescent="0.25">
      <c r="C504" s="45"/>
      <c r="E504" s="45"/>
      <c r="F504" s="45"/>
    </row>
    <row r="505" spans="3:6" x14ac:dyDescent="0.25">
      <c r="C505" s="45"/>
      <c r="E505" s="45"/>
    </row>
    <row r="506" spans="3:6" x14ac:dyDescent="0.25">
      <c r="C506" s="45"/>
      <c r="E506" s="45"/>
      <c r="F506" s="45"/>
    </row>
    <row r="507" spans="3:6" x14ac:dyDescent="0.25">
      <c r="C507" s="45"/>
      <c r="E507" s="45"/>
    </row>
    <row r="508" spans="3:6" x14ac:dyDescent="0.25">
      <c r="C508" s="45"/>
      <c r="D508" s="174"/>
      <c r="E508" s="45"/>
      <c r="F508" s="45"/>
    </row>
    <row r="509" spans="3:6" x14ac:dyDescent="0.25">
      <c r="C509" s="45"/>
      <c r="E509" s="45"/>
    </row>
    <row r="510" spans="3:6" x14ac:dyDescent="0.25">
      <c r="C510" s="45"/>
      <c r="E510" s="45"/>
      <c r="F510" s="45"/>
    </row>
    <row r="511" spans="3:6" x14ac:dyDescent="0.25">
      <c r="C511" s="45"/>
      <c r="E511" s="45"/>
      <c r="F511" s="45"/>
    </row>
    <row r="512" spans="3:6" x14ac:dyDescent="0.25">
      <c r="C512" s="45"/>
      <c r="E512" s="45"/>
      <c r="F512" s="45"/>
    </row>
    <row r="513" spans="3:6" x14ac:dyDescent="0.25">
      <c r="C513" s="45"/>
      <c r="E513" s="45"/>
      <c r="F513" s="45"/>
    </row>
    <row r="515" spans="3:6" x14ac:dyDescent="0.25">
      <c r="C515" s="45"/>
      <c r="E515" s="45"/>
      <c r="F515" s="45"/>
    </row>
    <row r="516" spans="3:6" x14ac:dyDescent="0.25">
      <c r="C516" s="45"/>
      <c r="E516" s="45"/>
      <c r="F516" s="45"/>
    </row>
    <row r="517" spans="3:6" x14ac:dyDescent="0.25">
      <c r="C517" s="45"/>
      <c r="E517" s="45"/>
      <c r="F517" s="45"/>
    </row>
    <row r="518" spans="3:6" x14ac:dyDescent="0.25">
      <c r="C518" s="45"/>
      <c r="E518" s="45"/>
      <c r="F518" s="45"/>
    </row>
    <row r="520" spans="3:6" x14ac:dyDescent="0.25">
      <c r="C520" s="45"/>
      <c r="E520" s="45"/>
      <c r="F520" s="45"/>
    </row>
    <row r="521" spans="3:6" x14ac:dyDescent="0.25">
      <c r="C521" s="45"/>
      <c r="E521" s="45"/>
      <c r="F521" s="45"/>
    </row>
    <row r="522" spans="3:6" x14ac:dyDescent="0.25">
      <c r="C522" s="45"/>
      <c r="D522" s="174"/>
      <c r="E522" s="45"/>
      <c r="F522" s="45"/>
    </row>
    <row r="523" spans="3:6" x14ac:dyDescent="0.25">
      <c r="C523" s="45"/>
      <c r="D523" s="174"/>
      <c r="E523" s="45"/>
      <c r="F523" s="45"/>
    </row>
    <row r="524" spans="3:6" x14ac:dyDescent="0.25">
      <c r="C524" s="45"/>
      <c r="E524" s="45"/>
      <c r="F524" s="45"/>
    </row>
    <row r="525" spans="3:6" x14ac:dyDescent="0.25">
      <c r="C525" s="45"/>
      <c r="E525" s="45"/>
      <c r="F525" s="45"/>
    </row>
    <row r="526" spans="3:6" x14ac:dyDescent="0.25">
      <c r="C526" s="45"/>
      <c r="E526" s="45"/>
      <c r="F526" s="45"/>
    </row>
    <row r="529" spans="3:6" x14ac:dyDescent="0.25">
      <c r="C529" s="45"/>
      <c r="E529" s="45"/>
      <c r="F529" s="45"/>
    </row>
    <row r="530" spans="3:6" x14ac:dyDescent="0.25">
      <c r="C530" s="45"/>
      <c r="E530" s="45"/>
    </row>
    <row r="531" spans="3:6" x14ac:dyDescent="0.25">
      <c r="C531" s="45"/>
      <c r="E531" s="45"/>
      <c r="F531" s="45"/>
    </row>
    <row r="532" spans="3:6" x14ac:dyDescent="0.25">
      <c r="C532" s="45"/>
      <c r="E532" s="45"/>
      <c r="F532" s="45"/>
    </row>
    <row r="533" spans="3:6" x14ac:dyDescent="0.25">
      <c r="C533" s="45"/>
      <c r="E533" s="45"/>
      <c r="F533" s="45"/>
    </row>
    <row r="534" spans="3:6" x14ac:dyDescent="0.25">
      <c r="C534" s="45"/>
      <c r="D534" s="174"/>
      <c r="E534" s="45"/>
      <c r="F534" s="45"/>
    </row>
    <row r="535" spans="3:6" x14ac:dyDescent="0.25">
      <c r="C535" s="45"/>
      <c r="D535" s="174"/>
      <c r="E535" s="45"/>
      <c r="F535" s="45"/>
    </row>
    <row r="536" spans="3:6" x14ac:dyDescent="0.25">
      <c r="C536" s="45"/>
      <c r="D536" s="174"/>
      <c r="E536" s="45"/>
      <c r="F536" s="45"/>
    </row>
    <row r="537" spans="3:6" x14ac:dyDescent="0.25">
      <c r="C537" s="45"/>
      <c r="D537" s="174"/>
      <c r="E537" s="45"/>
      <c r="F537" s="45"/>
    </row>
    <row r="538" spans="3:6" x14ac:dyDescent="0.25">
      <c r="C538" s="45"/>
      <c r="D538" s="174"/>
      <c r="E538" s="45"/>
      <c r="F538" s="45"/>
    </row>
    <row r="539" spans="3:6" x14ac:dyDescent="0.25">
      <c r="C539" s="45"/>
      <c r="E539" s="45"/>
    </row>
    <row r="542" spans="3:6" x14ac:dyDescent="0.25">
      <c r="C542" s="45"/>
      <c r="D542" s="174"/>
      <c r="E542" s="45"/>
      <c r="F542" s="45"/>
    </row>
    <row r="543" spans="3:6" x14ac:dyDescent="0.25">
      <c r="C543" s="45"/>
      <c r="E543" s="45"/>
    </row>
    <row r="545" spans="3:6" x14ac:dyDescent="0.25">
      <c r="C545" s="45"/>
      <c r="E545" s="45"/>
      <c r="F545" s="45"/>
    </row>
    <row r="546" spans="3:6" x14ac:dyDescent="0.25">
      <c r="C546" s="45"/>
      <c r="E546" s="45"/>
      <c r="F546" s="45"/>
    </row>
    <row r="549" spans="3:6" x14ac:dyDescent="0.25">
      <c r="C549" s="45"/>
      <c r="E549" s="45"/>
    </row>
    <row r="550" spans="3:6" x14ac:dyDescent="0.25">
      <c r="C550" s="45"/>
      <c r="E550" s="45"/>
      <c r="F550" s="45"/>
    </row>
    <row r="551" spans="3:6" x14ac:dyDescent="0.25">
      <c r="C551" s="45"/>
      <c r="E551" s="45"/>
      <c r="F551" s="45"/>
    </row>
    <row r="552" spans="3:6" x14ac:dyDescent="0.25">
      <c r="C552" s="45"/>
      <c r="E552" s="45"/>
    </row>
    <row r="553" spans="3:6" x14ac:dyDescent="0.25">
      <c r="C553" s="45"/>
      <c r="E553" s="45"/>
      <c r="F553" s="45"/>
    </row>
    <row r="556" spans="3:6" x14ac:dyDescent="0.25">
      <c r="C556" s="45"/>
      <c r="E556" s="45"/>
      <c r="F556" s="45"/>
    </row>
    <row r="557" spans="3:6" x14ac:dyDescent="0.25">
      <c r="C557" s="45"/>
      <c r="E557" s="45"/>
      <c r="F557" s="45"/>
    </row>
    <row r="558" spans="3:6" x14ac:dyDescent="0.25">
      <c r="C558" s="45"/>
      <c r="E558" s="45"/>
      <c r="F558" s="45"/>
    </row>
    <row r="559" spans="3:6" x14ac:dyDescent="0.25">
      <c r="C559" s="45"/>
      <c r="D559" s="174"/>
      <c r="E559" s="45"/>
      <c r="F559" s="45"/>
    </row>
    <row r="562" spans="3:6" x14ac:dyDescent="0.25">
      <c r="C562" s="45"/>
      <c r="E562" s="45"/>
      <c r="F562" s="45"/>
    </row>
    <row r="563" spans="3:6" x14ac:dyDescent="0.25">
      <c r="C563" s="45"/>
      <c r="D563" s="174"/>
      <c r="E563" s="45"/>
      <c r="F563" s="45"/>
    </row>
    <row r="564" spans="3:6" x14ac:dyDescent="0.25">
      <c r="C564" s="45"/>
      <c r="E564" s="45"/>
      <c r="F564" s="45"/>
    </row>
    <row r="565" spans="3:6" x14ac:dyDescent="0.25">
      <c r="C565" s="45"/>
      <c r="D565" s="174"/>
      <c r="E565" s="45"/>
      <c r="F565" s="45"/>
    </row>
    <row r="566" spans="3:6" x14ac:dyDescent="0.25">
      <c r="C566" s="45"/>
      <c r="E566" s="45"/>
      <c r="F566" s="45"/>
    </row>
    <row r="567" spans="3:6" x14ac:dyDescent="0.25">
      <c r="C567" s="45"/>
      <c r="E567" s="45"/>
    </row>
    <row r="568" spans="3:6" x14ac:dyDescent="0.25">
      <c r="C568" s="45"/>
      <c r="E568" s="45"/>
      <c r="F568" s="45"/>
    </row>
    <row r="569" spans="3:6" x14ac:dyDescent="0.25">
      <c r="C569" s="45"/>
      <c r="E569" s="45"/>
      <c r="F569" s="45"/>
    </row>
    <row r="570" spans="3:6" x14ac:dyDescent="0.25">
      <c r="C570" s="45"/>
      <c r="E570" s="45"/>
      <c r="F570" s="45"/>
    </row>
    <row r="572" spans="3:6" x14ac:dyDescent="0.25">
      <c r="C572" s="45"/>
      <c r="E572" s="45"/>
      <c r="F572" s="45"/>
    </row>
    <row r="573" spans="3:6" x14ac:dyDescent="0.25">
      <c r="C573" s="45"/>
      <c r="E573" s="45"/>
      <c r="F573" s="45"/>
    </row>
    <row r="574" spans="3:6" x14ac:dyDescent="0.25">
      <c r="C574" s="45"/>
      <c r="E574" s="45"/>
      <c r="F574" s="45"/>
    </row>
    <row r="575" spans="3:6" x14ac:dyDescent="0.25">
      <c r="C575" s="45"/>
      <c r="E575" s="45"/>
    </row>
    <row r="577" spans="3:6" x14ac:dyDescent="0.25">
      <c r="C577" s="45"/>
      <c r="E577" s="45"/>
    </row>
    <row r="578" spans="3:6" x14ac:dyDescent="0.25">
      <c r="C578" s="45"/>
      <c r="D578" s="174"/>
      <c r="E578" s="45"/>
      <c r="F578" s="45"/>
    </row>
    <row r="580" spans="3:6" x14ac:dyDescent="0.25">
      <c r="C580" s="45"/>
      <c r="E580" s="45"/>
      <c r="F580" s="45"/>
    </row>
    <row r="582" spans="3:6" x14ac:dyDescent="0.25">
      <c r="C582" s="45"/>
      <c r="D582" s="174"/>
      <c r="E582" s="45"/>
      <c r="F582" s="45"/>
    </row>
    <row r="583" spans="3:6" x14ac:dyDescent="0.25">
      <c r="C583" s="45"/>
      <c r="D583" s="174"/>
      <c r="E583" s="45"/>
      <c r="F583" s="45"/>
    </row>
    <row r="584" spans="3:6" x14ac:dyDescent="0.25">
      <c r="C584" s="45"/>
      <c r="D584" s="174"/>
      <c r="E584" s="45"/>
      <c r="F584" s="45"/>
    </row>
    <row r="585" spans="3:6" x14ac:dyDescent="0.25">
      <c r="C585" s="45"/>
      <c r="E585" s="45"/>
      <c r="F585" s="45"/>
    </row>
    <row r="587" spans="3:6" x14ac:dyDescent="0.25">
      <c r="C587" s="45"/>
      <c r="D587" s="174"/>
      <c r="E587" s="45"/>
      <c r="F587" s="45"/>
    </row>
    <row r="588" spans="3:6" x14ac:dyDescent="0.25">
      <c r="C588" s="45"/>
      <c r="D588" s="174"/>
      <c r="E588" s="45"/>
      <c r="F588" s="45"/>
    </row>
    <row r="591" spans="3:6" x14ac:dyDescent="0.25">
      <c r="C591" s="45"/>
      <c r="E591" s="45"/>
      <c r="F591" s="45"/>
    </row>
    <row r="593" spans="3:6" x14ac:dyDescent="0.25">
      <c r="C593" s="45"/>
      <c r="E593" s="45"/>
      <c r="F593" s="45"/>
    </row>
    <row r="594" spans="3:6" x14ac:dyDescent="0.25">
      <c r="C594" s="45"/>
      <c r="E594" s="45"/>
      <c r="F594" s="45"/>
    </row>
    <row r="595" spans="3:6" x14ac:dyDescent="0.25">
      <c r="C595" s="45"/>
      <c r="E595" s="45"/>
      <c r="F595" s="45"/>
    </row>
    <row r="596" spans="3:6" x14ac:dyDescent="0.25">
      <c r="C596" s="45"/>
      <c r="E596" s="45"/>
      <c r="F596" s="45"/>
    </row>
    <row r="597" spans="3:6" x14ac:dyDescent="0.25">
      <c r="C597" s="45"/>
      <c r="E597" s="45"/>
      <c r="F597" s="45"/>
    </row>
    <row r="598" spans="3:6" x14ac:dyDescent="0.25">
      <c r="C598" s="45"/>
      <c r="E598" s="45"/>
      <c r="F598" s="45"/>
    </row>
    <row r="599" spans="3:6" x14ac:dyDescent="0.25">
      <c r="C599" s="45"/>
      <c r="E599" s="45"/>
      <c r="F599" s="45"/>
    </row>
    <row r="600" spans="3:6" x14ac:dyDescent="0.25">
      <c r="C600" s="45"/>
      <c r="E600" s="45"/>
    </row>
    <row r="601" spans="3:6" x14ac:dyDescent="0.25">
      <c r="C601" s="45"/>
      <c r="E601" s="45"/>
      <c r="F601" s="45"/>
    </row>
    <row r="602" spans="3:6" x14ac:dyDescent="0.25">
      <c r="C602" s="45"/>
      <c r="E602" s="45"/>
      <c r="F602" s="45"/>
    </row>
    <row r="603" spans="3:6" x14ac:dyDescent="0.25">
      <c r="C603" s="45"/>
      <c r="E603" s="45"/>
      <c r="F603" s="45"/>
    </row>
    <row r="604" spans="3:6" x14ac:dyDescent="0.25">
      <c r="C604" s="45"/>
      <c r="E604" s="45"/>
      <c r="F604" s="45"/>
    </row>
    <row r="605" spans="3:6" x14ac:dyDescent="0.25">
      <c r="C605" s="45"/>
      <c r="E605" s="45"/>
      <c r="F605" s="45"/>
    </row>
    <row r="606" spans="3:6" x14ac:dyDescent="0.25">
      <c r="C606" s="45"/>
      <c r="E606" s="45"/>
      <c r="F606" s="45"/>
    </row>
    <row r="607" spans="3:6" x14ac:dyDescent="0.25">
      <c r="C607" s="45"/>
      <c r="E607" s="45"/>
      <c r="F607" s="45"/>
    </row>
    <row r="608" spans="3:6" x14ac:dyDescent="0.25">
      <c r="C608" s="45"/>
      <c r="E608" s="45"/>
      <c r="F608" s="45"/>
    </row>
    <row r="609" spans="3:6" x14ac:dyDescent="0.25">
      <c r="C609" s="45"/>
      <c r="E609" s="45"/>
    </row>
    <row r="610" spans="3:6" x14ac:dyDescent="0.25">
      <c r="C610" s="45"/>
      <c r="E610" s="45"/>
      <c r="F610" s="45"/>
    </row>
    <row r="611" spans="3:6" x14ac:dyDescent="0.25">
      <c r="C611" s="45"/>
      <c r="E611" s="45"/>
      <c r="F611" s="45"/>
    </row>
    <row r="612" spans="3:6" x14ac:dyDescent="0.25">
      <c r="C612" s="45"/>
      <c r="E612" s="45"/>
      <c r="F612" s="45"/>
    </row>
    <row r="613" spans="3:6" x14ac:dyDescent="0.25">
      <c r="C613" s="45"/>
      <c r="E613" s="45"/>
      <c r="F613" s="45"/>
    </row>
    <row r="614" spans="3:6" x14ac:dyDescent="0.25">
      <c r="C614" s="45"/>
      <c r="E614" s="45"/>
      <c r="F614" s="45"/>
    </row>
    <row r="615" spans="3:6" x14ac:dyDescent="0.25">
      <c r="C615" s="45"/>
      <c r="E615" s="45"/>
      <c r="F615" s="45"/>
    </row>
    <row r="616" spans="3:6" x14ac:dyDescent="0.25">
      <c r="C616" s="45"/>
      <c r="E616" s="45"/>
      <c r="F616" s="45"/>
    </row>
    <row r="617" spans="3:6" x14ac:dyDescent="0.25">
      <c r="C617" s="45"/>
      <c r="E617" s="45"/>
      <c r="F617" s="45"/>
    </row>
    <row r="618" spans="3:6" x14ac:dyDescent="0.25">
      <c r="C618" s="45"/>
      <c r="E618" s="45"/>
      <c r="F618" s="45"/>
    </row>
    <row r="619" spans="3:6" x14ac:dyDescent="0.25">
      <c r="C619" s="45"/>
      <c r="E619" s="45"/>
      <c r="F619" s="45"/>
    </row>
    <row r="620" spans="3:6" x14ac:dyDescent="0.25">
      <c r="C620" s="45"/>
      <c r="E620" s="45"/>
      <c r="F620" s="45"/>
    </row>
    <row r="621" spans="3:6" x14ac:dyDescent="0.25">
      <c r="C621" s="45"/>
      <c r="E621" s="45"/>
      <c r="F621" s="45"/>
    </row>
    <row r="622" spans="3:6" x14ac:dyDescent="0.25">
      <c r="C622" s="45"/>
      <c r="E622" s="45"/>
      <c r="F622" s="45"/>
    </row>
    <row r="623" spans="3:6" x14ac:dyDescent="0.25">
      <c r="C623" s="45"/>
      <c r="E623" s="45"/>
      <c r="F623" s="45"/>
    </row>
    <row r="624" spans="3:6" x14ac:dyDescent="0.25">
      <c r="C624" s="45"/>
      <c r="E624" s="45"/>
      <c r="F624" s="45"/>
    </row>
    <row r="625" spans="3:6" x14ac:dyDescent="0.25">
      <c r="C625" s="45"/>
      <c r="E625" s="45"/>
      <c r="F625" s="45"/>
    </row>
    <row r="627" spans="3:6" x14ac:dyDescent="0.25">
      <c r="C627" s="45"/>
      <c r="E627" s="45"/>
      <c r="F627" s="45"/>
    </row>
    <row r="628" spans="3:6" x14ac:dyDescent="0.25">
      <c r="C628" s="45"/>
      <c r="E628" s="45"/>
      <c r="F628" s="45"/>
    </row>
    <row r="629" spans="3:6" x14ac:dyDescent="0.25">
      <c r="C629" s="45"/>
      <c r="E629" s="45"/>
      <c r="F629" s="45"/>
    </row>
    <row r="630" spans="3:6" x14ac:dyDescent="0.25">
      <c r="C630" s="45"/>
      <c r="E630" s="45"/>
      <c r="F630" s="45"/>
    </row>
    <row r="631" spans="3:6" x14ac:dyDescent="0.25">
      <c r="C631" s="45"/>
      <c r="E631" s="45"/>
      <c r="F631" s="45"/>
    </row>
    <row r="632" spans="3:6" x14ac:dyDescent="0.25">
      <c r="C632" s="45"/>
      <c r="E632" s="45"/>
      <c r="F632" s="45"/>
    </row>
    <row r="633" spans="3:6" x14ac:dyDescent="0.25">
      <c r="C633" s="45"/>
      <c r="E633" s="45"/>
      <c r="F633" s="45"/>
    </row>
    <row r="634" spans="3:6" x14ac:dyDescent="0.25">
      <c r="C634" s="45"/>
      <c r="E634" s="45"/>
      <c r="F634" s="45"/>
    </row>
    <row r="635" spans="3:6" x14ac:dyDescent="0.25">
      <c r="C635" s="45"/>
      <c r="E635" s="45"/>
      <c r="F635" s="45"/>
    </row>
    <row r="636" spans="3:6" x14ac:dyDescent="0.25">
      <c r="C636" s="45"/>
      <c r="E636" s="45"/>
      <c r="F636" s="45"/>
    </row>
    <row r="637" spans="3:6" x14ac:dyDescent="0.25">
      <c r="C637" s="45"/>
      <c r="E637" s="45"/>
      <c r="F637" s="45"/>
    </row>
    <row r="638" spans="3:6" x14ac:dyDescent="0.25">
      <c r="C638" s="45"/>
      <c r="E638" s="45"/>
      <c r="F638" s="45"/>
    </row>
    <row r="639" spans="3:6" x14ac:dyDescent="0.25">
      <c r="C639" s="45"/>
      <c r="E639" s="45"/>
      <c r="F639" s="45"/>
    </row>
    <row r="640" spans="3:6" x14ac:dyDescent="0.25">
      <c r="C640" s="45"/>
      <c r="E640" s="45"/>
      <c r="F640" s="45"/>
    </row>
    <row r="641" spans="3:6" x14ac:dyDescent="0.25">
      <c r="C641" s="45"/>
      <c r="E641" s="45"/>
      <c r="F641" s="45"/>
    </row>
    <row r="642" spans="3:6" x14ac:dyDescent="0.25">
      <c r="C642" s="45"/>
      <c r="E642" s="45"/>
      <c r="F642" s="45"/>
    </row>
    <row r="643" spans="3:6" x14ac:dyDescent="0.25">
      <c r="C643" s="45"/>
      <c r="E643" s="45"/>
      <c r="F643" s="45"/>
    </row>
    <row r="644" spans="3:6" x14ac:dyDescent="0.25">
      <c r="C644" s="45"/>
      <c r="E644" s="45"/>
      <c r="F644" s="45"/>
    </row>
    <row r="645" spans="3:6" x14ac:dyDescent="0.25">
      <c r="C645" s="45"/>
      <c r="E645" s="45"/>
      <c r="F645" s="45"/>
    </row>
    <row r="646" spans="3:6" x14ac:dyDescent="0.25">
      <c r="C646" s="45"/>
      <c r="E646" s="45"/>
      <c r="F646" s="45"/>
    </row>
    <row r="647" spans="3:6" x14ac:dyDescent="0.25">
      <c r="C647" s="45"/>
      <c r="E647" s="45"/>
      <c r="F647" s="45"/>
    </row>
    <row r="648" spans="3:6" x14ac:dyDescent="0.25">
      <c r="C648" s="45"/>
      <c r="E648" s="45"/>
      <c r="F648" s="45"/>
    </row>
    <row r="649" spans="3:6" x14ac:dyDescent="0.25">
      <c r="C649" s="45"/>
      <c r="E649" s="45"/>
      <c r="F649" s="45"/>
    </row>
    <row r="650" spans="3:6" x14ac:dyDescent="0.25">
      <c r="C650" s="45"/>
      <c r="E650" s="45"/>
    </row>
    <row r="651" spans="3:6" x14ac:dyDescent="0.25">
      <c r="C651" s="45"/>
      <c r="E651" s="45"/>
      <c r="F651" s="45"/>
    </row>
    <row r="652" spans="3:6" x14ac:dyDescent="0.25">
      <c r="C652" s="45"/>
      <c r="E652" s="45"/>
    </row>
    <row r="653" spans="3:6" x14ac:dyDescent="0.25">
      <c r="C653" s="45"/>
      <c r="E653" s="45"/>
      <c r="F653" s="45"/>
    </row>
    <row r="654" spans="3:6" x14ac:dyDescent="0.25">
      <c r="C654" s="45"/>
      <c r="E654" s="45"/>
    </row>
  </sheetData>
  <conditionalFormatting sqref="E1:E1048576">
    <cfRule type="duplicateValues" dxfId="11" priority="3" stopIfTrue="1"/>
    <cfRule type="duplicateValues" dxfId="10" priority="4" stopIfTrue="1"/>
  </conditionalFormatting>
  <conditionalFormatting sqref="E2:E167">
    <cfRule type="duplicateValues" dxfId="9" priority="1" stopIfTrue="1"/>
    <cfRule type="duplicateValues" dxfId="8" priority="2" stopIfTrue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XET230"/>
  <sheetViews>
    <sheetView workbookViewId="0">
      <selection activeCell="C2" sqref="C2"/>
    </sheetView>
  </sheetViews>
  <sheetFormatPr defaultRowHeight="15" x14ac:dyDescent="0.25"/>
  <cols>
    <col min="1" max="2" width="23" customWidth="1"/>
    <col min="3" max="3" width="23" style="231" customWidth="1"/>
    <col min="4" max="6" width="23" customWidth="1"/>
  </cols>
  <sheetData>
    <row r="1" spans="1:16374" x14ac:dyDescent="0.25"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179"/>
      <c r="BO1" s="179"/>
      <c r="BP1" s="179"/>
      <c r="BQ1" s="179"/>
      <c r="BR1" s="179"/>
      <c r="BS1" s="179"/>
      <c r="BT1" s="179"/>
      <c r="BU1" s="179"/>
      <c r="BV1" s="179"/>
      <c r="BW1" s="179"/>
      <c r="BX1" s="179"/>
      <c r="BY1" s="179"/>
      <c r="BZ1" s="179"/>
      <c r="CA1" s="179"/>
      <c r="CB1" s="179"/>
      <c r="CC1" s="179"/>
      <c r="CD1" s="179"/>
      <c r="CE1" s="179"/>
      <c r="CF1" s="179"/>
      <c r="CG1" s="179"/>
      <c r="CH1" s="179"/>
      <c r="CI1" s="179"/>
      <c r="CJ1" s="179"/>
      <c r="CK1" s="179"/>
      <c r="CL1" s="179"/>
      <c r="CM1" s="179"/>
      <c r="CN1" s="179"/>
      <c r="CO1" s="179"/>
      <c r="CP1" s="179"/>
      <c r="CQ1" s="179"/>
      <c r="CR1" s="179"/>
      <c r="CS1" s="179"/>
      <c r="CT1" s="179"/>
      <c r="CU1" s="179"/>
      <c r="CV1" s="179"/>
      <c r="CW1" s="179"/>
      <c r="CX1" s="179"/>
      <c r="CY1" s="179"/>
      <c r="CZ1" s="179"/>
      <c r="DA1" s="179"/>
      <c r="DB1" s="179"/>
      <c r="DC1" s="179"/>
      <c r="DD1" s="179"/>
      <c r="DE1" s="179"/>
      <c r="DF1" s="179"/>
      <c r="DG1" s="179"/>
      <c r="DH1" s="179"/>
      <c r="DI1" s="179"/>
      <c r="DJ1" s="179"/>
      <c r="DK1" s="179"/>
      <c r="DL1" s="179"/>
      <c r="DM1" s="179"/>
      <c r="DN1" s="179"/>
      <c r="DO1" s="179"/>
      <c r="DP1" s="179"/>
      <c r="DQ1" s="179"/>
      <c r="DR1" s="179"/>
      <c r="DS1" s="179"/>
      <c r="DT1" s="179"/>
      <c r="DU1" s="179"/>
      <c r="DV1" s="179"/>
      <c r="DW1" s="179"/>
      <c r="DX1" s="179"/>
      <c r="DY1" s="179"/>
      <c r="DZ1" s="179"/>
      <c r="EA1" s="179"/>
      <c r="EB1" s="179"/>
      <c r="EC1" s="179"/>
      <c r="ED1" s="179"/>
      <c r="EE1" s="179"/>
      <c r="EF1" s="179"/>
      <c r="EG1" s="179"/>
      <c r="EH1" s="179"/>
      <c r="EI1" s="179"/>
      <c r="EJ1" s="179"/>
      <c r="EK1" s="179"/>
      <c r="EL1" s="179"/>
      <c r="EM1" s="179"/>
      <c r="EN1" s="179"/>
      <c r="EO1" s="179"/>
      <c r="EP1" s="179"/>
      <c r="EQ1" s="179"/>
      <c r="ER1" s="179"/>
      <c r="ES1" s="179"/>
      <c r="ET1" s="179"/>
      <c r="EU1" s="179"/>
      <c r="EV1" s="179"/>
      <c r="EW1" s="179"/>
      <c r="EX1" s="179"/>
      <c r="EY1" s="179"/>
      <c r="EZ1" s="179"/>
      <c r="FA1" s="179"/>
      <c r="FB1" s="179"/>
      <c r="FC1" s="179"/>
      <c r="FD1" s="179"/>
      <c r="FE1" s="179"/>
      <c r="FF1" s="179"/>
      <c r="FG1" s="179"/>
      <c r="FH1" s="179"/>
      <c r="FI1" s="179"/>
      <c r="FJ1" s="179"/>
      <c r="FK1" s="179"/>
      <c r="FL1" s="179"/>
      <c r="FM1" s="179"/>
      <c r="FN1" s="179"/>
      <c r="FO1" s="179"/>
      <c r="FP1" s="179"/>
      <c r="FQ1" s="179"/>
      <c r="FR1" s="179"/>
      <c r="FS1" s="179"/>
      <c r="FT1" s="179"/>
      <c r="FU1" s="179"/>
      <c r="FV1" s="179"/>
      <c r="FW1" s="179"/>
      <c r="FX1" s="179"/>
      <c r="FY1" s="179"/>
      <c r="FZ1" s="179"/>
      <c r="GA1" s="179"/>
      <c r="GB1" s="179"/>
      <c r="GC1" s="179"/>
      <c r="GD1" s="179"/>
      <c r="GE1" s="179"/>
      <c r="GF1" s="179"/>
      <c r="GG1" s="179"/>
      <c r="GH1" s="179"/>
      <c r="GI1" s="179"/>
      <c r="GJ1" s="179"/>
      <c r="GK1" s="179"/>
      <c r="GL1" s="179"/>
      <c r="GM1" s="179"/>
      <c r="GN1" s="179"/>
      <c r="GO1" s="179"/>
      <c r="GP1" s="179"/>
      <c r="GQ1" s="179"/>
      <c r="GR1" s="179"/>
      <c r="GS1" s="179"/>
      <c r="GT1" s="179"/>
      <c r="GU1" s="179"/>
      <c r="GV1" s="179"/>
      <c r="GW1" s="179"/>
      <c r="GX1" s="179"/>
      <c r="GY1" s="179"/>
      <c r="GZ1" s="179"/>
      <c r="HA1" s="179"/>
      <c r="HB1" s="179"/>
      <c r="HC1" s="179"/>
      <c r="HD1" s="179"/>
      <c r="HE1" s="179"/>
      <c r="HF1" s="179"/>
      <c r="HG1" s="179"/>
      <c r="HH1" s="179"/>
      <c r="HI1" s="179"/>
      <c r="HJ1" s="179"/>
      <c r="HK1" s="179"/>
      <c r="HL1" s="179"/>
      <c r="HM1" s="179"/>
      <c r="HN1" s="179"/>
      <c r="HO1" s="179"/>
      <c r="HP1" s="179"/>
      <c r="HQ1" s="179"/>
      <c r="HR1" s="179"/>
      <c r="HS1" s="179"/>
      <c r="HT1" s="179"/>
      <c r="HU1" s="179"/>
      <c r="HV1" s="179"/>
      <c r="HW1" s="179"/>
      <c r="HX1" s="179"/>
      <c r="HY1" s="179"/>
      <c r="HZ1" s="179"/>
      <c r="IA1" s="179"/>
      <c r="IB1" s="179"/>
      <c r="IC1" s="179"/>
      <c r="ID1" s="179"/>
      <c r="IE1" s="179"/>
      <c r="IF1" s="179"/>
      <c r="IG1" s="179"/>
      <c r="IH1" s="179"/>
      <c r="II1" s="179"/>
      <c r="IJ1" s="179"/>
      <c r="IK1" s="179"/>
      <c r="IL1" s="179"/>
      <c r="IM1" s="179"/>
      <c r="IN1" s="179"/>
      <c r="IO1" s="179"/>
      <c r="IP1" s="179"/>
      <c r="IQ1" s="179"/>
      <c r="IR1" s="179"/>
      <c r="IS1" s="179"/>
      <c r="IT1" s="179"/>
      <c r="IU1" s="179"/>
      <c r="IV1" s="179"/>
      <c r="IW1" s="179"/>
      <c r="IX1" s="179"/>
      <c r="IY1" s="179"/>
      <c r="IZ1" s="179"/>
      <c r="JA1" s="179"/>
      <c r="JB1" s="179"/>
      <c r="JC1" s="179"/>
      <c r="JD1" s="179"/>
      <c r="JE1" s="179"/>
      <c r="JF1" s="179"/>
      <c r="JG1" s="179"/>
      <c r="JH1" s="179"/>
      <c r="JI1" s="179"/>
      <c r="JJ1" s="179"/>
      <c r="JK1" s="179"/>
      <c r="JL1" s="179"/>
      <c r="JM1" s="179"/>
      <c r="JN1" s="179"/>
      <c r="JO1" s="179"/>
      <c r="JP1" s="179"/>
      <c r="JQ1" s="179"/>
      <c r="JR1" s="179"/>
      <c r="JS1" s="179"/>
      <c r="JT1" s="179"/>
      <c r="JU1" s="179"/>
      <c r="JV1" s="179"/>
      <c r="JW1" s="179"/>
      <c r="JX1" s="179"/>
      <c r="JY1" s="179"/>
      <c r="JZ1" s="179"/>
      <c r="KA1" s="179"/>
      <c r="KB1" s="179"/>
      <c r="KC1" s="179"/>
      <c r="KD1" s="179"/>
      <c r="KE1" s="179"/>
      <c r="KF1" s="179"/>
      <c r="KG1" s="179"/>
      <c r="KH1" s="179"/>
      <c r="KI1" s="179"/>
      <c r="KJ1" s="179"/>
      <c r="KK1" s="179"/>
      <c r="KL1" s="179"/>
      <c r="KM1" s="179"/>
      <c r="KN1" s="179"/>
      <c r="KO1" s="179"/>
      <c r="KP1" s="179"/>
      <c r="KQ1" s="179"/>
      <c r="KR1" s="179"/>
      <c r="KS1" s="179"/>
      <c r="KT1" s="179"/>
      <c r="KU1" s="179"/>
      <c r="KV1" s="179"/>
      <c r="KW1" s="179"/>
      <c r="KX1" s="179"/>
      <c r="KY1" s="179"/>
      <c r="KZ1" s="179"/>
      <c r="LA1" s="179"/>
      <c r="LB1" s="179"/>
      <c r="LC1" s="179"/>
      <c r="LD1" s="179"/>
      <c r="LE1" s="179"/>
      <c r="LF1" s="179"/>
      <c r="LG1" s="179"/>
      <c r="LH1" s="179"/>
      <c r="LI1" s="179"/>
      <c r="LJ1" s="179"/>
      <c r="LK1" s="179"/>
      <c r="LL1" s="179"/>
      <c r="LM1" s="179"/>
      <c r="LN1" s="179"/>
      <c r="LO1" s="179"/>
      <c r="LP1" s="179"/>
      <c r="LQ1" s="179"/>
      <c r="LR1" s="179"/>
      <c r="LS1" s="179"/>
      <c r="LT1" s="179"/>
      <c r="LU1" s="179"/>
      <c r="LV1" s="179"/>
      <c r="LW1" s="179"/>
      <c r="LX1" s="179"/>
      <c r="LY1" s="179"/>
      <c r="LZ1" s="179"/>
      <c r="MA1" s="179"/>
      <c r="MB1" s="179"/>
      <c r="MC1" s="179"/>
      <c r="MD1" s="179"/>
      <c r="ME1" s="179"/>
      <c r="MF1" s="179"/>
      <c r="MG1" s="179"/>
      <c r="MH1" s="179"/>
      <c r="MI1" s="179"/>
      <c r="MJ1" s="179"/>
      <c r="MK1" s="179"/>
      <c r="ML1" s="179"/>
      <c r="MM1" s="179"/>
      <c r="MN1" s="179"/>
      <c r="MO1" s="179"/>
      <c r="MP1" s="179"/>
      <c r="MQ1" s="179"/>
      <c r="MR1" s="179"/>
      <c r="MS1" s="179"/>
      <c r="MT1" s="179"/>
      <c r="MU1" s="179"/>
      <c r="MV1" s="179"/>
      <c r="MW1" s="179"/>
      <c r="MX1" s="179"/>
      <c r="MY1" s="179"/>
      <c r="MZ1" s="179"/>
      <c r="NA1" s="179"/>
      <c r="NB1" s="179"/>
      <c r="NC1" s="179"/>
      <c r="ND1" s="179"/>
      <c r="NE1" s="179"/>
      <c r="NF1" s="179"/>
      <c r="NG1" s="179"/>
      <c r="NH1" s="179"/>
      <c r="NI1" s="179"/>
      <c r="NJ1" s="179"/>
      <c r="NK1" s="179"/>
      <c r="NL1" s="179"/>
      <c r="NM1" s="179"/>
      <c r="NN1" s="179"/>
      <c r="NO1" s="179"/>
      <c r="NP1" s="179"/>
      <c r="NQ1" s="179"/>
      <c r="NR1" s="179"/>
      <c r="NS1" s="179"/>
      <c r="NT1" s="179"/>
      <c r="NU1" s="179"/>
      <c r="NV1" s="179"/>
      <c r="NW1" s="179"/>
      <c r="NX1" s="179"/>
      <c r="NY1" s="179"/>
      <c r="NZ1" s="179"/>
      <c r="OA1" s="179"/>
      <c r="OB1" s="179"/>
      <c r="OC1" s="179"/>
      <c r="OD1" s="179"/>
      <c r="OE1" s="179"/>
      <c r="OF1" s="179"/>
      <c r="OG1" s="179"/>
      <c r="OH1" s="179"/>
      <c r="OI1" s="179"/>
      <c r="OJ1" s="179"/>
      <c r="OK1" s="179"/>
      <c r="OL1" s="179"/>
      <c r="OM1" s="179"/>
      <c r="ON1" s="179"/>
      <c r="OO1" s="179"/>
      <c r="OP1" s="179"/>
      <c r="OQ1" s="179"/>
      <c r="OR1" s="179"/>
      <c r="OS1" s="179"/>
      <c r="OT1" s="179"/>
      <c r="OU1" s="179"/>
      <c r="OV1" s="179"/>
      <c r="OW1" s="179"/>
      <c r="OX1" s="179"/>
      <c r="OY1" s="179"/>
      <c r="OZ1" s="179"/>
      <c r="PA1" s="179"/>
      <c r="PB1" s="179"/>
      <c r="PC1" s="179"/>
      <c r="PD1" s="179"/>
      <c r="PE1" s="179"/>
      <c r="PF1" s="179"/>
      <c r="PG1" s="179"/>
      <c r="PH1" s="179"/>
      <c r="PI1" s="179"/>
      <c r="PJ1" s="179"/>
      <c r="PK1" s="179"/>
      <c r="PL1" s="179"/>
      <c r="PM1" s="179"/>
      <c r="PN1" s="179"/>
      <c r="PO1" s="179"/>
      <c r="PP1" s="179"/>
      <c r="PQ1" s="179"/>
      <c r="PR1" s="179"/>
      <c r="PS1" s="179"/>
      <c r="PT1" s="179"/>
      <c r="PU1" s="179"/>
      <c r="PV1" s="179"/>
      <c r="PW1" s="179"/>
      <c r="PX1" s="179"/>
      <c r="PY1" s="179"/>
      <c r="PZ1" s="179"/>
      <c r="QA1" s="179"/>
      <c r="QB1" s="179"/>
      <c r="QC1" s="179"/>
      <c r="QD1" s="179"/>
      <c r="QE1" s="179"/>
      <c r="QF1" s="179"/>
      <c r="QG1" s="179"/>
      <c r="QH1" s="179"/>
      <c r="QI1" s="179"/>
      <c r="QJ1" s="179"/>
      <c r="QK1" s="179"/>
      <c r="QL1" s="179"/>
      <c r="QM1" s="179"/>
      <c r="QN1" s="179"/>
      <c r="QO1" s="179"/>
      <c r="QP1" s="179"/>
      <c r="QQ1" s="179"/>
      <c r="QR1" s="179"/>
      <c r="QS1" s="179"/>
      <c r="QT1" s="179"/>
      <c r="QU1" s="179"/>
      <c r="QV1" s="179"/>
      <c r="QW1" s="179"/>
      <c r="QX1" s="179"/>
      <c r="QY1" s="179"/>
      <c r="QZ1" s="179"/>
      <c r="RA1" s="179"/>
      <c r="RB1" s="179"/>
      <c r="RC1" s="179"/>
      <c r="RD1" s="179"/>
      <c r="RE1" s="179"/>
      <c r="RF1" s="179"/>
      <c r="RG1" s="179"/>
      <c r="RH1" s="179"/>
      <c r="RI1" s="179"/>
      <c r="RJ1" s="179"/>
      <c r="RK1" s="179"/>
      <c r="RL1" s="179"/>
      <c r="RM1" s="179"/>
      <c r="RN1" s="179"/>
      <c r="RO1" s="179"/>
      <c r="RP1" s="179"/>
      <c r="RQ1" s="179"/>
      <c r="RR1" s="179"/>
      <c r="RS1" s="179"/>
      <c r="RT1" s="179"/>
      <c r="RU1" s="179"/>
      <c r="RV1" s="179"/>
      <c r="RW1" s="179"/>
      <c r="RX1" s="179"/>
      <c r="RY1" s="179"/>
      <c r="RZ1" s="179"/>
      <c r="SA1" s="179"/>
      <c r="SB1" s="179"/>
      <c r="SC1" s="179"/>
      <c r="SD1" s="179"/>
      <c r="SE1" s="179"/>
      <c r="SF1" s="179"/>
      <c r="SG1" s="179"/>
      <c r="SH1" s="179"/>
      <c r="SI1" s="179"/>
      <c r="SJ1" s="179"/>
      <c r="SK1" s="179"/>
      <c r="SL1" s="179"/>
      <c r="SM1" s="179"/>
      <c r="SN1" s="179"/>
      <c r="SO1" s="179"/>
      <c r="SP1" s="179"/>
      <c r="SQ1" s="179"/>
      <c r="SR1" s="179"/>
      <c r="SS1" s="179"/>
      <c r="ST1" s="179"/>
      <c r="SU1" s="179"/>
      <c r="SV1" s="179"/>
      <c r="SW1" s="179"/>
      <c r="SX1" s="179"/>
      <c r="SY1" s="179"/>
      <c r="SZ1" s="179"/>
      <c r="TA1" s="179"/>
      <c r="TB1" s="179"/>
      <c r="TC1" s="179"/>
      <c r="TD1" s="179"/>
      <c r="TE1" s="179"/>
      <c r="TF1" s="179"/>
      <c r="TG1" s="179"/>
      <c r="TH1" s="179"/>
      <c r="TI1" s="179"/>
      <c r="TJ1" s="179"/>
      <c r="TK1" s="179"/>
      <c r="TL1" s="179"/>
      <c r="TM1" s="179"/>
      <c r="TN1" s="179"/>
      <c r="TO1" s="179"/>
      <c r="TP1" s="179"/>
      <c r="TQ1" s="179"/>
      <c r="TR1" s="179"/>
      <c r="TS1" s="179"/>
      <c r="TT1" s="179"/>
      <c r="TU1" s="179"/>
      <c r="TV1" s="179"/>
      <c r="TW1" s="179"/>
      <c r="TX1" s="179"/>
      <c r="TY1" s="179"/>
      <c r="TZ1" s="179"/>
      <c r="UA1" s="179"/>
      <c r="UB1" s="179"/>
      <c r="UC1" s="179"/>
      <c r="UD1" s="179"/>
      <c r="UE1" s="179"/>
      <c r="UF1" s="179"/>
      <c r="UG1" s="179"/>
      <c r="UH1" s="179"/>
      <c r="UI1" s="179"/>
      <c r="UJ1" s="179"/>
      <c r="UK1" s="179"/>
      <c r="UL1" s="179"/>
      <c r="UM1" s="179"/>
      <c r="UN1" s="179"/>
      <c r="UO1" s="179"/>
      <c r="UP1" s="179"/>
      <c r="UQ1" s="179"/>
      <c r="UR1" s="179"/>
      <c r="US1" s="179"/>
      <c r="UT1" s="179"/>
      <c r="UU1" s="179"/>
      <c r="UV1" s="179"/>
      <c r="UW1" s="179"/>
      <c r="UX1" s="179"/>
      <c r="UY1" s="179"/>
      <c r="UZ1" s="179"/>
      <c r="VA1" s="179"/>
      <c r="VB1" s="179"/>
      <c r="VC1" s="179"/>
      <c r="VD1" s="179"/>
      <c r="VE1" s="179"/>
      <c r="VF1" s="179"/>
      <c r="VG1" s="179"/>
      <c r="VH1" s="179"/>
      <c r="VI1" s="179"/>
      <c r="VJ1" s="179"/>
      <c r="VK1" s="179"/>
      <c r="VL1" s="179"/>
      <c r="VM1" s="179"/>
      <c r="VN1" s="179"/>
      <c r="VO1" s="179"/>
      <c r="VP1" s="179"/>
      <c r="VQ1" s="179"/>
      <c r="VR1" s="179"/>
      <c r="VS1" s="179"/>
      <c r="VT1" s="179"/>
      <c r="VU1" s="179"/>
      <c r="VV1" s="179"/>
      <c r="VW1" s="179"/>
      <c r="VX1" s="179"/>
      <c r="VY1" s="179"/>
      <c r="VZ1" s="179"/>
      <c r="WA1" s="179"/>
      <c r="WB1" s="179"/>
      <c r="WC1" s="179"/>
      <c r="WD1" s="179"/>
      <c r="WE1" s="179"/>
      <c r="WF1" s="179"/>
      <c r="WG1" s="179"/>
      <c r="WH1" s="179"/>
      <c r="WI1" s="179"/>
      <c r="WJ1" s="179"/>
      <c r="WK1" s="179"/>
      <c r="WL1" s="179"/>
      <c r="WM1" s="179"/>
      <c r="WN1" s="179"/>
      <c r="WO1" s="179"/>
      <c r="WP1" s="179"/>
      <c r="WQ1" s="179"/>
      <c r="WR1" s="179"/>
      <c r="WS1" s="179"/>
      <c r="WT1" s="179"/>
      <c r="WU1" s="179"/>
      <c r="WV1" s="179"/>
      <c r="WW1" s="179"/>
      <c r="WX1" s="179"/>
      <c r="WY1" s="179"/>
      <c r="WZ1" s="179"/>
      <c r="XA1" s="179"/>
      <c r="XB1" s="179"/>
      <c r="XC1" s="179"/>
      <c r="XD1" s="179"/>
      <c r="XE1" s="179"/>
      <c r="XF1" s="179"/>
      <c r="XG1" s="179"/>
      <c r="XH1" s="179"/>
      <c r="XI1" s="179"/>
      <c r="XJ1" s="179"/>
      <c r="XK1" s="179"/>
      <c r="XL1" s="179"/>
      <c r="XM1" s="179"/>
      <c r="XN1" s="179"/>
      <c r="XO1" s="179"/>
      <c r="XP1" s="179"/>
      <c r="XQ1" s="179"/>
      <c r="XR1" s="179"/>
      <c r="XS1" s="179"/>
      <c r="XT1" s="179"/>
      <c r="XU1" s="179"/>
      <c r="XV1" s="179"/>
      <c r="XW1" s="179"/>
      <c r="XX1" s="179"/>
      <c r="XY1" s="179"/>
      <c r="XZ1" s="179"/>
      <c r="YA1" s="179"/>
      <c r="YB1" s="179"/>
      <c r="YC1" s="179"/>
      <c r="YD1" s="179"/>
      <c r="YE1" s="179"/>
      <c r="YF1" s="179"/>
      <c r="YG1" s="179"/>
      <c r="YH1" s="179"/>
      <c r="YI1" s="179"/>
      <c r="YJ1" s="179"/>
      <c r="YK1" s="179"/>
      <c r="YL1" s="179"/>
      <c r="YM1" s="179"/>
      <c r="YN1" s="179"/>
      <c r="YO1" s="179"/>
      <c r="YP1" s="179"/>
      <c r="YQ1" s="179"/>
      <c r="YR1" s="179"/>
      <c r="YS1" s="179"/>
      <c r="YT1" s="179"/>
      <c r="YU1" s="179"/>
      <c r="YV1" s="179"/>
      <c r="YW1" s="179"/>
      <c r="YX1" s="179"/>
      <c r="YY1" s="179"/>
      <c r="YZ1" s="179"/>
      <c r="ZA1" s="179"/>
      <c r="ZB1" s="179"/>
      <c r="ZC1" s="179"/>
      <c r="ZD1" s="179"/>
      <c r="ZE1" s="179"/>
      <c r="ZF1" s="179"/>
      <c r="ZG1" s="179"/>
      <c r="ZH1" s="179"/>
      <c r="ZI1" s="179"/>
      <c r="ZJ1" s="179"/>
      <c r="ZK1" s="179"/>
      <c r="ZL1" s="179"/>
      <c r="ZM1" s="179"/>
      <c r="ZN1" s="179"/>
      <c r="ZO1" s="179"/>
      <c r="ZP1" s="179"/>
      <c r="ZQ1" s="179"/>
      <c r="ZR1" s="179"/>
      <c r="ZS1" s="179"/>
      <c r="ZT1" s="179"/>
      <c r="ZU1" s="179"/>
      <c r="ZV1" s="179"/>
      <c r="ZW1" s="179"/>
      <c r="ZX1" s="179"/>
      <c r="ZY1" s="179"/>
      <c r="ZZ1" s="179"/>
      <c r="AAA1" s="179"/>
      <c r="AAB1" s="179"/>
      <c r="AAC1" s="179"/>
      <c r="AAD1" s="179"/>
      <c r="AAE1" s="179"/>
      <c r="AAF1" s="179"/>
      <c r="AAG1" s="179"/>
      <c r="AAH1" s="179"/>
      <c r="AAI1" s="179"/>
      <c r="AAJ1" s="179"/>
      <c r="AAK1" s="179"/>
      <c r="AAL1" s="179"/>
      <c r="AAM1" s="179"/>
      <c r="AAN1" s="179"/>
      <c r="AAO1" s="179"/>
      <c r="AAP1" s="179"/>
      <c r="AAQ1" s="179"/>
      <c r="AAR1" s="179"/>
      <c r="AAS1" s="179"/>
      <c r="AAT1" s="179"/>
      <c r="AAU1" s="179"/>
      <c r="AAV1" s="179"/>
      <c r="AAW1" s="179"/>
      <c r="AAX1" s="179"/>
      <c r="AAY1" s="179"/>
      <c r="AAZ1" s="179"/>
      <c r="ABA1" s="179"/>
      <c r="ABB1" s="179"/>
      <c r="ABC1" s="179"/>
      <c r="ABD1" s="179"/>
      <c r="ABE1" s="179"/>
      <c r="ABF1" s="179"/>
      <c r="ABG1" s="179"/>
      <c r="ABH1" s="179"/>
      <c r="ABI1" s="179"/>
      <c r="ABJ1" s="179"/>
      <c r="ABK1" s="179"/>
      <c r="ABL1" s="179"/>
      <c r="ABM1" s="179"/>
      <c r="ABN1" s="179"/>
      <c r="ABO1" s="179"/>
      <c r="ABP1" s="179"/>
      <c r="ABQ1" s="179"/>
      <c r="ABR1" s="179"/>
      <c r="ABS1" s="179"/>
      <c r="ABT1" s="179"/>
      <c r="ABU1" s="179"/>
      <c r="ABV1" s="179"/>
      <c r="ABW1" s="179"/>
      <c r="ABX1" s="179"/>
      <c r="ABY1" s="179"/>
      <c r="ABZ1" s="179"/>
      <c r="ACA1" s="179"/>
      <c r="ACB1" s="179"/>
      <c r="ACC1" s="179"/>
      <c r="ACD1" s="179"/>
      <c r="ACE1" s="179"/>
      <c r="ACF1" s="179"/>
      <c r="ACG1" s="179"/>
      <c r="ACH1" s="179"/>
      <c r="ACI1" s="179"/>
      <c r="ACJ1" s="179"/>
      <c r="ACK1" s="179"/>
      <c r="ACL1" s="179"/>
      <c r="ACM1" s="179"/>
      <c r="ACN1" s="179"/>
      <c r="ACO1" s="179"/>
      <c r="ACP1" s="179"/>
      <c r="ACQ1" s="179"/>
      <c r="ACR1" s="179"/>
      <c r="ACS1" s="179"/>
      <c r="ACT1" s="179"/>
      <c r="ACU1" s="179"/>
      <c r="ACV1" s="179"/>
      <c r="ACW1" s="179"/>
      <c r="ACX1" s="179"/>
      <c r="ACY1" s="179"/>
      <c r="ACZ1" s="179"/>
      <c r="ADA1" s="179"/>
      <c r="ADB1" s="179"/>
      <c r="ADC1" s="179"/>
      <c r="ADD1" s="179"/>
      <c r="ADE1" s="179"/>
      <c r="ADF1" s="179"/>
      <c r="ADG1" s="179"/>
      <c r="ADH1" s="179"/>
      <c r="ADI1" s="179"/>
      <c r="ADJ1" s="179"/>
      <c r="ADK1" s="179"/>
      <c r="ADL1" s="179"/>
      <c r="ADM1" s="179"/>
      <c r="ADN1" s="179"/>
      <c r="ADO1" s="179"/>
      <c r="ADP1" s="179"/>
      <c r="ADQ1" s="179"/>
      <c r="ADR1" s="179"/>
      <c r="ADS1" s="179"/>
      <c r="ADT1" s="179"/>
      <c r="ADU1" s="179"/>
      <c r="ADV1" s="179"/>
      <c r="ADW1" s="179"/>
      <c r="ADX1" s="179"/>
      <c r="ADY1" s="179"/>
      <c r="ADZ1" s="179"/>
      <c r="AEA1" s="179"/>
      <c r="AEB1" s="179"/>
      <c r="AEC1" s="179"/>
      <c r="AED1" s="179"/>
      <c r="AEE1" s="179"/>
      <c r="AEF1" s="179"/>
      <c r="AEG1" s="179"/>
      <c r="AEH1" s="179"/>
      <c r="AEI1" s="179"/>
      <c r="AEJ1" s="179"/>
      <c r="AEK1" s="179"/>
      <c r="AEL1" s="179"/>
      <c r="AEM1" s="179"/>
      <c r="AEN1" s="179"/>
      <c r="AEO1" s="179"/>
      <c r="AEP1" s="179"/>
      <c r="AEQ1" s="179"/>
      <c r="AER1" s="179"/>
      <c r="AES1" s="179"/>
      <c r="AET1" s="179"/>
      <c r="AEU1" s="179"/>
      <c r="AEV1" s="179"/>
      <c r="AEW1" s="179"/>
      <c r="AEX1" s="179"/>
      <c r="AEY1" s="179"/>
      <c r="AEZ1" s="179"/>
      <c r="AFA1" s="179"/>
      <c r="AFB1" s="179"/>
      <c r="AFC1" s="179"/>
      <c r="AFD1" s="179"/>
      <c r="AFE1" s="179"/>
      <c r="AFF1" s="179"/>
      <c r="AFG1" s="179"/>
      <c r="AFH1" s="179"/>
      <c r="AFI1" s="179"/>
      <c r="AFJ1" s="179"/>
      <c r="AFK1" s="179"/>
      <c r="AFL1" s="179"/>
      <c r="AFM1" s="179"/>
      <c r="AFN1" s="179"/>
      <c r="AFO1" s="179"/>
      <c r="AFP1" s="179"/>
      <c r="AFQ1" s="179"/>
      <c r="AFR1" s="179"/>
      <c r="AFS1" s="179"/>
      <c r="AFT1" s="179"/>
      <c r="AFU1" s="179"/>
      <c r="AFV1" s="179"/>
      <c r="AFW1" s="179"/>
      <c r="AFX1" s="179"/>
      <c r="AFY1" s="179"/>
      <c r="AFZ1" s="179"/>
      <c r="AGA1" s="179"/>
      <c r="AGB1" s="179"/>
      <c r="AGC1" s="179"/>
      <c r="AGD1" s="179"/>
      <c r="AGE1" s="179"/>
      <c r="AGF1" s="179"/>
      <c r="AGG1" s="179"/>
      <c r="AGH1" s="179"/>
      <c r="AGI1" s="179"/>
      <c r="AGJ1" s="179"/>
      <c r="AGK1" s="179"/>
      <c r="AGL1" s="179"/>
      <c r="AGM1" s="179"/>
      <c r="AGN1" s="179"/>
      <c r="AGO1" s="179"/>
      <c r="AGP1" s="179"/>
      <c r="AGQ1" s="179"/>
      <c r="AGR1" s="179"/>
      <c r="AGS1" s="179"/>
      <c r="AGT1" s="179"/>
      <c r="AGU1" s="179"/>
      <c r="AGV1" s="179"/>
      <c r="AGW1" s="179"/>
      <c r="AGX1" s="179"/>
      <c r="AGY1" s="179"/>
      <c r="AGZ1" s="179"/>
      <c r="AHA1" s="179"/>
      <c r="AHB1" s="179"/>
      <c r="AHC1" s="179"/>
      <c r="AHD1" s="179"/>
      <c r="AHE1" s="179"/>
      <c r="AHF1" s="179"/>
      <c r="AHG1" s="179"/>
      <c r="AHH1" s="179"/>
      <c r="AHI1" s="179"/>
      <c r="AHJ1" s="179"/>
      <c r="AHK1" s="179"/>
      <c r="AHL1" s="179"/>
      <c r="AHM1" s="179"/>
      <c r="AHN1" s="179"/>
      <c r="AHO1" s="179"/>
      <c r="AHP1" s="179"/>
      <c r="AHQ1" s="179"/>
      <c r="AHR1" s="179"/>
      <c r="AHS1" s="179"/>
      <c r="AHT1" s="179"/>
      <c r="AHU1" s="179"/>
      <c r="AHV1" s="179"/>
      <c r="AHW1" s="179"/>
      <c r="AHX1" s="179"/>
      <c r="AHY1" s="179"/>
      <c r="AHZ1" s="179"/>
      <c r="AIA1" s="179"/>
      <c r="AIB1" s="179"/>
      <c r="AIC1" s="179"/>
      <c r="AID1" s="179"/>
      <c r="AIE1" s="179"/>
      <c r="AIF1" s="179"/>
      <c r="AIG1" s="179"/>
      <c r="AIH1" s="179"/>
      <c r="AII1" s="179"/>
      <c r="AIJ1" s="179"/>
      <c r="AIK1" s="179"/>
      <c r="AIL1" s="179"/>
      <c r="AIM1" s="179"/>
      <c r="AIN1" s="179"/>
      <c r="AIO1" s="179"/>
      <c r="AIP1" s="179"/>
      <c r="AIQ1" s="179"/>
      <c r="AIR1" s="179"/>
      <c r="AIS1" s="179"/>
      <c r="AIT1" s="179"/>
      <c r="AIU1" s="179"/>
      <c r="AIV1" s="179"/>
      <c r="AIW1" s="179"/>
      <c r="AIX1" s="179"/>
      <c r="AIY1" s="179"/>
      <c r="AIZ1" s="179"/>
      <c r="AJA1" s="179"/>
      <c r="AJB1" s="179"/>
      <c r="AJC1" s="179"/>
      <c r="AJD1" s="179"/>
      <c r="AJE1" s="179"/>
      <c r="AJF1" s="179"/>
      <c r="AJG1" s="179"/>
      <c r="AJH1" s="179"/>
      <c r="AJI1" s="179"/>
      <c r="AJJ1" s="179"/>
      <c r="AJK1" s="179"/>
      <c r="AJL1" s="179"/>
      <c r="AJM1" s="179"/>
      <c r="AJN1" s="179"/>
      <c r="AJO1" s="179"/>
      <c r="AJP1" s="179"/>
      <c r="AJQ1" s="179"/>
      <c r="AJR1" s="179"/>
      <c r="AJS1" s="179"/>
      <c r="AJT1" s="179"/>
      <c r="AJU1" s="179"/>
      <c r="AJV1" s="179"/>
      <c r="AJW1" s="179"/>
      <c r="AJX1" s="179"/>
      <c r="AJY1" s="179"/>
      <c r="AJZ1" s="179"/>
      <c r="AKA1" s="179"/>
      <c r="AKB1" s="179"/>
      <c r="AKC1" s="179"/>
      <c r="AKD1" s="179"/>
      <c r="AKE1" s="179"/>
      <c r="AKF1" s="179"/>
      <c r="AKG1" s="179"/>
      <c r="AKH1" s="179"/>
      <c r="AKI1" s="179"/>
      <c r="AKJ1" s="179"/>
      <c r="AKK1" s="179"/>
      <c r="AKL1" s="179"/>
      <c r="AKM1" s="179"/>
      <c r="AKN1" s="179"/>
      <c r="AKO1" s="179"/>
      <c r="AKP1" s="179"/>
      <c r="AKQ1" s="179"/>
      <c r="AKR1" s="179"/>
      <c r="AKS1" s="179"/>
      <c r="AKT1" s="179"/>
      <c r="AKU1" s="179"/>
      <c r="AKV1" s="179"/>
      <c r="AKW1" s="179"/>
      <c r="AKX1" s="179"/>
      <c r="AKY1" s="179"/>
      <c r="AKZ1" s="179"/>
      <c r="ALA1" s="179"/>
      <c r="ALB1" s="179"/>
      <c r="ALC1" s="179"/>
      <c r="ALD1" s="179"/>
      <c r="ALE1" s="179"/>
      <c r="ALF1" s="179"/>
      <c r="ALG1" s="179"/>
      <c r="ALH1" s="179"/>
      <c r="ALI1" s="179"/>
      <c r="ALJ1" s="179"/>
      <c r="ALK1" s="179"/>
      <c r="ALL1" s="179"/>
      <c r="ALM1" s="179"/>
      <c r="ALN1" s="179"/>
      <c r="ALO1" s="179"/>
      <c r="ALP1" s="179"/>
      <c r="ALQ1" s="179"/>
      <c r="ALR1" s="179"/>
      <c r="ALS1" s="179"/>
      <c r="ALT1" s="179"/>
      <c r="ALU1" s="179"/>
      <c r="ALV1" s="179"/>
      <c r="ALW1" s="179"/>
      <c r="ALX1" s="179"/>
      <c r="ALY1" s="179"/>
      <c r="ALZ1" s="179"/>
      <c r="AMA1" s="179"/>
      <c r="AMB1" s="179"/>
      <c r="AMC1" s="179"/>
      <c r="AMD1" s="179"/>
      <c r="AME1" s="179"/>
      <c r="AMF1" s="179"/>
      <c r="AMG1" s="179"/>
      <c r="AMH1" s="179"/>
      <c r="AMI1" s="179"/>
      <c r="AMJ1" s="179"/>
      <c r="AMK1" s="179"/>
      <c r="AML1" s="179"/>
      <c r="AMM1" s="179"/>
      <c r="AMN1" s="179"/>
      <c r="AMO1" s="179"/>
      <c r="AMP1" s="179"/>
      <c r="AMQ1" s="179"/>
      <c r="AMR1" s="179"/>
      <c r="AMS1" s="179"/>
      <c r="AMT1" s="179"/>
      <c r="AMU1" s="179"/>
      <c r="AMV1" s="179"/>
      <c r="AMW1" s="179"/>
      <c r="AMX1" s="179"/>
      <c r="AMY1" s="179"/>
      <c r="AMZ1" s="179"/>
      <c r="ANA1" s="179"/>
      <c r="ANB1" s="179"/>
      <c r="ANC1" s="179"/>
      <c r="AND1" s="179"/>
      <c r="ANE1" s="179"/>
      <c r="ANF1" s="179"/>
      <c r="ANG1" s="179"/>
      <c r="ANH1" s="179"/>
      <c r="ANI1" s="179"/>
      <c r="ANJ1" s="179"/>
      <c r="ANK1" s="179"/>
      <c r="ANL1" s="179"/>
      <c r="ANM1" s="179"/>
      <c r="ANN1" s="179"/>
      <c r="ANO1" s="179"/>
      <c r="ANP1" s="179"/>
      <c r="ANQ1" s="179"/>
      <c r="ANR1" s="179"/>
      <c r="ANS1" s="179"/>
      <c r="ANT1" s="179"/>
      <c r="ANU1" s="179"/>
      <c r="ANV1" s="179"/>
      <c r="ANW1" s="179"/>
      <c r="ANX1" s="179"/>
      <c r="ANY1" s="179"/>
      <c r="ANZ1" s="179"/>
      <c r="AOA1" s="179"/>
      <c r="AOB1" s="179"/>
      <c r="AOC1" s="179"/>
      <c r="AOD1" s="179"/>
      <c r="AOE1" s="179"/>
      <c r="AOF1" s="179"/>
      <c r="AOG1" s="179"/>
      <c r="AOH1" s="179"/>
      <c r="AOI1" s="179"/>
      <c r="AOJ1" s="179"/>
      <c r="AOK1" s="179"/>
      <c r="AOL1" s="179"/>
      <c r="AOM1" s="179"/>
      <c r="AON1" s="179"/>
      <c r="AOO1" s="179"/>
      <c r="AOP1" s="179"/>
      <c r="AOQ1" s="179"/>
      <c r="AOR1" s="179"/>
      <c r="AOS1" s="179"/>
      <c r="AOT1" s="179"/>
      <c r="AOU1" s="179"/>
      <c r="AOV1" s="179"/>
      <c r="AOW1" s="179"/>
      <c r="AOX1" s="179"/>
      <c r="AOY1" s="179"/>
      <c r="AOZ1" s="179"/>
      <c r="APA1" s="179"/>
      <c r="APB1" s="179"/>
      <c r="APC1" s="179"/>
      <c r="APD1" s="179"/>
      <c r="APE1" s="179"/>
      <c r="APF1" s="179"/>
      <c r="APG1" s="179"/>
      <c r="APH1" s="179"/>
      <c r="API1" s="179"/>
      <c r="APJ1" s="179"/>
      <c r="APK1" s="179"/>
      <c r="APL1" s="179"/>
      <c r="APM1" s="179"/>
      <c r="APN1" s="179"/>
      <c r="APO1" s="179"/>
      <c r="APP1" s="179"/>
      <c r="APQ1" s="179"/>
      <c r="APR1" s="179"/>
      <c r="APS1" s="179"/>
      <c r="APT1" s="179"/>
      <c r="APU1" s="179"/>
      <c r="APV1" s="179"/>
      <c r="APW1" s="179"/>
      <c r="APX1" s="179"/>
      <c r="APY1" s="179"/>
      <c r="APZ1" s="179"/>
      <c r="AQA1" s="179"/>
      <c r="AQB1" s="179"/>
      <c r="AQC1" s="179"/>
      <c r="AQD1" s="179"/>
      <c r="AQE1" s="179"/>
      <c r="AQF1" s="179"/>
      <c r="AQG1" s="179"/>
      <c r="AQH1" s="179"/>
      <c r="AQI1" s="179"/>
      <c r="AQJ1" s="179"/>
      <c r="AQK1" s="179"/>
      <c r="AQL1" s="179"/>
      <c r="AQM1" s="179"/>
      <c r="AQN1" s="179"/>
      <c r="AQO1" s="179"/>
      <c r="AQP1" s="179"/>
      <c r="AQQ1" s="179"/>
      <c r="AQR1" s="179"/>
      <c r="AQS1" s="179"/>
      <c r="AQT1" s="179"/>
      <c r="AQU1" s="179"/>
      <c r="AQV1" s="179"/>
      <c r="AQW1" s="179"/>
      <c r="AQX1" s="179"/>
      <c r="AQY1" s="179"/>
      <c r="AQZ1" s="179"/>
      <c r="ARA1" s="179"/>
      <c r="ARB1" s="179"/>
      <c r="ARC1" s="179"/>
      <c r="ARD1" s="179"/>
      <c r="ARE1" s="179"/>
      <c r="ARF1" s="179"/>
      <c r="ARG1" s="179"/>
      <c r="ARH1" s="179"/>
      <c r="ARI1" s="179"/>
      <c r="ARJ1" s="179"/>
      <c r="ARK1" s="179"/>
      <c r="ARL1" s="179"/>
      <c r="ARM1" s="179"/>
      <c r="ARN1" s="179"/>
      <c r="ARO1" s="179"/>
      <c r="ARP1" s="179"/>
      <c r="ARQ1" s="179"/>
      <c r="ARR1" s="179"/>
      <c r="ARS1" s="179"/>
      <c r="ART1" s="179"/>
      <c r="ARU1" s="179"/>
      <c r="ARV1" s="179"/>
      <c r="ARW1" s="179"/>
      <c r="ARX1" s="179"/>
      <c r="ARY1" s="179"/>
      <c r="ARZ1" s="179"/>
      <c r="ASA1" s="179"/>
      <c r="ASB1" s="179"/>
      <c r="ASC1" s="179"/>
      <c r="ASD1" s="179"/>
      <c r="ASE1" s="179"/>
      <c r="ASF1" s="179"/>
      <c r="ASG1" s="179"/>
      <c r="ASH1" s="179"/>
      <c r="ASI1" s="179"/>
      <c r="ASJ1" s="179"/>
      <c r="ASK1" s="179"/>
      <c r="ASL1" s="179"/>
      <c r="ASM1" s="179"/>
      <c r="ASN1" s="179"/>
      <c r="ASO1" s="179"/>
      <c r="ASP1" s="179"/>
      <c r="ASQ1" s="179"/>
      <c r="ASR1" s="179"/>
      <c r="ASS1" s="179"/>
      <c r="AST1" s="179"/>
      <c r="ASU1" s="179"/>
      <c r="ASV1" s="179"/>
      <c r="ASW1" s="179"/>
      <c r="ASX1" s="179"/>
      <c r="ASY1" s="179"/>
      <c r="ASZ1" s="179"/>
      <c r="ATA1" s="179"/>
      <c r="ATB1" s="179"/>
      <c r="ATC1" s="179"/>
      <c r="ATD1" s="179"/>
      <c r="ATE1" s="179"/>
      <c r="ATF1" s="179"/>
      <c r="ATG1" s="179"/>
      <c r="ATH1" s="179"/>
      <c r="ATI1" s="179"/>
      <c r="ATJ1" s="179"/>
      <c r="ATK1" s="179"/>
      <c r="ATL1" s="179"/>
      <c r="ATM1" s="179"/>
      <c r="ATN1" s="179"/>
      <c r="ATO1" s="179"/>
      <c r="ATP1" s="179"/>
      <c r="ATQ1" s="179"/>
      <c r="ATR1" s="179"/>
      <c r="ATS1" s="179"/>
      <c r="ATT1" s="179"/>
      <c r="ATU1" s="179"/>
      <c r="ATV1" s="179"/>
      <c r="ATW1" s="179"/>
      <c r="ATX1" s="179"/>
      <c r="ATY1" s="179"/>
      <c r="ATZ1" s="179"/>
      <c r="AUA1" s="179"/>
      <c r="AUB1" s="179"/>
      <c r="AUC1" s="179"/>
      <c r="AUD1" s="179"/>
      <c r="AUE1" s="179"/>
      <c r="AUF1" s="179"/>
      <c r="AUG1" s="179"/>
      <c r="AUH1" s="179"/>
      <c r="AUI1" s="179"/>
      <c r="AUJ1" s="179"/>
      <c r="AUK1" s="179"/>
      <c r="AUL1" s="179"/>
      <c r="AUM1" s="179"/>
      <c r="AUN1" s="179"/>
      <c r="AUO1" s="179"/>
      <c r="AUP1" s="179"/>
      <c r="AUQ1" s="179"/>
      <c r="AUR1" s="179"/>
      <c r="AUS1" s="179"/>
      <c r="AUT1" s="179"/>
      <c r="AUU1" s="179"/>
      <c r="AUV1" s="179"/>
      <c r="AUW1" s="179"/>
      <c r="AUX1" s="179"/>
      <c r="AUY1" s="179"/>
      <c r="AUZ1" s="179"/>
      <c r="AVA1" s="179"/>
      <c r="AVB1" s="179"/>
      <c r="AVC1" s="179"/>
      <c r="AVD1" s="179"/>
      <c r="AVE1" s="179"/>
      <c r="AVF1" s="179"/>
      <c r="AVG1" s="179"/>
      <c r="AVH1" s="179"/>
      <c r="AVI1" s="179"/>
      <c r="AVJ1" s="179"/>
      <c r="AVK1" s="179"/>
      <c r="AVL1" s="179"/>
      <c r="AVM1" s="179"/>
      <c r="AVN1" s="179"/>
      <c r="AVO1" s="179"/>
      <c r="AVP1" s="179"/>
      <c r="AVQ1" s="179"/>
      <c r="AVR1" s="179"/>
      <c r="AVS1" s="179"/>
      <c r="AVT1" s="179"/>
      <c r="AVU1" s="179"/>
      <c r="AVV1" s="179"/>
      <c r="AVW1" s="179"/>
      <c r="AVX1" s="179"/>
      <c r="AVY1" s="179"/>
      <c r="AVZ1" s="179"/>
      <c r="AWA1" s="179"/>
      <c r="AWB1" s="179"/>
      <c r="AWC1" s="179"/>
      <c r="AWD1" s="179"/>
      <c r="AWE1" s="179"/>
      <c r="AWF1" s="179"/>
      <c r="AWG1" s="179"/>
      <c r="AWH1" s="179"/>
      <c r="AWI1" s="179"/>
      <c r="AWJ1" s="179"/>
      <c r="AWK1" s="179"/>
      <c r="AWL1" s="179"/>
      <c r="AWM1" s="179"/>
      <c r="AWN1" s="179"/>
      <c r="AWO1" s="179"/>
      <c r="AWP1" s="179"/>
      <c r="AWQ1" s="179"/>
      <c r="AWR1" s="179"/>
      <c r="AWS1" s="179"/>
      <c r="AWT1" s="179"/>
      <c r="AWU1" s="179"/>
      <c r="AWV1" s="179"/>
      <c r="AWW1" s="179"/>
      <c r="AWX1" s="179"/>
      <c r="AWY1" s="179"/>
      <c r="AWZ1" s="179"/>
      <c r="AXA1" s="179"/>
      <c r="AXB1" s="179"/>
      <c r="AXC1" s="179"/>
      <c r="AXD1" s="179"/>
      <c r="AXE1" s="179"/>
      <c r="AXF1" s="179"/>
      <c r="AXG1" s="179"/>
      <c r="AXH1" s="179"/>
      <c r="AXI1" s="179"/>
      <c r="AXJ1" s="179"/>
      <c r="AXK1" s="179"/>
      <c r="AXL1" s="179"/>
      <c r="AXM1" s="179"/>
      <c r="AXN1" s="179"/>
      <c r="AXO1" s="179"/>
      <c r="AXP1" s="179"/>
      <c r="AXQ1" s="179"/>
      <c r="AXR1" s="179"/>
      <c r="AXS1" s="179"/>
      <c r="AXT1" s="179"/>
      <c r="AXU1" s="179"/>
      <c r="AXV1" s="179"/>
      <c r="AXW1" s="179"/>
      <c r="AXX1" s="179"/>
      <c r="AXY1" s="179"/>
      <c r="AXZ1" s="179"/>
      <c r="AYA1" s="179"/>
      <c r="AYB1" s="179"/>
      <c r="AYC1" s="179"/>
      <c r="AYD1" s="179"/>
      <c r="AYE1" s="179"/>
      <c r="AYF1" s="179"/>
      <c r="AYG1" s="179"/>
      <c r="AYH1" s="179"/>
      <c r="AYI1" s="179"/>
      <c r="AYJ1" s="179"/>
      <c r="AYK1" s="179"/>
      <c r="AYL1" s="179"/>
      <c r="AYM1" s="179"/>
      <c r="AYN1" s="179"/>
      <c r="AYO1" s="179"/>
      <c r="AYP1" s="179"/>
      <c r="AYQ1" s="179"/>
      <c r="AYR1" s="179"/>
      <c r="AYS1" s="179"/>
      <c r="AYT1" s="179"/>
      <c r="AYU1" s="179"/>
      <c r="AYV1" s="179"/>
      <c r="AYW1" s="179"/>
      <c r="AYX1" s="179"/>
      <c r="AYY1" s="179"/>
      <c r="AYZ1" s="179"/>
      <c r="AZA1" s="179"/>
      <c r="AZB1" s="179"/>
      <c r="AZC1" s="179"/>
      <c r="AZD1" s="179"/>
      <c r="AZE1" s="179"/>
      <c r="AZF1" s="179"/>
      <c r="AZG1" s="179"/>
      <c r="AZH1" s="179"/>
      <c r="AZI1" s="179"/>
      <c r="AZJ1" s="179"/>
      <c r="AZK1" s="179"/>
      <c r="AZL1" s="179"/>
      <c r="AZM1" s="179"/>
      <c r="AZN1" s="179"/>
      <c r="AZO1" s="179"/>
      <c r="AZP1" s="179"/>
      <c r="AZQ1" s="179"/>
      <c r="AZR1" s="179"/>
      <c r="AZS1" s="179"/>
      <c r="AZT1" s="179"/>
      <c r="AZU1" s="179"/>
      <c r="AZV1" s="179"/>
      <c r="AZW1" s="179"/>
      <c r="AZX1" s="179"/>
      <c r="AZY1" s="179"/>
      <c r="AZZ1" s="179"/>
      <c r="BAA1" s="179"/>
      <c r="BAB1" s="179"/>
      <c r="BAC1" s="179"/>
      <c r="BAD1" s="179"/>
      <c r="BAE1" s="179"/>
      <c r="BAF1" s="179"/>
      <c r="BAG1" s="179"/>
      <c r="BAH1" s="179"/>
      <c r="BAI1" s="179"/>
      <c r="BAJ1" s="179"/>
      <c r="BAK1" s="179"/>
      <c r="BAL1" s="179"/>
      <c r="BAM1" s="179"/>
      <c r="BAN1" s="179"/>
      <c r="BAO1" s="179"/>
      <c r="BAP1" s="179"/>
      <c r="BAQ1" s="179"/>
      <c r="BAR1" s="179"/>
      <c r="BAS1" s="179"/>
      <c r="BAT1" s="179"/>
      <c r="BAU1" s="179"/>
      <c r="BAV1" s="179"/>
      <c r="BAW1" s="179"/>
      <c r="BAX1" s="179"/>
      <c r="BAY1" s="179"/>
      <c r="BAZ1" s="179"/>
      <c r="BBA1" s="179"/>
      <c r="BBB1" s="179"/>
      <c r="BBC1" s="179"/>
      <c r="BBD1" s="179"/>
      <c r="BBE1" s="179"/>
      <c r="BBF1" s="179"/>
      <c r="BBG1" s="179"/>
      <c r="BBH1" s="179"/>
      <c r="BBI1" s="179"/>
      <c r="BBJ1" s="179"/>
      <c r="BBK1" s="179"/>
      <c r="BBL1" s="179"/>
      <c r="BBM1" s="179"/>
      <c r="BBN1" s="179"/>
      <c r="BBO1" s="179"/>
      <c r="BBP1" s="179"/>
      <c r="BBQ1" s="179"/>
      <c r="BBR1" s="179"/>
      <c r="BBS1" s="179"/>
      <c r="BBT1" s="179"/>
      <c r="BBU1" s="179"/>
      <c r="BBV1" s="179"/>
      <c r="BBW1" s="179"/>
      <c r="BBX1" s="179"/>
      <c r="BBY1" s="179"/>
      <c r="BBZ1" s="179"/>
      <c r="BCA1" s="179"/>
      <c r="BCB1" s="179"/>
      <c r="BCC1" s="179"/>
      <c r="BCD1" s="179"/>
      <c r="BCE1" s="179"/>
      <c r="BCF1" s="179"/>
      <c r="BCG1" s="179"/>
      <c r="BCH1" s="179"/>
      <c r="BCI1" s="179"/>
      <c r="BCJ1" s="179"/>
      <c r="BCK1" s="179"/>
      <c r="BCL1" s="179"/>
      <c r="BCM1" s="179"/>
      <c r="BCN1" s="179"/>
      <c r="BCO1" s="179"/>
      <c r="BCP1" s="179"/>
      <c r="BCQ1" s="179"/>
      <c r="BCR1" s="179"/>
      <c r="BCS1" s="179"/>
      <c r="BCT1" s="179"/>
      <c r="BCU1" s="179"/>
      <c r="BCV1" s="179"/>
      <c r="BCW1" s="179"/>
      <c r="BCX1" s="179"/>
      <c r="BCY1" s="179"/>
      <c r="BCZ1" s="179"/>
      <c r="BDA1" s="179"/>
      <c r="BDB1" s="179"/>
      <c r="BDC1" s="179"/>
      <c r="BDD1" s="179"/>
      <c r="BDE1" s="179"/>
      <c r="BDF1" s="179"/>
      <c r="BDG1" s="179"/>
      <c r="BDH1" s="179"/>
      <c r="BDI1" s="179"/>
      <c r="BDJ1" s="179"/>
      <c r="BDK1" s="179"/>
      <c r="BDL1" s="179"/>
      <c r="BDM1" s="179"/>
      <c r="BDN1" s="179"/>
      <c r="BDO1" s="179"/>
      <c r="BDP1" s="179"/>
      <c r="BDQ1" s="179"/>
      <c r="BDR1" s="179"/>
      <c r="BDS1" s="179"/>
      <c r="BDT1" s="179"/>
      <c r="BDU1" s="179"/>
      <c r="BDV1" s="179"/>
      <c r="BDW1" s="179"/>
      <c r="BDX1" s="179"/>
      <c r="BDY1" s="179"/>
      <c r="BDZ1" s="179"/>
      <c r="BEA1" s="179"/>
      <c r="BEB1" s="179"/>
      <c r="BEC1" s="179"/>
      <c r="BED1" s="179"/>
      <c r="BEE1" s="179"/>
      <c r="BEF1" s="179"/>
      <c r="BEG1" s="179"/>
      <c r="BEH1" s="179"/>
      <c r="BEI1" s="179"/>
      <c r="BEJ1" s="179"/>
      <c r="BEK1" s="179"/>
      <c r="BEL1" s="179"/>
      <c r="BEM1" s="179"/>
      <c r="BEN1" s="179"/>
      <c r="BEO1" s="179"/>
      <c r="BEP1" s="179"/>
      <c r="BEQ1" s="179"/>
      <c r="BER1" s="179"/>
      <c r="BES1" s="179"/>
      <c r="BET1" s="179"/>
      <c r="BEU1" s="179"/>
      <c r="BEV1" s="179"/>
      <c r="BEW1" s="179"/>
      <c r="BEX1" s="179"/>
      <c r="BEY1" s="179"/>
      <c r="BEZ1" s="179"/>
      <c r="BFA1" s="179"/>
      <c r="BFB1" s="179"/>
      <c r="BFC1" s="179"/>
      <c r="BFD1" s="179"/>
      <c r="BFE1" s="179"/>
      <c r="BFF1" s="179"/>
      <c r="BFG1" s="179"/>
      <c r="BFH1" s="179"/>
      <c r="BFI1" s="179"/>
      <c r="BFJ1" s="179"/>
      <c r="BFK1" s="179"/>
      <c r="BFL1" s="179"/>
      <c r="BFM1" s="179"/>
      <c r="BFN1" s="179"/>
      <c r="BFO1" s="179"/>
      <c r="BFP1" s="179"/>
      <c r="BFQ1" s="179"/>
      <c r="BFR1" s="179"/>
      <c r="BFS1" s="179"/>
      <c r="BFT1" s="179"/>
      <c r="BFU1" s="179"/>
      <c r="BFV1" s="179"/>
      <c r="BFW1" s="179"/>
      <c r="BFX1" s="179"/>
      <c r="BFY1" s="179"/>
      <c r="BFZ1" s="179"/>
      <c r="BGA1" s="179"/>
      <c r="BGB1" s="179"/>
      <c r="BGC1" s="179"/>
      <c r="BGD1" s="179"/>
      <c r="BGE1" s="179"/>
      <c r="BGF1" s="179"/>
      <c r="BGG1" s="179"/>
      <c r="BGH1" s="179"/>
      <c r="BGI1" s="179"/>
      <c r="BGJ1" s="179"/>
      <c r="BGK1" s="179"/>
      <c r="BGL1" s="179"/>
      <c r="BGM1" s="179"/>
      <c r="BGN1" s="179"/>
      <c r="BGO1" s="179"/>
      <c r="BGP1" s="179"/>
      <c r="BGQ1" s="179"/>
      <c r="BGR1" s="179"/>
      <c r="BGS1" s="179"/>
      <c r="BGT1" s="179"/>
      <c r="BGU1" s="179"/>
      <c r="BGV1" s="179"/>
      <c r="BGW1" s="179"/>
      <c r="BGX1" s="179"/>
      <c r="BGY1" s="179"/>
      <c r="BGZ1" s="179"/>
      <c r="BHA1" s="179"/>
      <c r="BHB1" s="179"/>
      <c r="BHC1" s="179"/>
      <c r="BHD1" s="179"/>
      <c r="BHE1" s="179"/>
      <c r="BHF1" s="179"/>
      <c r="BHG1" s="179"/>
      <c r="BHH1" s="179"/>
      <c r="BHI1" s="179"/>
      <c r="BHJ1" s="179"/>
      <c r="BHK1" s="179"/>
      <c r="BHL1" s="179"/>
      <c r="BHM1" s="179"/>
      <c r="BHN1" s="179"/>
      <c r="BHO1" s="179"/>
      <c r="BHP1" s="179"/>
      <c r="BHQ1" s="179"/>
      <c r="BHR1" s="179"/>
      <c r="BHS1" s="179"/>
      <c r="BHT1" s="179"/>
      <c r="BHU1" s="179"/>
      <c r="BHV1" s="179"/>
      <c r="BHW1" s="179"/>
      <c r="BHX1" s="179"/>
      <c r="BHY1" s="179"/>
      <c r="BHZ1" s="179"/>
      <c r="BIA1" s="179"/>
      <c r="BIB1" s="179"/>
      <c r="BIC1" s="179"/>
      <c r="BID1" s="179"/>
      <c r="BIE1" s="179"/>
      <c r="BIF1" s="179"/>
      <c r="BIG1" s="179"/>
      <c r="BIH1" s="179"/>
      <c r="BII1" s="179"/>
      <c r="BIJ1" s="179"/>
      <c r="BIK1" s="179"/>
      <c r="BIL1" s="179"/>
      <c r="BIM1" s="179"/>
      <c r="BIN1" s="179"/>
      <c r="BIO1" s="179"/>
      <c r="BIP1" s="179"/>
      <c r="BIQ1" s="179"/>
      <c r="BIR1" s="179"/>
      <c r="BIS1" s="179"/>
      <c r="BIT1" s="179"/>
      <c r="BIU1" s="179"/>
      <c r="BIV1" s="179"/>
      <c r="BIW1" s="179"/>
      <c r="BIX1" s="179"/>
      <c r="BIY1" s="179"/>
      <c r="BIZ1" s="179"/>
      <c r="BJA1" s="179"/>
      <c r="BJB1" s="179"/>
      <c r="BJC1" s="179"/>
      <c r="BJD1" s="179"/>
      <c r="BJE1" s="179"/>
      <c r="BJF1" s="179"/>
      <c r="BJG1" s="179"/>
      <c r="BJH1" s="179"/>
      <c r="BJI1" s="179"/>
      <c r="BJJ1" s="179"/>
      <c r="BJK1" s="179"/>
      <c r="BJL1" s="179"/>
      <c r="BJM1" s="179"/>
      <c r="BJN1" s="179"/>
      <c r="BJO1" s="179"/>
      <c r="BJP1" s="179"/>
      <c r="BJQ1" s="179"/>
      <c r="BJR1" s="179"/>
      <c r="BJS1" s="179"/>
      <c r="BJT1" s="179"/>
      <c r="BJU1" s="179"/>
      <c r="BJV1" s="179"/>
      <c r="BJW1" s="179"/>
      <c r="BJX1" s="179"/>
      <c r="BJY1" s="179"/>
      <c r="BJZ1" s="179"/>
      <c r="BKA1" s="179"/>
      <c r="BKB1" s="179"/>
      <c r="BKC1" s="179"/>
      <c r="BKD1" s="179"/>
      <c r="BKE1" s="179"/>
      <c r="BKF1" s="179"/>
      <c r="BKG1" s="179"/>
      <c r="BKH1" s="179"/>
      <c r="BKI1" s="179"/>
      <c r="BKJ1" s="179"/>
      <c r="BKK1" s="179"/>
      <c r="BKL1" s="179"/>
      <c r="BKM1" s="179"/>
      <c r="BKN1" s="179"/>
      <c r="BKO1" s="179"/>
      <c r="BKP1" s="179"/>
      <c r="BKQ1" s="179"/>
      <c r="BKR1" s="179"/>
      <c r="BKS1" s="179"/>
      <c r="BKT1" s="179"/>
      <c r="BKU1" s="179"/>
      <c r="BKV1" s="179"/>
      <c r="BKW1" s="179"/>
      <c r="BKX1" s="179"/>
      <c r="BKY1" s="179"/>
      <c r="BKZ1" s="179"/>
      <c r="BLA1" s="179"/>
      <c r="BLB1" s="179"/>
      <c r="BLC1" s="179"/>
      <c r="BLD1" s="179"/>
      <c r="BLE1" s="179"/>
      <c r="BLF1" s="179"/>
      <c r="BLG1" s="179"/>
      <c r="BLH1" s="179"/>
      <c r="BLI1" s="179"/>
      <c r="BLJ1" s="179"/>
      <c r="BLK1" s="179"/>
      <c r="BLL1" s="179"/>
      <c r="BLM1" s="179"/>
      <c r="BLN1" s="179"/>
      <c r="BLO1" s="179"/>
      <c r="BLP1" s="179"/>
      <c r="BLQ1" s="179"/>
      <c r="BLR1" s="179"/>
      <c r="BLS1" s="179"/>
      <c r="BLT1" s="179"/>
      <c r="BLU1" s="179"/>
      <c r="BLV1" s="179"/>
      <c r="BLW1" s="179"/>
      <c r="BLX1" s="179"/>
      <c r="BLY1" s="179"/>
      <c r="BLZ1" s="179"/>
      <c r="BMA1" s="179"/>
      <c r="BMB1" s="179"/>
      <c r="BMC1" s="179"/>
      <c r="BMD1" s="179"/>
      <c r="BME1" s="179"/>
      <c r="BMF1" s="179"/>
      <c r="BMG1" s="179"/>
      <c r="BMH1" s="179"/>
      <c r="BMI1" s="179"/>
      <c r="BMJ1" s="179"/>
      <c r="BMK1" s="179"/>
      <c r="BML1" s="179"/>
      <c r="BMM1" s="179"/>
      <c r="BMN1" s="179"/>
      <c r="BMO1" s="179"/>
      <c r="BMP1" s="179"/>
      <c r="BMQ1" s="179"/>
      <c r="BMR1" s="179"/>
      <c r="BMS1" s="179"/>
      <c r="BMT1" s="179"/>
      <c r="BMU1" s="179"/>
      <c r="BMV1" s="179"/>
      <c r="BMW1" s="179"/>
      <c r="BMX1" s="179"/>
      <c r="BMY1" s="179"/>
      <c r="BMZ1" s="179"/>
      <c r="BNA1" s="179"/>
      <c r="BNB1" s="179"/>
      <c r="BNC1" s="179"/>
      <c r="BND1" s="179"/>
      <c r="BNE1" s="179"/>
      <c r="BNF1" s="179"/>
      <c r="BNG1" s="179"/>
      <c r="BNH1" s="179"/>
      <c r="BNI1" s="179"/>
      <c r="BNJ1" s="179"/>
      <c r="BNK1" s="179"/>
      <c r="BNL1" s="179"/>
      <c r="BNM1" s="179"/>
      <c r="BNN1" s="179"/>
      <c r="BNO1" s="179"/>
      <c r="BNP1" s="179"/>
      <c r="BNQ1" s="179"/>
      <c r="BNR1" s="179"/>
      <c r="BNS1" s="179"/>
      <c r="BNT1" s="179"/>
      <c r="BNU1" s="179"/>
      <c r="BNV1" s="179"/>
      <c r="BNW1" s="179"/>
      <c r="BNX1" s="179"/>
      <c r="BNY1" s="179"/>
      <c r="BNZ1" s="179"/>
      <c r="BOA1" s="179"/>
      <c r="BOB1" s="179"/>
      <c r="BOC1" s="179"/>
      <c r="BOD1" s="179"/>
      <c r="BOE1" s="179"/>
      <c r="BOF1" s="179"/>
      <c r="BOG1" s="179"/>
      <c r="BOH1" s="179"/>
      <c r="BOI1" s="179"/>
      <c r="BOJ1" s="179"/>
      <c r="BOK1" s="179"/>
      <c r="BOL1" s="179"/>
      <c r="BOM1" s="179"/>
      <c r="BON1" s="179"/>
      <c r="BOO1" s="179"/>
      <c r="BOP1" s="179"/>
      <c r="BOQ1" s="179"/>
      <c r="BOR1" s="179"/>
      <c r="BOS1" s="179"/>
      <c r="BOT1" s="179"/>
      <c r="BOU1" s="179"/>
      <c r="BOV1" s="179"/>
      <c r="BOW1" s="179"/>
      <c r="BOX1" s="179"/>
      <c r="BOY1" s="179"/>
      <c r="BOZ1" s="179"/>
      <c r="BPA1" s="179"/>
      <c r="BPB1" s="179"/>
      <c r="BPC1" s="179"/>
      <c r="BPD1" s="179"/>
      <c r="BPE1" s="179"/>
      <c r="BPF1" s="179"/>
      <c r="BPG1" s="179"/>
      <c r="BPH1" s="179"/>
      <c r="BPI1" s="179"/>
      <c r="BPJ1" s="179"/>
      <c r="BPK1" s="179"/>
      <c r="BPL1" s="179"/>
      <c r="BPM1" s="179"/>
      <c r="BPN1" s="179"/>
      <c r="BPO1" s="179"/>
      <c r="BPP1" s="179"/>
      <c r="BPQ1" s="179"/>
      <c r="BPR1" s="179"/>
      <c r="BPS1" s="179"/>
      <c r="BPT1" s="179"/>
      <c r="BPU1" s="179"/>
      <c r="BPV1" s="179"/>
      <c r="BPW1" s="179"/>
      <c r="BPX1" s="179"/>
      <c r="BPY1" s="179"/>
      <c r="BPZ1" s="179"/>
      <c r="BQA1" s="179"/>
      <c r="BQB1" s="179"/>
      <c r="BQC1" s="179"/>
      <c r="BQD1" s="179"/>
      <c r="BQE1" s="179"/>
      <c r="BQF1" s="179"/>
      <c r="BQG1" s="179"/>
      <c r="BQH1" s="179"/>
      <c r="BQI1" s="179"/>
      <c r="BQJ1" s="179"/>
      <c r="BQK1" s="179"/>
      <c r="BQL1" s="179"/>
      <c r="BQM1" s="179"/>
      <c r="BQN1" s="179"/>
      <c r="BQO1" s="179"/>
      <c r="BQP1" s="179"/>
      <c r="BQQ1" s="179"/>
      <c r="BQR1" s="179"/>
      <c r="BQS1" s="179"/>
      <c r="BQT1" s="179"/>
      <c r="BQU1" s="179"/>
      <c r="BQV1" s="179"/>
      <c r="BQW1" s="179"/>
      <c r="BQX1" s="179"/>
      <c r="BQY1" s="179"/>
      <c r="BQZ1" s="179"/>
      <c r="BRA1" s="179"/>
      <c r="BRB1" s="179"/>
      <c r="BRC1" s="179"/>
      <c r="BRD1" s="179"/>
      <c r="BRE1" s="179"/>
      <c r="BRF1" s="179"/>
      <c r="BRG1" s="179"/>
      <c r="BRH1" s="179"/>
      <c r="BRI1" s="179"/>
      <c r="BRJ1" s="179"/>
      <c r="BRK1" s="179"/>
      <c r="BRL1" s="179"/>
      <c r="BRM1" s="179"/>
      <c r="BRN1" s="179"/>
      <c r="BRO1" s="179"/>
      <c r="BRP1" s="179"/>
      <c r="BRQ1" s="179"/>
      <c r="BRR1" s="179"/>
      <c r="BRS1" s="179"/>
      <c r="BRT1" s="179"/>
      <c r="BRU1" s="179"/>
      <c r="BRV1" s="179"/>
      <c r="BRW1" s="179"/>
      <c r="BRX1" s="179"/>
      <c r="BRY1" s="179"/>
      <c r="BRZ1" s="179"/>
      <c r="BSA1" s="179"/>
      <c r="BSB1" s="179"/>
      <c r="BSC1" s="179"/>
      <c r="BSD1" s="179"/>
      <c r="BSE1" s="179"/>
      <c r="BSF1" s="179"/>
      <c r="BSG1" s="179"/>
      <c r="BSH1" s="179"/>
      <c r="BSI1" s="179"/>
      <c r="BSJ1" s="179"/>
      <c r="BSK1" s="179"/>
      <c r="BSL1" s="179"/>
      <c r="BSM1" s="179"/>
      <c r="BSN1" s="179"/>
      <c r="BSO1" s="179"/>
      <c r="BSP1" s="179"/>
      <c r="BSQ1" s="179"/>
      <c r="BSR1" s="179"/>
      <c r="BSS1" s="179"/>
      <c r="BST1" s="179"/>
      <c r="BSU1" s="179"/>
      <c r="BSV1" s="179"/>
      <c r="BSW1" s="179"/>
      <c r="BSX1" s="179"/>
      <c r="BSY1" s="179"/>
      <c r="BSZ1" s="179"/>
      <c r="BTA1" s="179"/>
      <c r="BTB1" s="179"/>
      <c r="BTC1" s="179"/>
      <c r="BTD1" s="179"/>
      <c r="BTE1" s="179"/>
      <c r="BTF1" s="179"/>
      <c r="BTG1" s="179"/>
      <c r="BTH1" s="179"/>
      <c r="BTI1" s="179"/>
      <c r="BTJ1" s="179"/>
      <c r="BTK1" s="179"/>
      <c r="BTL1" s="179"/>
      <c r="BTM1" s="179"/>
      <c r="BTN1" s="179"/>
      <c r="BTO1" s="179"/>
      <c r="BTP1" s="179"/>
      <c r="BTQ1" s="179"/>
      <c r="BTR1" s="179"/>
      <c r="BTS1" s="179"/>
      <c r="BTT1" s="179"/>
      <c r="BTU1" s="179"/>
      <c r="BTV1" s="179"/>
      <c r="BTW1" s="179"/>
      <c r="BTX1" s="179"/>
      <c r="BTY1" s="179"/>
      <c r="BTZ1" s="179"/>
      <c r="BUA1" s="179"/>
      <c r="BUB1" s="179"/>
      <c r="BUC1" s="179"/>
      <c r="BUD1" s="179"/>
      <c r="BUE1" s="179"/>
      <c r="BUF1" s="179"/>
      <c r="BUG1" s="179"/>
      <c r="BUH1" s="179"/>
      <c r="BUI1" s="179"/>
      <c r="BUJ1" s="179"/>
      <c r="BUK1" s="179"/>
      <c r="BUL1" s="179"/>
      <c r="BUM1" s="179"/>
      <c r="BUN1" s="179"/>
      <c r="BUO1" s="179"/>
      <c r="BUP1" s="179"/>
      <c r="BUQ1" s="179"/>
      <c r="BUR1" s="179"/>
      <c r="BUS1" s="179"/>
      <c r="BUT1" s="179"/>
      <c r="BUU1" s="179"/>
      <c r="BUV1" s="179"/>
      <c r="BUW1" s="179"/>
      <c r="BUX1" s="179"/>
      <c r="BUY1" s="179"/>
      <c r="BUZ1" s="179"/>
      <c r="BVA1" s="179"/>
      <c r="BVB1" s="179"/>
      <c r="BVC1" s="179"/>
      <c r="BVD1" s="179"/>
      <c r="BVE1" s="179"/>
      <c r="BVF1" s="179"/>
      <c r="BVG1" s="179"/>
      <c r="BVH1" s="179"/>
      <c r="BVI1" s="179"/>
      <c r="BVJ1" s="179"/>
      <c r="BVK1" s="179"/>
      <c r="BVL1" s="179"/>
      <c r="BVM1" s="179"/>
      <c r="BVN1" s="179"/>
      <c r="BVO1" s="179"/>
      <c r="BVP1" s="179"/>
      <c r="BVQ1" s="179"/>
      <c r="BVR1" s="179"/>
      <c r="BVS1" s="179"/>
      <c r="BVT1" s="179"/>
      <c r="BVU1" s="179"/>
      <c r="BVV1" s="179"/>
      <c r="BVW1" s="179"/>
      <c r="BVX1" s="179"/>
      <c r="BVY1" s="179"/>
      <c r="BVZ1" s="179"/>
      <c r="BWA1" s="179"/>
      <c r="BWB1" s="179"/>
      <c r="BWC1" s="179"/>
      <c r="BWD1" s="179"/>
      <c r="BWE1" s="179"/>
      <c r="BWF1" s="179"/>
      <c r="BWG1" s="179"/>
      <c r="BWH1" s="179"/>
      <c r="BWI1" s="179"/>
      <c r="BWJ1" s="179"/>
      <c r="BWK1" s="179"/>
      <c r="BWL1" s="179"/>
      <c r="BWM1" s="179"/>
      <c r="BWN1" s="179"/>
      <c r="BWO1" s="179"/>
      <c r="BWP1" s="179"/>
      <c r="BWQ1" s="179"/>
      <c r="BWR1" s="179"/>
      <c r="BWS1" s="179"/>
      <c r="BWT1" s="179"/>
      <c r="BWU1" s="179"/>
      <c r="BWV1" s="179"/>
      <c r="BWW1" s="179"/>
      <c r="BWX1" s="179"/>
      <c r="BWY1" s="179"/>
      <c r="BWZ1" s="179"/>
      <c r="BXA1" s="179"/>
      <c r="BXB1" s="179"/>
      <c r="BXC1" s="179"/>
      <c r="BXD1" s="179"/>
      <c r="BXE1" s="179"/>
      <c r="BXF1" s="179"/>
      <c r="BXG1" s="179"/>
      <c r="BXH1" s="179"/>
      <c r="BXI1" s="179"/>
      <c r="BXJ1" s="179"/>
      <c r="BXK1" s="179"/>
      <c r="BXL1" s="179"/>
      <c r="BXM1" s="179"/>
      <c r="BXN1" s="179"/>
      <c r="BXO1" s="179"/>
      <c r="BXP1" s="179"/>
      <c r="BXQ1" s="179"/>
      <c r="BXR1" s="179"/>
      <c r="BXS1" s="179"/>
      <c r="BXT1" s="179"/>
      <c r="BXU1" s="179"/>
      <c r="BXV1" s="179"/>
      <c r="BXW1" s="179"/>
      <c r="BXX1" s="179"/>
      <c r="BXY1" s="179"/>
      <c r="BXZ1" s="179"/>
      <c r="BYA1" s="179"/>
      <c r="BYB1" s="179"/>
      <c r="BYC1" s="179"/>
      <c r="BYD1" s="179"/>
      <c r="BYE1" s="179"/>
      <c r="BYF1" s="179"/>
      <c r="BYG1" s="179"/>
      <c r="BYH1" s="179"/>
      <c r="BYI1" s="179"/>
      <c r="BYJ1" s="179"/>
      <c r="BYK1" s="179"/>
      <c r="BYL1" s="179"/>
      <c r="BYM1" s="179"/>
      <c r="BYN1" s="179"/>
      <c r="BYO1" s="179"/>
      <c r="BYP1" s="179"/>
      <c r="BYQ1" s="179"/>
      <c r="BYR1" s="179"/>
      <c r="BYS1" s="179"/>
      <c r="BYT1" s="179"/>
      <c r="BYU1" s="179"/>
      <c r="BYV1" s="179"/>
      <c r="BYW1" s="179"/>
      <c r="BYX1" s="179"/>
      <c r="BYY1" s="179"/>
      <c r="BYZ1" s="179"/>
      <c r="BZA1" s="179"/>
      <c r="BZB1" s="179"/>
      <c r="BZC1" s="179"/>
      <c r="BZD1" s="179"/>
      <c r="BZE1" s="179"/>
      <c r="BZF1" s="179"/>
      <c r="BZG1" s="179"/>
      <c r="BZH1" s="179"/>
      <c r="BZI1" s="179"/>
      <c r="BZJ1" s="179"/>
      <c r="BZK1" s="179"/>
      <c r="BZL1" s="179"/>
      <c r="BZM1" s="179"/>
      <c r="BZN1" s="179"/>
      <c r="BZO1" s="179"/>
      <c r="BZP1" s="179"/>
      <c r="BZQ1" s="179"/>
      <c r="BZR1" s="179"/>
      <c r="BZS1" s="179"/>
      <c r="BZT1" s="179"/>
      <c r="BZU1" s="179"/>
      <c r="BZV1" s="179"/>
      <c r="BZW1" s="179"/>
      <c r="BZX1" s="179"/>
      <c r="BZY1" s="179"/>
      <c r="BZZ1" s="179"/>
      <c r="CAA1" s="179"/>
      <c r="CAB1" s="179"/>
      <c r="CAC1" s="179"/>
      <c r="CAD1" s="179"/>
      <c r="CAE1" s="179"/>
      <c r="CAF1" s="179"/>
      <c r="CAG1" s="179"/>
      <c r="CAH1" s="179"/>
      <c r="CAI1" s="179"/>
      <c r="CAJ1" s="179"/>
      <c r="CAK1" s="179"/>
      <c r="CAL1" s="179"/>
      <c r="CAM1" s="179"/>
      <c r="CAN1" s="179"/>
      <c r="CAO1" s="179"/>
      <c r="CAP1" s="179"/>
      <c r="CAQ1" s="179"/>
      <c r="CAR1" s="179"/>
      <c r="CAS1" s="179"/>
      <c r="CAT1" s="179"/>
      <c r="CAU1" s="179"/>
      <c r="CAV1" s="179"/>
      <c r="CAW1" s="179"/>
      <c r="CAX1" s="179"/>
      <c r="CAY1" s="179"/>
      <c r="CAZ1" s="179"/>
      <c r="CBA1" s="179"/>
      <c r="CBB1" s="179"/>
      <c r="CBC1" s="179"/>
      <c r="CBD1" s="179"/>
      <c r="CBE1" s="179"/>
      <c r="CBF1" s="179"/>
      <c r="CBG1" s="179"/>
      <c r="CBH1" s="179"/>
      <c r="CBI1" s="179"/>
      <c r="CBJ1" s="179"/>
      <c r="CBK1" s="179"/>
      <c r="CBL1" s="179"/>
      <c r="CBM1" s="179"/>
      <c r="CBN1" s="179"/>
      <c r="CBO1" s="179"/>
      <c r="CBP1" s="179"/>
      <c r="CBQ1" s="179"/>
      <c r="CBR1" s="179"/>
      <c r="CBS1" s="179"/>
      <c r="CBT1" s="179"/>
      <c r="CBU1" s="179"/>
      <c r="CBV1" s="179"/>
      <c r="CBW1" s="179"/>
      <c r="CBX1" s="179"/>
      <c r="CBY1" s="179"/>
      <c r="CBZ1" s="179"/>
      <c r="CCA1" s="179"/>
      <c r="CCB1" s="179"/>
      <c r="CCC1" s="179"/>
      <c r="CCD1" s="179"/>
      <c r="CCE1" s="179"/>
      <c r="CCF1" s="179"/>
      <c r="CCG1" s="179"/>
      <c r="CCH1" s="179"/>
      <c r="CCI1" s="179"/>
      <c r="CCJ1" s="179"/>
      <c r="CCK1" s="179"/>
      <c r="CCL1" s="179"/>
      <c r="CCM1" s="179"/>
      <c r="CCN1" s="179"/>
      <c r="CCO1" s="179"/>
      <c r="CCP1" s="179"/>
      <c r="CCQ1" s="179"/>
      <c r="CCR1" s="179"/>
      <c r="CCS1" s="179"/>
      <c r="CCT1" s="179"/>
      <c r="CCU1" s="179"/>
      <c r="CCV1" s="179"/>
      <c r="CCW1" s="179"/>
      <c r="CCX1" s="179"/>
      <c r="CCY1" s="179"/>
      <c r="CCZ1" s="179"/>
      <c r="CDA1" s="179"/>
      <c r="CDB1" s="179"/>
      <c r="CDC1" s="179"/>
      <c r="CDD1" s="179"/>
      <c r="CDE1" s="179"/>
      <c r="CDF1" s="179"/>
      <c r="CDG1" s="179"/>
      <c r="CDH1" s="179"/>
      <c r="CDI1" s="179"/>
      <c r="CDJ1" s="179"/>
      <c r="CDK1" s="179"/>
      <c r="CDL1" s="179"/>
      <c r="CDM1" s="179"/>
      <c r="CDN1" s="179"/>
      <c r="CDO1" s="179"/>
      <c r="CDP1" s="179"/>
      <c r="CDQ1" s="179"/>
      <c r="CDR1" s="179"/>
      <c r="CDS1" s="179"/>
      <c r="CDT1" s="179"/>
      <c r="CDU1" s="179"/>
      <c r="CDV1" s="179"/>
      <c r="CDW1" s="179"/>
      <c r="CDX1" s="179"/>
      <c r="CDY1" s="179"/>
      <c r="CDZ1" s="179"/>
      <c r="CEA1" s="179"/>
      <c r="CEB1" s="179"/>
      <c r="CEC1" s="179"/>
      <c r="CED1" s="179"/>
      <c r="CEE1" s="179"/>
      <c r="CEF1" s="179"/>
      <c r="CEG1" s="179"/>
      <c r="CEH1" s="179"/>
      <c r="CEI1" s="179"/>
      <c r="CEJ1" s="179"/>
      <c r="CEK1" s="179"/>
      <c r="CEL1" s="179"/>
      <c r="CEM1" s="179"/>
      <c r="CEN1" s="179"/>
      <c r="CEO1" s="179"/>
      <c r="CEP1" s="179"/>
      <c r="CEQ1" s="179"/>
      <c r="CER1" s="179"/>
      <c r="CES1" s="179"/>
      <c r="CET1" s="179"/>
      <c r="CEU1" s="179"/>
      <c r="CEV1" s="179"/>
      <c r="CEW1" s="179"/>
      <c r="CEX1" s="179"/>
      <c r="CEY1" s="179"/>
      <c r="CEZ1" s="179"/>
      <c r="CFA1" s="179"/>
      <c r="CFB1" s="179"/>
      <c r="CFC1" s="179"/>
      <c r="CFD1" s="179"/>
      <c r="CFE1" s="179"/>
      <c r="CFF1" s="179"/>
      <c r="CFG1" s="179"/>
      <c r="CFH1" s="179"/>
      <c r="CFI1" s="179"/>
      <c r="CFJ1" s="179"/>
      <c r="CFK1" s="179"/>
      <c r="CFL1" s="179"/>
      <c r="CFM1" s="179"/>
      <c r="CFN1" s="179"/>
      <c r="CFO1" s="179"/>
      <c r="CFP1" s="179"/>
      <c r="CFQ1" s="179"/>
      <c r="CFR1" s="179"/>
      <c r="CFS1" s="179"/>
      <c r="CFT1" s="179"/>
      <c r="CFU1" s="179"/>
      <c r="CFV1" s="179"/>
      <c r="CFW1" s="179"/>
      <c r="CFX1" s="179"/>
      <c r="CFY1" s="179"/>
      <c r="CFZ1" s="179"/>
      <c r="CGA1" s="179"/>
      <c r="CGB1" s="179"/>
      <c r="CGC1" s="179"/>
      <c r="CGD1" s="179"/>
      <c r="CGE1" s="179"/>
      <c r="CGF1" s="179"/>
      <c r="CGG1" s="179"/>
      <c r="CGH1" s="179"/>
      <c r="CGI1" s="179"/>
      <c r="CGJ1" s="179"/>
      <c r="CGK1" s="179"/>
      <c r="CGL1" s="179"/>
      <c r="CGM1" s="179"/>
      <c r="CGN1" s="179"/>
      <c r="CGO1" s="179"/>
      <c r="CGP1" s="179"/>
      <c r="CGQ1" s="179"/>
      <c r="CGR1" s="179"/>
      <c r="CGS1" s="179"/>
      <c r="CGT1" s="179"/>
      <c r="CGU1" s="179"/>
      <c r="CGV1" s="179"/>
      <c r="CGW1" s="179"/>
      <c r="CGX1" s="179"/>
      <c r="CGY1" s="179"/>
      <c r="CGZ1" s="179"/>
      <c r="CHA1" s="179"/>
      <c r="CHB1" s="179"/>
      <c r="CHC1" s="179"/>
      <c r="CHD1" s="179"/>
      <c r="CHE1" s="179"/>
      <c r="CHF1" s="179"/>
      <c r="CHG1" s="179"/>
      <c r="CHH1" s="179"/>
      <c r="CHI1" s="179"/>
      <c r="CHJ1" s="179"/>
      <c r="CHK1" s="179"/>
      <c r="CHL1" s="179"/>
      <c r="CHM1" s="179"/>
      <c r="CHN1" s="179"/>
      <c r="CHO1" s="179"/>
      <c r="CHP1" s="179"/>
      <c r="CHQ1" s="179"/>
      <c r="CHR1" s="179"/>
      <c r="CHS1" s="179"/>
      <c r="CHT1" s="179"/>
      <c r="CHU1" s="179"/>
      <c r="CHV1" s="179"/>
      <c r="CHW1" s="179"/>
      <c r="CHX1" s="179"/>
      <c r="CHY1" s="179"/>
      <c r="CHZ1" s="179"/>
      <c r="CIA1" s="179"/>
      <c r="CIB1" s="179"/>
      <c r="CIC1" s="179"/>
      <c r="CID1" s="179"/>
      <c r="CIE1" s="179"/>
      <c r="CIF1" s="179"/>
      <c r="CIG1" s="179"/>
      <c r="CIH1" s="179"/>
      <c r="CII1" s="179"/>
      <c r="CIJ1" s="179"/>
      <c r="CIK1" s="179"/>
      <c r="CIL1" s="179"/>
      <c r="CIM1" s="179"/>
      <c r="CIN1" s="179"/>
      <c r="CIO1" s="179"/>
      <c r="CIP1" s="179"/>
      <c r="CIQ1" s="179"/>
      <c r="CIR1" s="179"/>
      <c r="CIS1" s="179"/>
      <c r="CIT1" s="179"/>
      <c r="CIU1" s="179"/>
      <c r="CIV1" s="179"/>
      <c r="CIW1" s="179"/>
      <c r="CIX1" s="179"/>
      <c r="CIY1" s="179"/>
      <c r="CIZ1" s="179"/>
      <c r="CJA1" s="179"/>
      <c r="CJB1" s="179"/>
      <c r="CJC1" s="179"/>
      <c r="CJD1" s="179"/>
      <c r="CJE1" s="179"/>
      <c r="CJF1" s="179"/>
      <c r="CJG1" s="179"/>
      <c r="CJH1" s="179"/>
      <c r="CJI1" s="179"/>
      <c r="CJJ1" s="179"/>
      <c r="CJK1" s="179"/>
      <c r="CJL1" s="179"/>
      <c r="CJM1" s="179"/>
      <c r="CJN1" s="179"/>
      <c r="CJO1" s="179"/>
      <c r="CJP1" s="179"/>
      <c r="CJQ1" s="179"/>
      <c r="CJR1" s="179"/>
      <c r="CJS1" s="179"/>
      <c r="CJT1" s="179"/>
      <c r="CJU1" s="179"/>
      <c r="CJV1" s="179"/>
      <c r="CJW1" s="179"/>
      <c r="CJX1" s="179"/>
      <c r="CJY1" s="179"/>
      <c r="CJZ1" s="179"/>
      <c r="CKA1" s="179"/>
      <c r="CKB1" s="179"/>
      <c r="CKC1" s="179"/>
      <c r="CKD1" s="179"/>
      <c r="CKE1" s="179"/>
      <c r="CKF1" s="179"/>
      <c r="CKG1" s="179"/>
      <c r="CKH1" s="179"/>
      <c r="CKI1" s="179"/>
      <c r="CKJ1" s="179"/>
      <c r="CKK1" s="179"/>
      <c r="CKL1" s="179"/>
      <c r="CKM1" s="179"/>
      <c r="CKN1" s="179"/>
      <c r="CKO1" s="179"/>
      <c r="CKP1" s="179"/>
      <c r="CKQ1" s="179"/>
      <c r="CKR1" s="179"/>
      <c r="CKS1" s="179"/>
      <c r="CKT1" s="179"/>
      <c r="CKU1" s="179"/>
      <c r="CKV1" s="179"/>
      <c r="CKW1" s="179"/>
      <c r="CKX1" s="179"/>
      <c r="CKY1" s="179"/>
      <c r="CKZ1" s="179"/>
      <c r="CLA1" s="179"/>
      <c r="CLB1" s="179"/>
      <c r="CLC1" s="179"/>
      <c r="CLD1" s="179"/>
      <c r="CLE1" s="179"/>
      <c r="CLF1" s="179"/>
      <c r="CLG1" s="179"/>
      <c r="CLH1" s="179"/>
      <c r="CLI1" s="179"/>
      <c r="CLJ1" s="179"/>
      <c r="CLK1" s="179"/>
      <c r="CLL1" s="179"/>
      <c r="CLM1" s="179"/>
      <c r="CLN1" s="179"/>
      <c r="CLO1" s="179"/>
      <c r="CLP1" s="179"/>
      <c r="CLQ1" s="179"/>
      <c r="CLR1" s="179"/>
      <c r="CLS1" s="179"/>
      <c r="CLT1" s="179"/>
      <c r="CLU1" s="179"/>
      <c r="CLV1" s="179"/>
      <c r="CLW1" s="179"/>
      <c r="CLX1" s="179"/>
      <c r="CLY1" s="179"/>
      <c r="CLZ1" s="179"/>
      <c r="CMA1" s="179"/>
      <c r="CMB1" s="179"/>
      <c r="CMC1" s="179"/>
      <c r="CMD1" s="179"/>
      <c r="CME1" s="179"/>
      <c r="CMF1" s="179"/>
      <c r="CMG1" s="179"/>
      <c r="CMH1" s="179"/>
      <c r="CMI1" s="179"/>
      <c r="CMJ1" s="179"/>
      <c r="CMK1" s="179"/>
      <c r="CML1" s="179"/>
      <c r="CMM1" s="179"/>
      <c r="CMN1" s="179"/>
      <c r="CMO1" s="179"/>
      <c r="CMP1" s="179"/>
      <c r="CMQ1" s="179"/>
      <c r="CMR1" s="179"/>
      <c r="CMS1" s="179"/>
      <c r="CMT1" s="179"/>
      <c r="CMU1" s="179"/>
      <c r="CMV1" s="179"/>
      <c r="CMW1" s="179"/>
      <c r="CMX1" s="179"/>
      <c r="CMY1" s="179"/>
      <c r="CMZ1" s="179"/>
      <c r="CNA1" s="179"/>
      <c r="CNB1" s="179"/>
      <c r="CNC1" s="179"/>
      <c r="CND1" s="179"/>
      <c r="CNE1" s="179"/>
      <c r="CNF1" s="179"/>
      <c r="CNG1" s="179"/>
      <c r="CNH1" s="179"/>
      <c r="CNI1" s="179"/>
      <c r="CNJ1" s="179"/>
      <c r="CNK1" s="179"/>
      <c r="CNL1" s="179"/>
      <c r="CNM1" s="179"/>
      <c r="CNN1" s="179"/>
      <c r="CNO1" s="179"/>
      <c r="CNP1" s="179"/>
      <c r="CNQ1" s="179"/>
      <c r="CNR1" s="179"/>
      <c r="CNS1" s="179"/>
      <c r="CNT1" s="179"/>
      <c r="CNU1" s="179"/>
      <c r="CNV1" s="179"/>
      <c r="CNW1" s="179"/>
      <c r="CNX1" s="179"/>
      <c r="CNY1" s="179"/>
      <c r="CNZ1" s="179"/>
      <c r="COA1" s="179"/>
      <c r="COB1" s="179"/>
      <c r="COC1" s="179"/>
      <c r="COD1" s="179"/>
      <c r="COE1" s="179"/>
      <c r="COF1" s="179"/>
      <c r="COG1" s="179"/>
      <c r="COH1" s="179"/>
      <c r="COI1" s="179"/>
      <c r="COJ1" s="179"/>
      <c r="COK1" s="179"/>
      <c r="COL1" s="179"/>
      <c r="COM1" s="179"/>
      <c r="CON1" s="179"/>
      <c r="COO1" s="179"/>
      <c r="COP1" s="179"/>
      <c r="COQ1" s="179"/>
      <c r="COR1" s="179"/>
      <c r="COS1" s="179"/>
      <c r="COT1" s="179"/>
      <c r="COU1" s="179"/>
      <c r="COV1" s="179"/>
      <c r="COW1" s="179"/>
      <c r="COX1" s="179"/>
      <c r="COY1" s="179"/>
      <c r="COZ1" s="179"/>
      <c r="CPA1" s="179"/>
      <c r="CPB1" s="179"/>
      <c r="CPC1" s="179"/>
      <c r="CPD1" s="179"/>
      <c r="CPE1" s="179"/>
      <c r="CPF1" s="179"/>
      <c r="CPG1" s="179"/>
      <c r="CPH1" s="179"/>
      <c r="CPI1" s="179"/>
      <c r="CPJ1" s="179"/>
      <c r="CPK1" s="179"/>
      <c r="CPL1" s="179"/>
      <c r="CPM1" s="179"/>
      <c r="CPN1" s="179"/>
      <c r="CPO1" s="179"/>
      <c r="CPP1" s="179"/>
      <c r="CPQ1" s="179"/>
      <c r="CPR1" s="179"/>
      <c r="CPS1" s="179"/>
      <c r="CPT1" s="179"/>
      <c r="CPU1" s="179"/>
      <c r="CPV1" s="179"/>
      <c r="CPW1" s="179"/>
      <c r="CPX1" s="179"/>
      <c r="CPY1" s="179"/>
      <c r="CPZ1" s="179"/>
      <c r="CQA1" s="179"/>
      <c r="CQB1" s="179"/>
      <c r="CQC1" s="179"/>
      <c r="CQD1" s="179"/>
      <c r="CQE1" s="179"/>
      <c r="CQF1" s="179"/>
      <c r="CQG1" s="179"/>
      <c r="CQH1" s="179"/>
      <c r="CQI1" s="179"/>
      <c r="CQJ1" s="179"/>
      <c r="CQK1" s="179"/>
      <c r="CQL1" s="179"/>
      <c r="CQM1" s="179"/>
      <c r="CQN1" s="179"/>
      <c r="CQO1" s="179"/>
      <c r="CQP1" s="179"/>
      <c r="CQQ1" s="179"/>
      <c r="CQR1" s="179"/>
      <c r="CQS1" s="179"/>
      <c r="CQT1" s="179"/>
      <c r="CQU1" s="179"/>
      <c r="CQV1" s="179"/>
      <c r="CQW1" s="179"/>
      <c r="CQX1" s="179"/>
      <c r="CQY1" s="179"/>
      <c r="CQZ1" s="179"/>
      <c r="CRA1" s="179"/>
      <c r="CRB1" s="179"/>
      <c r="CRC1" s="179"/>
      <c r="CRD1" s="179"/>
      <c r="CRE1" s="179"/>
      <c r="CRF1" s="179"/>
      <c r="CRG1" s="179"/>
      <c r="CRH1" s="179"/>
      <c r="CRI1" s="179"/>
      <c r="CRJ1" s="179"/>
      <c r="CRK1" s="179"/>
      <c r="CRL1" s="179"/>
      <c r="CRM1" s="179"/>
      <c r="CRN1" s="179"/>
      <c r="CRO1" s="179"/>
      <c r="CRP1" s="179"/>
      <c r="CRQ1" s="179"/>
      <c r="CRR1" s="179"/>
      <c r="CRS1" s="179"/>
      <c r="CRT1" s="179"/>
      <c r="CRU1" s="179"/>
      <c r="CRV1" s="179"/>
      <c r="CRW1" s="179"/>
      <c r="CRX1" s="179"/>
      <c r="CRY1" s="179"/>
      <c r="CRZ1" s="179"/>
      <c r="CSA1" s="179"/>
      <c r="CSB1" s="179"/>
      <c r="CSC1" s="179"/>
      <c r="CSD1" s="179"/>
      <c r="CSE1" s="179"/>
      <c r="CSF1" s="179"/>
      <c r="CSG1" s="179"/>
      <c r="CSH1" s="179"/>
      <c r="CSI1" s="179"/>
      <c r="CSJ1" s="179"/>
      <c r="CSK1" s="179"/>
      <c r="CSL1" s="179"/>
      <c r="CSM1" s="179"/>
      <c r="CSN1" s="179"/>
      <c r="CSO1" s="179"/>
      <c r="CSP1" s="179"/>
      <c r="CSQ1" s="179"/>
      <c r="CSR1" s="179"/>
      <c r="CSS1" s="179"/>
      <c r="CST1" s="179"/>
      <c r="CSU1" s="179"/>
      <c r="CSV1" s="179"/>
      <c r="CSW1" s="179"/>
      <c r="CSX1" s="179"/>
      <c r="CSY1" s="179"/>
      <c r="CSZ1" s="179"/>
      <c r="CTA1" s="179"/>
      <c r="CTB1" s="179"/>
      <c r="CTC1" s="179"/>
      <c r="CTD1" s="179"/>
      <c r="CTE1" s="179"/>
      <c r="CTF1" s="179"/>
      <c r="CTG1" s="179"/>
      <c r="CTH1" s="179"/>
      <c r="CTI1" s="179"/>
      <c r="CTJ1" s="179"/>
      <c r="CTK1" s="179"/>
      <c r="CTL1" s="179"/>
      <c r="CTM1" s="179"/>
      <c r="CTN1" s="179"/>
      <c r="CTO1" s="179"/>
      <c r="CTP1" s="179"/>
      <c r="CTQ1" s="179"/>
      <c r="CTR1" s="179"/>
      <c r="CTS1" s="179"/>
      <c r="CTT1" s="179"/>
      <c r="CTU1" s="179"/>
      <c r="CTV1" s="179"/>
      <c r="CTW1" s="179"/>
      <c r="CTX1" s="179"/>
      <c r="CTY1" s="179"/>
      <c r="CTZ1" s="179"/>
      <c r="CUA1" s="179"/>
      <c r="CUB1" s="179"/>
      <c r="CUC1" s="179"/>
      <c r="CUD1" s="179"/>
      <c r="CUE1" s="179"/>
      <c r="CUF1" s="179"/>
      <c r="CUG1" s="179"/>
      <c r="CUH1" s="179"/>
      <c r="CUI1" s="179"/>
      <c r="CUJ1" s="179"/>
      <c r="CUK1" s="179"/>
      <c r="CUL1" s="179"/>
      <c r="CUM1" s="179"/>
      <c r="CUN1" s="179"/>
      <c r="CUO1" s="179"/>
      <c r="CUP1" s="179"/>
      <c r="CUQ1" s="179"/>
      <c r="CUR1" s="179"/>
      <c r="CUS1" s="179"/>
      <c r="CUT1" s="179"/>
      <c r="CUU1" s="179"/>
      <c r="CUV1" s="179"/>
      <c r="CUW1" s="179"/>
      <c r="CUX1" s="179"/>
      <c r="CUY1" s="179"/>
      <c r="CUZ1" s="179"/>
      <c r="CVA1" s="179"/>
      <c r="CVB1" s="179"/>
      <c r="CVC1" s="179"/>
      <c r="CVD1" s="179"/>
      <c r="CVE1" s="179"/>
      <c r="CVF1" s="179"/>
      <c r="CVG1" s="179"/>
      <c r="CVH1" s="179"/>
      <c r="CVI1" s="179"/>
      <c r="CVJ1" s="179"/>
      <c r="CVK1" s="179"/>
      <c r="CVL1" s="179"/>
      <c r="CVM1" s="179"/>
      <c r="CVN1" s="179"/>
      <c r="CVO1" s="179"/>
      <c r="CVP1" s="179"/>
      <c r="CVQ1" s="179"/>
      <c r="CVR1" s="179"/>
      <c r="CVS1" s="179"/>
      <c r="CVT1" s="179"/>
      <c r="CVU1" s="179"/>
      <c r="CVV1" s="179"/>
      <c r="CVW1" s="179"/>
      <c r="CVX1" s="179"/>
      <c r="CVY1" s="179"/>
      <c r="CVZ1" s="179"/>
      <c r="CWA1" s="179"/>
      <c r="CWB1" s="179"/>
      <c r="CWC1" s="179"/>
      <c r="CWD1" s="179"/>
      <c r="CWE1" s="179"/>
      <c r="CWF1" s="179"/>
      <c r="CWG1" s="179"/>
      <c r="CWH1" s="179"/>
      <c r="CWI1" s="179"/>
      <c r="CWJ1" s="179"/>
      <c r="CWK1" s="179"/>
      <c r="CWL1" s="179"/>
      <c r="CWM1" s="179"/>
      <c r="CWN1" s="179"/>
      <c r="CWO1" s="179"/>
      <c r="CWP1" s="179"/>
      <c r="CWQ1" s="179"/>
      <c r="CWR1" s="179"/>
      <c r="CWS1" s="179"/>
      <c r="CWT1" s="179"/>
      <c r="CWU1" s="179"/>
      <c r="CWV1" s="179"/>
      <c r="CWW1" s="179"/>
      <c r="CWX1" s="179"/>
      <c r="CWY1" s="179"/>
      <c r="CWZ1" s="179"/>
      <c r="CXA1" s="179"/>
      <c r="CXB1" s="179"/>
      <c r="CXC1" s="179"/>
      <c r="CXD1" s="179"/>
      <c r="CXE1" s="179"/>
      <c r="CXF1" s="179"/>
      <c r="CXG1" s="179"/>
      <c r="CXH1" s="179"/>
      <c r="CXI1" s="179"/>
      <c r="CXJ1" s="179"/>
      <c r="CXK1" s="179"/>
      <c r="CXL1" s="179"/>
      <c r="CXM1" s="179"/>
      <c r="CXN1" s="179"/>
      <c r="CXO1" s="179"/>
      <c r="CXP1" s="179"/>
      <c r="CXQ1" s="179"/>
      <c r="CXR1" s="179"/>
      <c r="CXS1" s="179"/>
      <c r="CXT1" s="179"/>
      <c r="CXU1" s="179"/>
      <c r="CXV1" s="179"/>
      <c r="CXW1" s="179"/>
      <c r="CXX1" s="179"/>
      <c r="CXY1" s="179"/>
      <c r="CXZ1" s="179"/>
      <c r="CYA1" s="179"/>
      <c r="CYB1" s="179"/>
      <c r="CYC1" s="179"/>
      <c r="CYD1" s="179"/>
      <c r="CYE1" s="179"/>
      <c r="CYF1" s="179"/>
      <c r="CYG1" s="179"/>
      <c r="CYH1" s="179"/>
      <c r="CYI1" s="179"/>
      <c r="CYJ1" s="179"/>
      <c r="CYK1" s="179"/>
      <c r="CYL1" s="179"/>
      <c r="CYM1" s="179"/>
      <c r="CYN1" s="179"/>
      <c r="CYO1" s="179"/>
      <c r="CYP1" s="179"/>
      <c r="CYQ1" s="179"/>
      <c r="CYR1" s="179"/>
      <c r="CYS1" s="179"/>
      <c r="CYT1" s="179"/>
      <c r="CYU1" s="179"/>
      <c r="CYV1" s="179"/>
      <c r="CYW1" s="179"/>
      <c r="CYX1" s="179"/>
      <c r="CYY1" s="179"/>
      <c r="CYZ1" s="179"/>
      <c r="CZA1" s="179"/>
      <c r="CZB1" s="179"/>
      <c r="CZC1" s="179"/>
      <c r="CZD1" s="179"/>
      <c r="CZE1" s="179"/>
      <c r="CZF1" s="179"/>
      <c r="CZG1" s="179"/>
      <c r="CZH1" s="179"/>
      <c r="CZI1" s="179"/>
      <c r="CZJ1" s="179"/>
      <c r="CZK1" s="179"/>
      <c r="CZL1" s="179"/>
      <c r="CZM1" s="179"/>
      <c r="CZN1" s="179"/>
      <c r="CZO1" s="179"/>
      <c r="CZP1" s="179"/>
      <c r="CZQ1" s="179"/>
      <c r="CZR1" s="179"/>
      <c r="CZS1" s="179"/>
      <c r="CZT1" s="179"/>
      <c r="CZU1" s="179"/>
      <c r="CZV1" s="179"/>
      <c r="CZW1" s="179"/>
      <c r="CZX1" s="179"/>
      <c r="CZY1" s="179"/>
      <c r="CZZ1" s="179"/>
      <c r="DAA1" s="179"/>
      <c r="DAB1" s="179"/>
      <c r="DAC1" s="179"/>
      <c r="DAD1" s="179"/>
      <c r="DAE1" s="179"/>
      <c r="DAF1" s="179"/>
      <c r="DAG1" s="179"/>
      <c r="DAH1" s="179"/>
      <c r="DAI1" s="179"/>
      <c r="DAJ1" s="179"/>
      <c r="DAK1" s="179"/>
      <c r="DAL1" s="179"/>
      <c r="DAM1" s="179"/>
      <c r="DAN1" s="179"/>
      <c r="DAO1" s="179"/>
      <c r="DAP1" s="179"/>
      <c r="DAQ1" s="179"/>
      <c r="DAR1" s="179"/>
      <c r="DAS1" s="179"/>
      <c r="DAT1" s="179"/>
      <c r="DAU1" s="179"/>
      <c r="DAV1" s="179"/>
      <c r="DAW1" s="179"/>
      <c r="DAX1" s="179"/>
      <c r="DAY1" s="179"/>
      <c r="DAZ1" s="179"/>
      <c r="DBA1" s="179"/>
      <c r="DBB1" s="179"/>
      <c r="DBC1" s="179"/>
      <c r="DBD1" s="179"/>
      <c r="DBE1" s="179"/>
      <c r="DBF1" s="179"/>
      <c r="DBG1" s="179"/>
      <c r="DBH1" s="179"/>
      <c r="DBI1" s="179"/>
      <c r="DBJ1" s="179"/>
      <c r="DBK1" s="179"/>
      <c r="DBL1" s="179"/>
      <c r="DBM1" s="179"/>
      <c r="DBN1" s="179"/>
      <c r="DBO1" s="179"/>
      <c r="DBP1" s="179"/>
      <c r="DBQ1" s="179"/>
      <c r="DBR1" s="179"/>
      <c r="DBS1" s="179"/>
      <c r="DBT1" s="179"/>
      <c r="DBU1" s="179"/>
      <c r="DBV1" s="179"/>
      <c r="DBW1" s="179"/>
      <c r="DBX1" s="179"/>
      <c r="DBY1" s="179"/>
      <c r="DBZ1" s="179"/>
      <c r="DCA1" s="179"/>
      <c r="DCB1" s="179"/>
      <c r="DCC1" s="179"/>
      <c r="DCD1" s="179"/>
      <c r="DCE1" s="179"/>
      <c r="DCF1" s="179"/>
      <c r="DCG1" s="179"/>
      <c r="DCH1" s="179"/>
      <c r="DCI1" s="179"/>
      <c r="DCJ1" s="179"/>
      <c r="DCK1" s="179"/>
      <c r="DCL1" s="179"/>
      <c r="DCM1" s="179"/>
      <c r="DCN1" s="179"/>
      <c r="DCO1" s="179"/>
      <c r="DCP1" s="179"/>
      <c r="DCQ1" s="179"/>
      <c r="DCR1" s="179"/>
      <c r="DCS1" s="179"/>
      <c r="DCT1" s="179"/>
      <c r="DCU1" s="179"/>
      <c r="DCV1" s="179"/>
      <c r="DCW1" s="179"/>
      <c r="DCX1" s="179"/>
      <c r="DCY1" s="179"/>
      <c r="DCZ1" s="179"/>
      <c r="DDA1" s="179"/>
      <c r="DDB1" s="179"/>
      <c r="DDC1" s="179"/>
      <c r="DDD1" s="179"/>
      <c r="DDE1" s="179"/>
      <c r="DDF1" s="179"/>
      <c r="DDG1" s="179"/>
      <c r="DDH1" s="179"/>
      <c r="DDI1" s="179"/>
      <c r="DDJ1" s="179"/>
      <c r="DDK1" s="179"/>
      <c r="DDL1" s="179"/>
      <c r="DDM1" s="179"/>
      <c r="DDN1" s="179"/>
      <c r="DDO1" s="179"/>
      <c r="DDP1" s="179"/>
      <c r="DDQ1" s="179"/>
      <c r="DDR1" s="179"/>
      <c r="DDS1" s="179"/>
      <c r="DDT1" s="179"/>
      <c r="DDU1" s="179"/>
      <c r="DDV1" s="179"/>
      <c r="DDW1" s="179"/>
      <c r="DDX1" s="179"/>
      <c r="DDY1" s="179"/>
      <c r="DDZ1" s="179"/>
      <c r="DEA1" s="179"/>
      <c r="DEB1" s="179"/>
      <c r="DEC1" s="179"/>
      <c r="DED1" s="179"/>
      <c r="DEE1" s="179"/>
      <c r="DEF1" s="179"/>
      <c r="DEG1" s="179"/>
      <c r="DEH1" s="179"/>
      <c r="DEI1" s="179"/>
      <c r="DEJ1" s="179"/>
      <c r="DEK1" s="179"/>
      <c r="DEL1" s="179"/>
      <c r="DEM1" s="179"/>
      <c r="DEN1" s="179"/>
      <c r="DEO1" s="179"/>
      <c r="DEP1" s="179"/>
      <c r="DEQ1" s="179"/>
      <c r="DER1" s="179"/>
      <c r="DES1" s="179"/>
      <c r="DET1" s="179"/>
      <c r="DEU1" s="179"/>
      <c r="DEV1" s="179"/>
      <c r="DEW1" s="179"/>
      <c r="DEX1" s="179"/>
      <c r="DEY1" s="179"/>
      <c r="DEZ1" s="179"/>
      <c r="DFA1" s="179"/>
      <c r="DFB1" s="179"/>
      <c r="DFC1" s="179"/>
      <c r="DFD1" s="179"/>
      <c r="DFE1" s="179"/>
      <c r="DFF1" s="179"/>
      <c r="DFG1" s="179"/>
      <c r="DFH1" s="179"/>
      <c r="DFI1" s="179"/>
      <c r="DFJ1" s="179"/>
      <c r="DFK1" s="179"/>
      <c r="DFL1" s="179"/>
      <c r="DFM1" s="179"/>
      <c r="DFN1" s="179"/>
      <c r="DFO1" s="179"/>
      <c r="DFP1" s="179"/>
      <c r="DFQ1" s="179"/>
      <c r="DFR1" s="179"/>
      <c r="DFS1" s="179"/>
      <c r="DFT1" s="179"/>
      <c r="DFU1" s="179"/>
      <c r="DFV1" s="179"/>
      <c r="DFW1" s="179"/>
      <c r="DFX1" s="179"/>
      <c r="DFY1" s="179"/>
      <c r="DFZ1" s="179"/>
      <c r="DGA1" s="179"/>
      <c r="DGB1" s="179"/>
      <c r="DGC1" s="179"/>
      <c r="DGD1" s="179"/>
      <c r="DGE1" s="179"/>
      <c r="DGF1" s="179"/>
      <c r="DGG1" s="179"/>
      <c r="DGH1" s="179"/>
      <c r="DGI1" s="179"/>
      <c r="DGJ1" s="179"/>
      <c r="DGK1" s="179"/>
      <c r="DGL1" s="179"/>
      <c r="DGM1" s="179"/>
      <c r="DGN1" s="179"/>
      <c r="DGO1" s="179"/>
      <c r="DGP1" s="179"/>
      <c r="DGQ1" s="179"/>
      <c r="DGR1" s="179"/>
      <c r="DGS1" s="179"/>
      <c r="DGT1" s="179"/>
      <c r="DGU1" s="179"/>
      <c r="DGV1" s="179"/>
      <c r="DGW1" s="179"/>
      <c r="DGX1" s="179"/>
      <c r="DGY1" s="179"/>
      <c r="DGZ1" s="179"/>
      <c r="DHA1" s="179"/>
      <c r="DHB1" s="179"/>
      <c r="DHC1" s="179"/>
      <c r="DHD1" s="179"/>
      <c r="DHE1" s="179"/>
      <c r="DHF1" s="179"/>
      <c r="DHG1" s="179"/>
      <c r="DHH1" s="179"/>
      <c r="DHI1" s="179"/>
      <c r="DHJ1" s="179"/>
      <c r="DHK1" s="179"/>
      <c r="DHL1" s="179"/>
      <c r="DHM1" s="179"/>
      <c r="DHN1" s="179"/>
      <c r="DHO1" s="179"/>
      <c r="DHP1" s="179"/>
      <c r="DHQ1" s="179"/>
      <c r="DHR1" s="179"/>
      <c r="DHS1" s="179"/>
      <c r="DHT1" s="179"/>
      <c r="DHU1" s="179"/>
      <c r="DHV1" s="179"/>
      <c r="DHW1" s="179"/>
      <c r="DHX1" s="179"/>
      <c r="DHY1" s="179"/>
      <c r="DHZ1" s="179"/>
      <c r="DIA1" s="179"/>
      <c r="DIB1" s="179"/>
      <c r="DIC1" s="179"/>
      <c r="DID1" s="179"/>
      <c r="DIE1" s="179"/>
      <c r="DIF1" s="179"/>
      <c r="DIG1" s="179"/>
      <c r="DIH1" s="179"/>
      <c r="DII1" s="179"/>
      <c r="DIJ1" s="179"/>
      <c r="DIK1" s="179"/>
      <c r="DIL1" s="179"/>
      <c r="DIM1" s="179"/>
      <c r="DIN1" s="179"/>
      <c r="DIO1" s="179"/>
      <c r="DIP1" s="179"/>
      <c r="DIQ1" s="179"/>
      <c r="DIR1" s="179"/>
      <c r="DIS1" s="179"/>
      <c r="DIT1" s="179"/>
      <c r="DIU1" s="179"/>
      <c r="DIV1" s="179"/>
      <c r="DIW1" s="179"/>
      <c r="DIX1" s="179"/>
      <c r="DIY1" s="179"/>
      <c r="DIZ1" s="179"/>
      <c r="DJA1" s="179"/>
      <c r="DJB1" s="179"/>
      <c r="DJC1" s="179"/>
      <c r="DJD1" s="179"/>
      <c r="DJE1" s="179"/>
      <c r="DJF1" s="179"/>
      <c r="DJG1" s="179"/>
      <c r="DJH1" s="179"/>
      <c r="DJI1" s="179"/>
      <c r="DJJ1" s="179"/>
      <c r="DJK1" s="179"/>
      <c r="DJL1" s="179"/>
      <c r="DJM1" s="179"/>
      <c r="DJN1" s="179"/>
      <c r="DJO1" s="179"/>
      <c r="DJP1" s="179"/>
      <c r="DJQ1" s="179"/>
      <c r="DJR1" s="179"/>
      <c r="DJS1" s="179"/>
      <c r="DJT1" s="179"/>
      <c r="DJU1" s="179"/>
      <c r="DJV1" s="179"/>
      <c r="DJW1" s="179"/>
      <c r="DJX1" s="179"/>
      <c r="DJY1" s="179"/>
      <c r="DJZ1" s="179"/>
      <c r="DKA1" s="179"/>
      <c r="DKB1" s="179"/>
      <c r="DKC1" s="179"/>
      <c r="DKD1" s="179"/>
      <c r="DKE1" s="179"/>
      <c r="DKF1" s="179"/>
      <c r="DKG1" s="179"/>
      <c r="DKH1" s="179"/>
      <c r="DKI1" s="179"/>
      <c r="DKJ1" s="179"/>
      <c r="DKK1" s="179"/>
      <c r="DKL1" s="179"/>
      <c r="DKM1" s="179"/>
      <c r="DKN1" s="179"/>
      <c r="DKO1" s="179"/>
      <c r="DKP1" s="179"/>
      <c r="DKQ1" s="179"/>
      <c r="DKR1" s="179"/>
      <c r="DKS1" s="179"/>
      <c r="DKT1" s="179"/>
      <c r="DKU1" s="179"/>
      <c r="DKV1" s="179"/>
      <c r="DKW1" s="179"/>
      <c r="DKX1" s="179"/>
      <c r="DKY1" s="179"/>
      <c r="DKZ1" s="179"/>
      <c r="DLA1" s="179"/>
      <c r="DLB1" s="179"/>
      <c r="DLC1" s="179"/>
      <c r="DLD1" s="179"/>
      <c r="DLE1" s="179"/>
      <c r="DLF1" s="179"/>
      <c r="DLG1" s="179"/>
      <c r="DLH1" s="179"/>
      <c r="DLI1" s="179"/>
      <c r="DLJ1" s="179"/>
      <c r="DLK1" s="179"/>
      <c r="DLL1" s="179"/>
      <c r="DLM1" s="179"/>
      <c r="DLN1" s="179"/>
      <c r="DLO1" s="179"/>
      <c r="DLP1" s="179"/>
      <c r="DLQ1" s="179"/>
      <c r="DLR1" s="179"/>
      <c r="DLS1" s="179"/>
      <c r="DLT1" s="179"/>
      <c r="DLU1" s="179"/>
      <c r="DLV1" s="179"/>
      <c r="DLW1" s="179"/>
      <c r="DLX1" s="179"/>
      <c r="DLY1" s="179"/>
      <c r="DLZ1" s="179"/>
      <c r="DMA1" s="179"/>
      <c r="DMB1" s="179"/>
      <c r="DMC1" s="179"/>
      <c r="DMD1" s="179"/>
      <c r="DME1" s="179"/>
      <c r="DMF1" s="179"/>
      <c r="DMG1" s="179"/>
      <c r="DMH1" s="179"/>
      <c r="DMI1" s="179"/>
      <c r="DMJ1" s="179"/>
      <c r="DMK1" s="179"/>
      <c r="DML1" s="179"/>
      <c r="DMM1" s="179"/>
      <c r="DMN1" s="179"/>
      <c r="DMO1" s="179"/>
      <c r="DMP1" s="179"/>
      <c r="DMQ1" s="179"/>
      <c r="DMR1" s="179"/>
      <c r="DMS1" s="179"/>
      <c r="DMT1" s="179"/>
      <c r="DMU1" s="179"/>
      <c r="DMV1" s="179"/>
      <c r="DMW1" s="179"/>
      <c r="DMX1" s="179"/>
      <c r="DMY1" s="179"/>
      <c r="DMZ1" s="179"/>
      <c r="DNA1" s="179"/>
      <c r="DNB1" s="179"/>
      <c r="DNC1" s="179"/>
      <c r="DND1" s="179"/>
      <c r="DNE1" s="179"/>
      <c r="DNF1" s="179"/>
      <c r="DNG1" s="179"/>
      <c r="DNH1" s="179"/>
      <c r="DNI1" s="179"/>
      <c r="DNJ1" s="179"/>
      <c r="DNK1" s="179"/>
      <c r="DNL1" s="179"/>
      <c r="DNM1" s="179"/>
      <c r="DNN1" s="179"/>
      <c r="DNO1" s="179"/>
      <c r="DNP1" s="179"/>
      <c r="DNQ1" s="179"/>
      <c r="DNR1" s="179"/>
      <c r="DNS1" s="179"/>
      <c r="DNT1" s="179"/>
      <c r="DNU1" s="179"/>
      <c r="DNV1" s="179"/>
      <c r="DNW1" s="179"/>
      <c r="DNX1" s="179"/>
      <c r="DNY1" s="179"/>
      <c r="DNZ1" s="179"/>
      <c r="DOA1" s="179"/>
      <c r="DOB1" s="179"/>
      <c r="DOC1" s="179"/>
      <c r="DOD1" s="179"/>
      <c r="DOE1" s="179"/>
      <c r="DOF1" s="179"/>
      <c r="DOG1" s="179"/>
      <c r="DOH1" s="179"/>
      <c r="DOI1" s="179"/>
      <c r="DOJ1" s="179"/>
      <c r="DOK1" s="179"/>
      <c r="DOL1" s="179"/>
      <c r="DOM1" s="179"/>
      <c r="DON1" s="179"/>
      <c r="DOO1" s="179"/>
      <c r="DOP1" s="179"/>
      <c r="DOQ1" s="179"/>
      <c r="DOR1" s="179"/>
      <c r="DOS1" s="179"/>
      <c r="DOT1" s="179"/>
      <c r="DOU1" s="179"/>
      <c r="DOV1" s="179"/>
      <c r="DOW1" s="179"/>
      <c r="DOX1" s="179"/>
      <c r="DOY1" s="179"/>
      <c r="DOZ1" s="179"/>
      <c r="DPA1" s="179"/>
      <c r="DPB1" s="179"/>
      <c r="DPC1" s="179"/>
      <c r="DPD1" s="179"/>
      <c r="DPE1" s="179"/>
      <c r="DPF1" s="179"/>
      <c r="DPG1" s="179"/>
      <c r="DPH1" s="179"/>
      <c r="DPI1" s="179"/>
      <c r="DPJ1" s="179"/>
      <c r="DPK1" s="179"/>
      <c r="DPL1" s="179"/>
      <c r="DPM1" s="179"/>
      <c r="DPN1" s="179"/>
      <c r="DPO1" s="179"/>
      <c r="DPP1" s="179"/>
      <c r="DPQ1" s="179"/>
      <c r="DPR1" s="179"/>
      <c r="DPS1" s="179"/>
      <c r="DPT1" s="179"/>
      <c r="DPU1" s="179"/>
      <c r="DPV1" s="179"/>
      <c r="DPW1" s="179"/>
      <c r="DPX1" s="179"/>
      <c r="DPY1" s="179"/>
      <c r="DPZ1" s="179"/>
      <c r="DQA1" s="179"/>
      <c r="DQB1" s="179"/>
      <c r="DQC1" s="179"/>
      <c r="DQD1" s="179"/>
      <c r="DQE1" s="179"/>
      <c r="DQF1" s="179"/>
      <c r="DQG1" s="179"/>
      <c r="DQH1" s="179"/>
      <c r="DQI1" s="179"/>
      <c r="DQJ1" s="179"/>
      <c r="DQK1" s="179"/>
      <c r="DQL1" s="179"/>
      <c r="DQM1" s="179"/>
      <c r="DQN1" s="179"/>
      <c r="DQO1" s="179"/>
      <c r="DQP1" s="179"/>
      <c r="DQQ1" s="179"/>
      <c r="DQR1" s="179"/>
      <c r="DQS1" s="179"/>
      <c r="DQT1" s="179"/>
      <c r="DQU1" s="179"/>
      <c r="DQV1" s="179"/>
      <c r="DQW1" s="179"/>
      <c r="DQX1" s="179"/>
      <c r="DQY1" s="179"/>
      <c r="DQZ1" s="179"/>
      <c r="DRA1" s="179"/>
      <c r="DRB1" s="179"/>
      <c r="DRC1" s="179"/>
      <c r="DRD1" s="179"/>
      <c r="DRE1" s="179"/>
      <c r="DRF1" s="179"/>
      <c r="DRG1" s="179"/>
      <c r="DRH1" s="179"/>
      <c r="DRI1" s="179"/>
      <c r="DRJ1" s="179"/>
      <c r="DRK1" s="179"/>
      <c r="DRL1" s="179"/>
      <c r="DRM1" s="179"/>
      <c r="DRN1" s="179"/>
      <c r="DRO1" s="179"/>
      <c r="DRP1" s="179"/>
      <c r="DRQ1" s="179"/>
      <c r="DRR1" s="179"/>
      <c r="DRS1" s="179"/>
      <c r="DRT1" s="179"/>
      <c r="DRU1" s="179"/>
      <c r="DRV1" s="179"/>
      <c r="DRW1" s="179"/>
      <c r="DRX1" s="179"/>
      <c r="DRY1" s="179"/>
      <c r="DRZ1" s="179"/>
      <c r="DSA1" s="179"/>
      <c r="DSB1" s="179"/>
      <c r="DSC1" s="179"/>
      <c r="DSD1" s="179"/>
      <c r="DSE1" s="179"/>
      <c r="DSF1" s="179"/>
      <c r="DSG1" s="179"/>
      <c r="DSH1" s="179"/>
      <c r="DSI1" s="179"/>
      <c r="DSJ1" s="179"/>
      <c r="DSK1" s="179"/>
      <c r="DSL1" s="179"/>
      <c r="DSM1" s="179"/>
      <c r="DSN1" s="179"/>
      <c r="DSO1" s="179"/>
      <c r="DSP1" s="179"/>
      <c r="DSQ1" s="179"/>
      <c r="DSR1" s="179"/>
      <c r="DSS1" s="179"/>
      <c r="DST1" s="179"/>
      <c r="DSU1" s="179"/>
      <c r="DSV1" s="179"/>
      <c r="DSW1" s="179"/>
      <c r="DSX1" s="179"/>
      <c r="DSY1" s="179"/>
      <c r="DSZ1" s="179"/>
      <c r="DTA1" s="179"/>
      <c r="DTB1" s="179"/>
      <c r="DTC1" s="179"/>
      <c r="DTD1" s="179"/>
      <c r="DTE1" s="179"/>
      <c r="DTF1" s="179"/>
      <c r="DTG1" s="179"/>
      <c r="DTH1" s="179"/>
      <c r="DTI1" s="179"/>
      <c r="DTJ1" s="179"/>
      <c r="DTK1" s="179"/>
      <c r="DTL1" s="179"/>
      <c r="DTM1" s="179"/>
      <c r="DTN1" s="179"/>
      <c r="DTO1" s="179"/>
      <c r="DTP1" s="179"/>
      <c r="DTQ1" s="179"/>
      <c r="DTR1" s="179"/>
      <c r="DTS1" s="179"/>
      <c r="DTT1" s="179"/>
      <c r="DTU1" s="179"/>
      <c r="DTV1" s="179"/>
      <c r="DTW1" s="179"/>
      <c r="DTX1" s="179"/>
      <c r="DTY1" s="179"/>
      <c r="DTZ1" s="179"/>
      <c r="DUA1" s="179"/>
      <c r="DUB1" s="179"/>
      <c r="DUC1" s="179"/>
      <c r="DUD1" s="179"/>
      <c r="DUE1" s="179"/>
      <c r="DUF1" s="179"/>
      <c r="DUG1" s="179"/>
      <c r="DUH1" s="179"/>
      <c r="DUI1" s="179"/>
      <c r="DUJ1" s="179"/>
      <c r="DUK1" s="179"/>
      <c r="DUL1" s="179"/>
      <c r="DUM1" s="179"/>
      <c r="DUN1" s="179"/>
      <c r="DUO1" s="179"/>
      <c r="DUP1" s="179"/>
      <c r="DUQ1" s="179"/>
      <c r="DUR1" s="179"/>
      <c r="DUS1" s="179"/>
      <c r="DUT1" s="179"/>
      <c r="DUU1" s="179"/>
      <c r="DUV1" s="179"/>
      <c r="DUW1" s="179"/>
      <c r="DUX1" s="179"/>
      <c r="DUY1" s="179"/>
      <c r="DUZ1" s="179"/>
      <c r="DVA1" s="179"/>
      <c r="DVB1" s="179"/>
      <c r="DVC1" s="179"/>
      <c r="DVD1" s="179"/>
      <c r="DVE1" s="179"/>
      <c r="DVF1" s="179"/>
      <c r="DVG1" s="179"/>
      <c r="DVH1" s="179"/>
      <c r="DVI1" s="179"/>
      <c r="DVJ1" s="179"/>
      <c r="DVK1" s="179"/>
      <c r="DVL1" s="179"/>
      <c r="DVM1" s="179"/>
      <c r="DVN1" s="179"/>
      <c r="DVO1" s="179"/>
      <c r="DVP1" s="179"/>
      <c r="DVQ1" s="179"/>
      <c r="DVR1" s="179"/>
      <c r="DVS1" s="179"/>
      <c r="DVT1" s="179"/>
      <c r="DVU1" s="179"/>
      <c r="DVV1" s="179"/>
      <c r="DVW1" s="179"/>
      <c r="DVX1" s="179"/>
      <c r="DVY1" s="179"/>
      <c r="DVZ1" s="179"/>
      <c r="DWA1" s="179"/>
      <c r="DWB1" s="179"/>
      <c r="DWC1" s="179"/>
      <c r="DWD1" s="179"/>
      <c r="DWE1" s="179"/>
      <c r="DWF1" s="179"/>
      <c r="DWG1" s="179"/>
      <c r="DWH1" s="179"/>
      <c r="DWI1" s="179"/>
      <c r="DWJ1" s="179"/>
      <c r="DWK1" s="179"/>
      <c r="DWL1" s="179"/>
      <c r="DWM1" s="179"/>
      <c r="DWN1" s="179"/>
      <c r="DWO1" s="179"/>
      <c r="DWP1" s="179"/>
      <c r="DWQ1" s="179"/>
      <c r="DWR1" s="179"/>
      <c r="DWS1" s="179"/>
      <c r="DWT1" s="179"/>
      <c r="DWU1" s="179"/>
      <c r="DWV1" s="179"/>
      <c r="DWW1" s="179"/>
      <c r="DWX1" s="179"/>
      <c r="DWY1" s="179"/>
      <c r="DWZ1" s="179"/>
      <c r="DXA1" s="179"/>
      <c r="DXB1" s="179"/>
      <c r="DXC1" s="179"/>
      <c r="DXD1" s="179"/>
      <c r="DXE1" s="179"/>
      <c r="DXF1" s="179"/>
      <c r="DXG1" s="179"/>
      <c r="DXH1" s="179"/>
      <c r="DXI1" s="179"/>
      <c r="DXJ1" s="179"/>
      <c r="DXK1" s="179"/>
      <c r="DXL1" s="179"/>
      <c r="DXM1" s="179"/>
      <c r="DXN1" s="179"/>
      <c r="DXO1" s="179"/>
      <c r="DXP1" s="179"/>
      <c r="DXQ1" s="179"/>
      <c r="DXR1" s="179"/>
      <c r="DXS1" s="179"/>
      <c r="DXT1" s="179"/>
      <c r="DXU1" s="179"/>
      <c r="DXV1" s="179"/>
      <c r="DXW1" s="179"/>
      <c r="DXX1" s="179"/>
      <c r="DXY1" s="179"/>
      <c r="DXZ1" s="179"/>
      <c r="DYA1" s="179"/>
      <c r="DYB1" s="179"/>
      <c r="DYC1" s="179"/>
      <c r="DYD1" s="179"/>
      <c r="DYE1" s="179"/>
      <c r="DYF1" s="179"/>
      <c r="DYG1" s="179"/>
      <c r="DYH1" s="179"/>
      <c r="DYI1" s="179"/>
      <c r="DYJ1" s="179"/>
      <c r="DYK1" s="179"/>
      <c r="DYL1" s="179"/>
      <c r="DYM1" s="179"/>
      <c r="DYN1" s="179"/>
      <c r="DYO1" s="179"/>
      <c r="DYP1" s="179"/>
      <c r="DYQ1" s="179"/>
      <c r="DYR1" s="179"/>
      <c r="DYS1" s="179"/>
      <c r="DYT1" s="179"/>
      <c r="DYU1" s="179"/>
      <c r="DYV1" s="179"/>
      <c r="DYW1" s="179"/>
      <c r="DYX1" s="179"/>
      <c r="DYY1" s="179"/>
      <c r="DYZ1" s="179"/>
      <c r="DZA1" s="179"/>
      <c r="DZB1" s="179"/>
      <c r="DZC1" s="179"/>
      <c r="DZD1" s="179"/>
      <c r="DZE1" s="179"/>
      <c r="DZF1" s="179"/>
      <c r="DZG1" s="179"/>
      <c r="DZH1" s="179"/>
      <c r="DZI1" s="179"/>
      <c r="DZJ1" s="179"/>
      <c r="DZK1" s="179"/>
      <c r="DZL1" s="179"/>
      <c r="DZM1" s="179"/>
      <c r="DZN1" s="179"/>
      <c r="DZO1" s="179"/>
      <c r="DZP1" s="179"/>
      <c r="DZQ1" s="179"/>
      <c r="DZR1" s="179"/>
      <c r="DZS1" s="179"/>
      <c r="DZT1" s="179"/>
      <c r="DZU1" s="179"/>
      <c r="DZV1" s="179"/>
      <c r="DZW1" s="179"/>
      <c r="DZX1" s="179"/>
      <c r="DZY1" s="179"/>
      <c r="DZZ1" s="179"/>
      <c r="EAA1" s="179"/>
      <c r="EAB1" s="179"/>
      <c r="EAC1" s="179"/>
      <c r="EAD1" s="179"/>
      <c r="EAE1" s="179"/>
      <c r="EAF1" s="179"/>
      <c r="EAG1" s="179"/>
      <c r="EAH1" s="179"/>
      <c r="EAI1" s="179"/>
      <c r="EAJ1" s="179"/>
      <c r="EAK1" s="179"/>
      <c r="EAL1" s="179"/>
      <c r="EAM1" s="179"/>
      <c r="EAN1" s="179"/>
      <c r="EAO1" s="179"/>
      <c r="EAP1" s="179"/>
      <c r="EAQ1" s="179"/>
      <c r="EAR1" s="179"/>
      <c r="EAS1" s="179"/>
      <c r="EAT1" s="179"/>
      <c r="EAU1" s="179"/>
      <c r="EAV1" s="179"/>
      <c r="EAW1" s="179"/>
      <c r="EAX1" s="179"/>
      <c r="EAY1" s="179"/>
      <c r="EAZ1" s="179"/>
      <c r="EBA1" s="179"/>
      <c r="EBB1" s="179"/>
      <c r="EBC1" s="179"/>
      <c r="EBD1" s="179"/>
      <c r="EBE1" s="179"/>
      <c r="EBF1" s="179"/>
      <c r="EBG1" s="179"/>
      <c r="EBH1" s="179"/>
      <c r="EBI1" s="179"/>
      <c r="EBJ1" s="179"/>
      <c r="EBK1" s="179"/>
      <c r="EBL1" s="179"/>
      <c r="EBM1" s="179"/>
      <c r="EBN1" s="179"/>
      <c r="EBO1" s="179"/>
      <c r="EBP1" s="179"/>
      <c r="EBQ1" s="179"/>
      <c r="EBR1" s="179"/>
      <c r="EBS1" s="179"/>
      <c r="EBT1" s="179"/>
      <c r="EBU1" s="179"/>
      <c r="EBV1" s="179"/>
      <c r="EBW1" s="179"/>
      <c r="EBX1" s="179"/>
      <c r="EBY1" s="179"/>
      <c r="EBZ1" s="179"/>
      <c r="ECA1" s="179"/>
      <c r="ECB1" s="179"/>
      <c r="ECC1" s="179"/>
      <c r="ECD1" s="179"/>
      <c r="ECE1" s="179"/>
      <c r="ECF1" s="179"/>
      <c r="ECG1" s="179"/>
      <c r="ECH1" s="179"/>
      <c r="ECI1" s="179"/>
      <c r="ECJ1" s="179"/>
      <c r="ECK1" s="179"/>
      <c r="ECL1" s="179"/>
      <c r="ECM1" s="179"/>
      <c r="ECN1" s="179"/>
      <c r="ECO1" s="179"/>
      <c r="ECP1" s="179"/>
      <c r="ECQ1" s="179"/>
      <c r="ECR1" s="179"/>
      <c r="ECS1" s="179"/>
      <c r="ECT1" s="179"/>
      <c r="ECU1" s="179"/>
      <c r="ECV1" s="179"/>
      <c r="ECW1" s="179"/>
      <c r="ECX1" s="179"/>
      <c r="ECY1" s="179"/>
      <c r="ECZ1" s="179"/>
      <c r="EDA1" s="179"/>
      <c r="EDB1" s="179"/>
      <c r="EDC1" s="179"/>
      <c r="EDD1" s="179"/>
      <c r="EDE1" s="179"/>
      <c r="EDF1" s="179"/>
      <c r="EDG1" s="179"/>
      <c r="EDH1" s="179"/>
      <c r="EDI1" s="179"/>
      <c r="EDJ1" s="179"/>
      <c r="EDK1" s="179"/>
      <c r="EDL1" s="179"/>
      <c r="EDM1" s="179"/>
      <c r="EDN1" s="179"/>
      <c r="EDO1" s="179"/>
      <c r="EDP1" s="179"/>
      <c r="EDQ1" s="179"/>
      <c r="EDR1" s="179"/>
      <c r="EDS1" s="179"/>
      <c r="EDT1" s="179"/>
      <c r="EDU1" s="179"/>
      <c r="EDV1" s="179"/>
      <c r="EDW1" s="179"/>
      <c r="EDX1" s="179"/>
      <c r="EDY1" s="179"/>
      <c r="EDZ1" s="179"/>
      <c r="EEA1" s="179"/>
      <c r="EEB1" s="179"/>
      <c r="EEC1" s="179"/>
      <c r="EED1" s="179"/>
      <c r="EEE1" s="179"/>
      <c r="EEF1" s="179"/>
      <c r="EEG1" s="179"/>
      <c r="EEH1" s="179"/>
      <c r="EEI1" s="179"/>
      <c r="EEJ1" s="179"/>
      <c r="EEK1" s="179"/>
      <c r="EEL1" s="179"/>
      <c r="EEM1" s="179"/>
      <c r="EEN1" s="179"/>
      <c r="EEO1" s="179"/>
      <c r="EEP1" s="179"/>
      <c r="EEQ1" s="179"/>
      <c r="EER1" s="179"/>
      <c r="EES1" s="179"/>
      <c r="EET1" s="179"/>
      <c r="EEU1" s="179"/>
      <c r="EEV1" s="179"/>
      <c r="EEW1" s="179"/>
      <c r="EEX1" s="179"/>
      <c r="EEY1" s="179"/>
      <c r="EEZ1" s="179"/>
      <c r="EFA1" s="179"/>
      <c r="EFB1" s="179"/>
      <c r="EFC1" s="179"/>
      <c r="EFD1" s="179"/>
      <c r="EFE1" s="179"/>
      <c r="EFF1" s="179"/>
      <c r="EFG1" s="179"/>
      <c r="EFH1" s="179"/>
      <c r="EFI1" s="179"/>
      <c r="EFJ1" s="179"/>
      <c r="EFK1" s="179"/>
      <c r="EFL1" s="179"/>
      <c r="EFM1" s="179"/>
      <c r="EFN1" s="179"/>
      <c r="EFO1" s="179"/>
      <c r="EFP1" s="179"/>
      <c r="EFQ1" s="179"/>
      <c r="EFR1" s="179"/>
      <c r="EFS1" s="179"/>
      <c r="EFT1" s="179"/>
      <c r="EFU1" s="179"/>
      <c r="EFV1" s="179"/>
      <c r="EFW1" s="179"/>
      <c r="EFX1" s="179"/>
      <c r="EFY1" s="179"/>
      <c r="EFZ1" s="179"/>
      <c r="EGA1" s="179"/>
      <c r="EGB1" s="179"/>
      <c r="EGC1" s="179"/>
      <c r="EGD1" s="179"/>
      <c r="EGE1" s="179"/>
      <c r="EGF1" s="179"/>
      <c r="EGG1" s="179"/>
      <c r="EGH1" s="179"/>
      <c r="EGI1" s="179"/>
      <c r="EGJ1" s="179"/>
      <c r="EGK1" s="179"/>
      <c r="EGL1" s="179"/>
      <c r="EGM1" s="179"/>
      <c r="EGN1" s="179"/>
      <c r="EGO1" s="179"/>
      <c r="EGP1" s="179"/>
      <c r="EGQ1" s="179"/>
      <c r="EGR1" s="179"/>
      <c r="EGS1" s="179"/>
      <c r="EGT1" s="179"/>
      <c r="EGU1" s="179"/>
      <c r="EGV1" s="179"/>
      <c r="EGW1" s="179"/>
      <c r="EGX1" s="179"/>
      <c r="EGY1" s="179"/>
      <c r="EGZ1" s="179"/>
      <c r="EHA1" s="179"/>
      <c r="EHB1" s="179"/>
      <c r="EHC1" s="179"/>
      <c r="EHD1" s="179"/>
      <c r="EHE1" s="179"/>
      <c r="EHF1" s="179"/>
      <c r="EHG1" s="179"/>
      <c r="EHH1" s="179"/>
      <c r="EHI1" s="179"/>
      <c r="EHJ1" s="179"/>
      <c r="EHK1" s="179"/>
      <c r="EHL1" s="179"/>
      <c r="EHM1" s="179"/>
      <c r="EHN1" s="179"/>
      <c r="EHO1" s="179"/>
      <c r="EHP1" s="179"/>
      <c r="EHQ1" s="179"/>
      <c r="EHR1" s="179"/>
      <c r="EHS1" s="179"/>
      <c r="EHT1" s="179"/>
      <c r="EHU1" s="179"/>
      <c r="EHV1" s="179"/>
      <c r="EHW1" s="179"/>
      <c r="EHX1" s="179"/>
      <c r="EHY1" s="179"/>
      <c r="EHZ1" s="179"/>
      <c r="EIA1" s="179"/>
      <c r="EIB1" s="179"/>
      <c r="EIC1" s="179"/>
      <c r="EID1" s="179"/>
      <c r="EIE1" s="179"/>
      <c r="EIF1" s="179"/>
      <c r="EIG1" s="179"/>
      <c r="EIH1" s="179"/>
      <c r="EII1" s="179"/>
      <c r="EIJ1" s="179"/>
      <c r="EIK1" s="179"/>
      <c r="EIL1" s="179"/>
      <c r="EIM1" s="179"/>
      <c r="EIN1" s="179"/>
      <c r="EIO1" s="179"/>
      <c r="EIP1" s="179"/>
      <c r="EIQ1" s="179"/>
      <c r="EIR1" s="179"/>
      <c r="EIS1" s="179"/>
      <c r="EIT1" s="179"/>
      <c r="EIU1" s="179"/>
      <c r="EIV1" s="179"/>
      <c r="EIW1" s="179"/>
      <c r="EIX1" s="179"/>
      <c r="EIY1" s="179"/>
      <c r="EIZ1" s="179"/>
      <c r="EJA1" s="179"/>
      <c r="EJB1" s="179"/>
      <c r="EJC1" s="179"/>
      <c r="EJD1" s="179"/>
      <c r="EJE1" s="179"/>
      <c r="EJF1" s="179"/>
      <c r="EJG1" s="179"/>
      <c r="EJH1" s="179"/>
      <c r="EJI1" s="179"/>
      <c r="EJJ1" s="179"/>
      <c r="EJK1" s="179"/>
      <c r="EJL1" s="179"/>
      <c r="EJM1" s="179"/>
      <c r="EJN1" s="179"/>
      <c r="EJO1" s="179"/>
      <c r="EJP1" s="179"/>
      <c r="EJQ1" s="179"/>
      <c r="EJR1" s="179"/>
      <c r="EJS1" s="179"/>
      <c r="EJT1" s="179"/>
      <c r="EJU1" s="179"/>
      <c r="EJV1" s="179"/>
      <c r="EJW1" s="179"/>
      <c r="EJX1" s="179"/>
      <c r="EJY1" s="179"/>
      <c r="EJZ1" s="179"/>
      <c r="EKA1" s="179"/>
      <c r="EKB1" s="179"/>
      <c r="EKC1" s="179"/>
      <c r="EKD1" s="179"/>
      <c r="EKE1" s="179"/>
      <c r="EKF1" s="179"/>
      <c r="EKG1" s="179"/>
      <c r="EKH1" s="179"/>
      <c r="EKI1" s="179"/>
      <c r="EKJ1" s="179"/>
      <c r="EKK1" s="179"/>
      <c r="EKL1" s="179"/>
      <c r="EKM1" s="179"/>
      <c r="EKN1" s="179"/>
      <c r="EKO1" s="179"/>
      <c r="EKP1" s="179"/>
      <c r="EKQ1" s="179"/>
      <c r="EKR1" s="179"/>
      <c r="EKS1" s="179"/>
      <c r="EKT1" s="179"/>
      <c r="EKU1" s="179"/>
      <c r="EKV1" s="179"/>
      <c r="EKW1" s="179"/>
      <c r="EKX1" s="179"/>
      <c r="EKY1" s="179"/>
      <c r="EKZ1" s="179"/>
      <c r="ELA1" s="179"/>
      <c r="ELB1" s="179"/>
      <c r="ELC1" s="179"/>
      <c r="ELD1" s="179"/>
      <c r="ELE1" s="179"/>
      <c r="ELF1" s="179"/>
      <c r="ELG1" s="179"/>
      <c r="ELH1" s="179"/>
      <c r="ELI1" s="179"/>
      <c r="ELJ1" s="179"/>
      <c r="ELK1" s="179"/>
      <c r="ELL1" s="179"/>
      <c r="ELM1" s="179"/>
      <c r="ELN1" s="179"/>
      <c r="ELO1" s="179"/>
      <c r="ELP1" s="179"/>
      <c r="ELQ1" s="179"/>
      <c r="ELR1" s="179"/>
      <c r="ELS1" s="179"/>
      <c r="ELT1" s="179"/>
      <c r="ELU1" s="179"/>
      <c r="ELV1" s="179"/>
      <c r="ELW1" s="179"/>
      <c r="ELX1" s="179"/>
      <c r="ELY1" s="179"/>
      <c r="ELZ1" s="179"/>
      <c r="EMA1" s="179"/>
      <c r="EMB1" s="179"/>
      <c r="EMC1" s="179"/>
      <c r="EMD1" s="179"/>
      <c r="EME1" s="179"/>
      <c r="EMF1" s="179"/>
      <c r="EMG1" s="179"/>
      <c r="EMH1" s="179"/>
      <c r="EMI1" s="179"/>
      <c r="EMJ1" s="179"/>
      <c r="EMK1" s="179"/>
      <c r="EML1" s="179"/>
      <c r="EMM1" s="179"/>
      <c r="EMN1" s="179"/>
      <c r="EMO1" s="179"/>
      <c r="EMP1" s="179"/>
      <c r="EMQ1" s="179"/>
      <c r="EMR1" s="179"/>
      <c r="EMS1" s="179"/>
      <c r="EMT1" s="179"/>
      <c r="EMU1" s="179"/>
      <c r="EMV1" s="179"/>
      <c r="EMW1" s="179"/>
      <c r="EMX1" s="179"/>
      <c r="EMY1" s="179"/>
      <c r="EMZ1" s="179"/>
      <c r="ENA1" s="179"/>
      <c r="ENB1" s="179"/>
      <c r="ENC1" s="179"/>
      <c r="END1" s="179"/>
      <c r="ENE1" s="179"/>
      <c r="ENF1" s="179"/>
      <c r="ENG1" s="179"/>
      <c r="ENH1" s="179"/>
      <c r="ENI1" s="179"/>
      <c r="ENJ1" s="179"/>
      <c r="ENK1" s="179"/>
      <c r="ENL1" s="179"/>
      <c r="ENM1" s="179"/>
      <c r="ENN1" s="179"/>
      <c r="ENO1" s="179"/>
      <c r="ENP1" s="179"/>
      <c r="ENQ1" s="179"/>
      <c r="ENR1" s="179"/>
      <c r="ENS1" s="179"/>
      <c r="ENT1" s="179"/>
      <c r="ENU1" s="179"/>
      <c r="ENV1" s="179"/>
      <c r="ENW1" s="179"/>
      <c r="ENX1" s="179"/>
      <c r="ENY1" s="179"/>
      <c r="ENZ1" s="179"/>
      <c r="EOA1" s="179"/>
      <c r="EOB1" s="179"/>
      <c r="EOC1" s="179"/>
      <c r="EOD1" s="179"/>
      <c r="EOE1" s="179"/>
      <c r="EOF1" s="179"/>
      <c r="EOG1" s="179"/>
      <c r="EOH1" s="179"/>
      <c r="EOI1" s="179"/>
      <c r="EOJ1" s="179"/>
      <c r="EOK1" s="179"/>
      <c r="EOL1" s="179"/>
      <c r="EOM1" s="179"/>
      <c r="EON1" s="179"/>
      <c r="EOO1" s="179"/>
      <c r="EOP1" s="179"/>
      <c r="EOQ1" s="179"/>
      <c r="EOR1" s="179"/>
      <c r="EOS1" s="179"/>
      <c r="EOT1" s="179"/>
      <c r="EOU1" s="179"/>
      <c r="EOV1" s="179"/>
      <c r="EOW1" s="179"/>
      <c r="EOX1" s="179"/>
      <c r="EOY1" s="179"/>
      <c r="EOZ1" s="179"/>
      <c r="EPA1" s="179"/>
      <c r="EPB1" s="179"/>
      <c r="EPC1" s="179"/>
      <c r="EPD1" s="179"/>
      <c r="EPE1" s="179"/>
      <c r="EPF1" s="179"/>
      <c r="EPG1" s="179"/>
      <c r="EPH1" s="179"/>
      <c r="EPI1" s="179"/>
      <c r="EPJ1" s="179"/>
      <c r="EPK1" s="179"/>
      <c r="EPL1" s="179"/>
      <c r="EPM1" s="179"/>
      <c r="EPN1" s="179"/>
      <c r="EPO1" s="179"/>
      <c r="EPP1" s="179"/>
      <c r="EPQ1" s="179"/>
      <c r="EPR1" s="179"/>
      <c r="EPS1" s="179"/>
      <c r="EPT1" s="179"/>
      <c r="EPU1" s="179"/>
      <c r="EPV1" s="179"/>
      <c r="EPW1" s="179"/>
      <c r="EPX1" s="179"/>
      <c r="EPY1" s="179"/>
      <c r="EPZ1" s="179"/>
      <c r="EQA1" s="179"/>
      <c r="EQB1" s="179"/>
      <c r="EQC1" s="179"/>
      <c r="EQD1" s="179"/>
      <c r="EQE1" s="179"/>
      <c r="EQF1" s="179"/>
      <c r="EQG1" s="179"/>
      <c r="EQH1" s="179"/>
      <c r="EQI1" s="179"/>
      <c r="EQJ1" s="179"/>
      <c r="EQK1" s="179"/>
      <c r="EQL1" s="179"/>
      <c r="EQM1" s="179"/>
      <c r="EQN1" s="179"/>
      <c r="EQO1" s="179"/>
      <c r="EQP1" s="179"/>
      <c r="EQQ1" s="179"/>
      <c r="EQR1" s="179"/>
      <c r="EQS1" s="179"/>
      <c r="EQT1" s="179"/>
      <c r="EQU1" s="179"/>
      <c r="EQV1" s="179"/>
      <c r="EQW1" s="179"/>
      <c r="EQX1" s="179"/>
      <c r="EQY1" s="179"/>
      <c r="EQZ1" s="179"/>
      <c r="ERA1" s="179"/>
      <c r="ERB1" s="179"/>
      <c r="ERC1" s="179"/>
      <c r="ERD1" s="179"/>
      <c r="ERE1" s="179"/>
      <c r="ERF1" s="179"/>
      <c r="ERG1" s="179"/>
      <c r="ERH1" s="179"/>
      <c r="ERI1" s="179"/>
      <c r="ERJ1" s="179"/>
      <c r="ERK1" s="179"/>
      <c r="ERL1" s="179"/>
      <c r="ERM1" s="179"/>
      <c r="ERN1" s="179"/>
      <c r="ERO1" s="179"/>
      <c r="ERP1" s="179"/>
      <c r="ERQ1" s="179"/>
      <c r="ERR1" s="179"/>
      <c r="ERS1" s="179"/>
      <c r="ERT1" s="179"/>
      <c r="ERU1" s="179"/>
      <c r="ERV1" s="179"/>
      <c r="ERW1" s="179"/>
      <c r="ERX1" s="179"/>
      <c r="ERY1" s="179"/>
      <c r="ERZ1" s="179"/>
      <c r="ESA1" s="179"/>
      <c r="ESB1" s="179"/>
      <c r="ESC1" s="179"/>
      <c r="ESD1" s="179"/>
      <c r="ESE1" s="179"/>
      <c r="ESF1" s="179"/>
      <c r="ESG1" s="179"/>
      <c r="ESH1" s="179"/>
      <c r="ESI1" s="179"/>
      <c r="ESJ1" s="179"/>
      <c r="ESK1" s="179"/>
      <c r="ESL1" s="179"/>
      <c r="ESM1" s="179"/>
      <c r="ESN1" s="179"/>
      <c r="ESO1" s="179"/>
      <c r="ESP1" s="179"/>
      <c r="ESQ1" s="179"/>
      <c r="ESR1" s="179"/>
      <c r="ESS1" s="179"/>
      <c r="EST1" s="179"/>
      <c r="ESU1" s="179"/>
      <c r="ESV1" s="179"/>
      <c r="ESW1" s="179"/>
      <c r="ESX1" s="179"/>
      <c r="ESY1" s="179"/>
      <c r="ESZ1" s="179"/>
      <c r="ETA1" s="179"/>
      <c r="ETB1" s="179"/>
      <c r="ETC1" s="179"/>
      <c r="ETD1" s="179"/>
      <c r="ETE1" s="179"/>
      <c r="ETF1" s="179"/>
      <c r="ETG1" s="179"/>
      <c r="ETH1" s="179"/>
      <c r="ETI1" s="179"/>
      <c r="ETJ1" s="179"/>
      <c r="ETK1" s="179"/>
      <c r="ETL1" s="179"/>
      <c r="ETM1" s="179"/>
      <c r="ETN1" s="179"/>
      <c r="ETO1" s="179"/>
      <c r="ETP1" s="179"/>
      <c r="ETQ1" s="179"/>
      <c r="ETR1" s="179"/>
      <c r="ETS1" s="179"/>
      <c r="ETT1" s="179"/>
      <c r="ETU1" s="179"/>
      <c r="ETV1" s="179"/>
      <c r="ETW1" s="179"/>
      <c r="ETX1" s="179"/>
      <c r="ETY1" s="179"/>
      <c r="ETZ1" s="179"/>
      <c r="EUA1" s="179"/>
      <c r="EUB1" s="179"/>
      <c r="EUC1" s="179"/>
      <c r="EUD1" s="179"/>
      <c r="EUE1" s="179"/>
      <c r="EUF1" s="179"/>
      <c r="EUG1" s="179"/>
      <c r="EUH1" s="179"/>
      <c r="EUI1" s="179"/>
      <c r="EUJ1" s="179"/>
      <c r="EUK1" s="179"/>
      <c r="EUL1" s="179"/>
      <c r="EUM1" s="179"/>
      <c r="EUN1" s="179"/>
      <c r="EUO1" s="179"/>
      <c r="EUP1" s="179"/>
      <c r="EUQ1" s="179"/>
      <c r="EUR1" s="179"/>
      <c r="EUS1" s="179"/>
      <c r="EUT1" s="179"/>
      <c r="EUU1" s="179"/>
      <c r="EUV1" s="179"/>
      <c r="EUW1" s="179"/>
      <c r="EUX1" s="179"/>
      <c r="EUY1" s="179"/>
      <c r="EUZ1" s="179"/>
      <c r="EVA1" s="179"/>
      <c r="EVB1" s="179"/>
      <c r="EVC1" s="179"/>
      <c r="EVD1" s="179"/>
      <c r="EVE1" s="179"/>
      <c r="EVF1" s="179"/>
      <c r="EVG1" s="179"/>
      <c r="EVH1" s="179"/>
      <c r="EVI1" s="179"/>
      <c r="EVJ1" s="179"/>
      <c r="EVK1" s="179"/>
      <c r="EVL1" s="179"/>
      <c r="EVM1" s="179"/>
      <c r="EVN1" s="179"/>
      <c r="EVO1" s="179"/>
      <c r="EVP1" s="179"/>
      <c r="EVQ1" s="179"/>
      <c r="EVR1" s="179"/>
      <c r="EVS1" s="179"/>
      <c r="EVT1" s="179"/>
      <c r="EVU1" s="179"/>
      <c r="EVV1" s="179"/>
      <c r="EVW1" s="179"/>
      <c r="EVX1" s="179"/>
      <c r="EVY1" s="179"/>
      <c r="EVZ1" s="179"/>
      <c r="EWA1" s="179"/>
      <c r="EWB1" s="179"/>
      <c r="EWC1" s="179"/>
      <c r="EWD1" s="179"/>
      <c r="EWE1" s="179"/>
      <c r="EWF1" s="179"/>
      <c r="EWG1" s="179"/>
      <c r="EWH1" s="179"/>
      <c r="EWI1" s="179"/>
      <c r="EWJ1" s="179"/>
      <c r="EWK1" s="179"/>
      <c r="EWL1" s="179"/>
      <c r="EWM1" s="179"/>
      <c r="EWN1" s="179"/>
      <c r="EWO1" s="179"/>
      <c r="EWP1" s="179"/>
      <c r="EWQ1" s="179"/>
      <c r="EWR1" s="179"/>
      <c r="EWS1" s="179"/>
      <c r="EWT1" s="179"/>
      <c r="EWU1" s="179"/>
      <c r="EWV1" s="179"/>
      <c r="EWW1" s="179"/>
      <c r="EWX1" s="179"/>
      <c r="EWY1" s="179"/>
      <c r="EWZ1" s="179"/>
      <c r="EXA1" s="179"/>
      <c r="EXB1" s="179"/>
      <c r="EXC1" s="179"/>
      <c r="EXD1" s="179"/>
      <c r="EXE1" s="179"/>
      <c r="EXF1" s="179"/>
      <c r="EXG1" s="179"/>
      <c r="EXH1" s="179"/>
      <c r="EXI1" s="179"/>
      <c r="EXJ1" s="179"/>
      <c r="EXK1" s="179"/>
      <c r="EXL1" s="179"/>
      <c r="EXM1" s="179"/>
      <c r="EXN1" s="179"/>
      <c r="EXO1" s="179"/>
      <c r="EXP1" s="179"/>
      <c r="EXQ1" s="179"/>
      <c r="EXR1" s="179"/>
      <c r="EXS1" s="179"/>
      <c r="EXT1" s="179"/>
      <c r="EXU1" s="179"/>
      <c r="EXV1" s="179"/>
      <c r="EXW1" s="179"/>
      <c r="EXX1" s="179"/>
      <c r="EXY1" s="179"/>
      <c r="EXZ1" s="179"/>
      <c r="EYA1" s="179"/>
      <c r="EYB1" s="179"/>
      <c r="EYC1" s="179"/>
      <c r="EYD1" s="179"/>
      <c r="EYE1" s="179"/>
      <c r="EYF1" s="179"/>
      <c r="EYG1" s="179"/>
      <c r="EYH1" s="179"/>
      <c r="EYI1" s="179"/>
      <c r="EYJ1" s="179"/>
      <c r="EYK1" s="179"/>
      <c r="EYL1" s="179"/>
      <c r="EYM1" s="179"/>
      <c r="EYN1" s="179"/>
      <c r="EYO1" s="179"/>
      <c r="EYP1" s="179"/>
      <c r="EYQ1" s="179"/>
      <c r="EYR1" s="179"/>
      <c r="EYS1" s="179"/>
      <c r="EYT1" s="179"/>
      <c r="EYU1" s="179"/>
      <c r="EYV1" s="179"/>
      <c r="EYW1" s="179"/>
      <c r="EYX1" s="179"/>
      <c r="EYY1" s="179"/>
      <c r="EYZ1" s="179"/>
      <c r="EZA1" s="179"/>
      <c r="EZB1" s="179"/>
      <c r="EZC1" s="179"/>
      <c r="EZD1" s="179"/>
      <c r="EZE1" s="179"/>
      <c r="EZF1" s="179"/>
      <c r="EZG1" s="179"/>
      <c r="EZH1" s="179"/>
      <c r="EZI1" s="179"/>
      <c r="EZJ1" s="179"/>
      <c r="EZK1" s="179"/>
      <c r="EZL1" s="179"/>
      <c r="EZM1" s="179"/>
      <c r="EZN1" s="179"/>
      <c r="EZO1" s="179"/>
      <c r="EZP1" s="179"/>
      <c r="EZQ1" s="179"/>
      <c r="EZR1" s="179"/>
      <c r="EZS1" s="179"/>
      <c r="EZT1" s="179"/>
      <c r="EZU1" s="179"/>
      <c r="EZV1" s="179"/>
      <c r="EZW1" s="179"/>
      <c r="EZX1" s="179"/>
      <c r="EZY1" s="179"/>
      <c r="EZZ1" s="179"/>
      <c r="FAA1" s="179"/>
      <c r="FAB1" s="179"/>
      <c r="FAC1" s="179"/>
      <c r="FAD1" s="179"/>
      <c r="FAE1" s="179"/>
      <c r="FAF1" s="179"/>
      <c r="FAG1" s="179"/>
      <c r="FAH1" s="179"/>
      <c r="FAI1" s="179"/>
      <c r="FAJ1" s="179"/>
      <c r="FAK1" s="179"/>
      <c r="FAL1" s="179"/>
      <c r="FAM1" s="179"/>
      <c r="FAN1" s="179"/>
      <c r="FAO1" s="179"/>
      <c r="FAP1" s="179"/>
      <c r="FAQ1" s="179"/>
      <c r="FAR1" s="179"/>
      <c r="FAS1" s="179"/>
      <c r="FAT1" s="179"/>
      <c r="FAU1" s="179"/>
      <c r="FAV1" s="179"/>
      <c r="FAW1" s="179"/>
      <c r="FAX1" s="179"/>
      <c r="FAY1" s="179"/>
      <c r="FAZ1" s="179"/>
      <c r="FBA1" s="179"/>
      <c r="FBB1" s="179"/>
      <c r="FBC1" s="179"/>
      <c r="FBD1" s="179"/>
      <c r="FBE1" s="179"/>
      <c r="FBF1" s="179"/>
      <c r="FBG1" s="179"/>
      <c r="FBH1" s="179"/>
      <c r="FBI1" s="179"/>
      <c r="FBJ1" s="179"/>
      <c r="FBK1" s="179"/>
      <c r="FBL1" s="179"/>
      <c r="FBM1" s="179"/>
      <c r="FBN1" s="179"/>
      <c r="FBO1" s="179"/>
      <c r="FBP1" s="179"/>
      <c r="FBQ1" s="179"/>
      <c r="FBR1" s="179"/>
      <c r="FBS1" s="179"/>
      <c r="FBT1" s="179"/>
      <c r="FBU1" s="179"/>
      <c r="FBV1" s="179"/>
      <c r="FBW1" s="179"/>
      <c r="FBX1" s="179"/>
      <c r="FBY1" s="179"/>
      <c r="FBZ1" s="179"/>
      <c r="FCA1" s="179"/>
      <c r="FCB1" s="179"/>
      <c r="FCC1" s="179"/>
      <c r="FCD1" s="179"/>
      <c r="FCE1" s="179"/>
      <c r="FCF1" s="179"/>
      <c r="FCG1" s="179"/>
      <c r="FCH1" s="179"/>
      <c r="FCI1" s="179"/>
      <c r="FCJ1" s="179"/>
      <c r="FCK1" s="179"/>
      <c r="FCL1" s="179"/>
      <c r="FCM1" s="179"/>
      <c r="FCN1" s="179"/>
      <c r="FCO1" s="179"/>
      <c r="FCP1" s="179"/>
      <c r="FCQ1" s="179"/>
      <c r="FCR1" s="179"/>
      <c r="FCS1" s="179"/>
      <c r="FCT1" s="179"/>
      <c r="FCU1" s="179"/>
      <c r="FCV1" s="179"/>
      <c r="FCW1" s="179"/>
      <c r="FCX1" s="179"/>
      <c r="FCY1" s="179"/>
      <c r="FCZ1" s="179"/>
      <c r="FDA1" s="179"/>
      <c r="FDB1" s="179"/>
      <c r="FDC1" s="179"/>
      <c r="FDD1" s="179"/>
      <c r="FDE1" s="179"/>
      <c r="FDF1" s="179"/>
      <c r="FDG1" s="179"/>
      <c r="FDH1" s="179"/>
      <c r="FDI1" s="179"/>
      <c r="FDJ1" s="179"/>
      <c r="FDK1" s="179"/>
      <c r="FDL1" s="179"/>
      <c r="FDM1" s="179"/>
      <c r="FDN1" s="179"/>
      <c r="FDO1" s="179"/>
      <c r="FDP1" s="179"/>
      <c r="FDQ1" s="179"/>
      <c r="FDR1" s="179"/>
      <c r="FDS1" s="179"/>
      <c r="FDT1" s="179"/>
      <c r="FDU1" s="179"/>
      <c r="FDV1" s="179"/>
      <c r="FDW1" s="179"/>
      <c r="FDX1" s="179"/>
      <c r="FDY1" s="179"/>
      <c r="FDZ1" s="179"/>
      <c r="FEA1" s="179"/>
      <c r="FEB1" s="179"/>
      <c r="FEC1" s="179"/>
      <c r="FED1" s="179"/>
      <c r="FEE1" s="179"/>
      <c r="FEF1" s="179"/>
      <c r="FEG1" s="179"/>
      <c r="FEH1" s="179"/>
      <c r="FEI1" s="179"/>
      <c r="FEJ1" s="179"/>
      <c r="FEK1" s="179"/>
      <c r="FEL1" s="179"/>
      <c r="FEM1" s="179"/>
      <c r="FEN1" s="179"/>
      <c r="FEO1" s="179"/>
      <c r="FEP1" s="179"/>
      <c r="FEQ1" s="179"/>
      <c r="FER1" s="179"/>
      <c r="FES1" s="179"/>
      <c r="FET1" s="179"/>
      <c r="FEU1" s="179"/>
      <c r="FEV1" s="179"/>
      <c r="FEW1" s="179"/>
      <c r="FEX1" s="179"/>
      <c r="FEY1" s="179"/>
      <c r="FEZ1" s="179"/>
      <c r="FFA1" s="179"/>
      <c r="FFB1" s="179"/>
      <c r="FFC1" s="179"/>
      <c r="FFD1" s="179"/>
      <c r="FFE1" s="179"/>
      <c r="FFF1" s="179"/>
      <c r="FFG1" s="179"/>
      <c r="FFH1" s="179"/>
      <c r="FFI1" s="179"/>
      <c r="FFJ1" s="179"/>
      <c r="FFK1" s="179"/>
      <c r="FFL1" s="179"/>
      <c r="FFM1" s="179"/>
      <c r="FFN1" s="179"/>
      <c r="FFO1" s="179"/>
      <c r="FFP1" s="179"/>
      <c r="FFQ1" s="179"/>
      <c r="FFR1" s="179"/>
      <c r="FFS1" s="179"/>
      <c r="FFT1" s="179"/>
      <c r="FFU1" s="179"/>
      <c r="FFV1" s="179"/>
      <c r="FFW1" s="179"/>
      <c r="FFX1" s="179"/>
      <c r="FFY1" s="179"/>
      <c r="FFZ1" s="179"/>
      <c r="FGA1" s="179"/>
      <c r="FGB1" s="179"/>
      <c r="FGC1" s="179"/>
      <c r="FGD1" s="179"/>
      <c r="FGE1" s="179"/>
      <c r="FGF1" s="179"/>
      <c r="FGG1" s="179"/>
      <c r="FGH1" s="179"/>
      <c r="FGI1" s="179"/>
      <c r="FGJ1" s="179"/>
      <c r="FGK1" s="179"/>
      <c r="FGL1" s="179"/>
      <c r="FGM1" s="179"/>
      <c r="FGN1" s="179"/>
      <c r="FGO1" s="179"/>
      <c r="FGP1" s="179"/>
      <c r="FGQ1" s="179"/>
      <c r="FGR1" s="179"/>
      <c r="FGS1" s="179"/>
      <c r="FGT1" s="179"/>
      <c r="FGU1" s="179"/>
      <c r="FGV1" s="179"/>
      <c r="FGW1" s="179"/>
      <c r="FGX1" s="179"/>
      <c r="FGY1" s="179"/>
      <c r="FGZ1" s="179"/>
      <c r="FHA1" s="179"/>
      <c r="FHB1" s="179"/>
      <c r="FHC1" s="179"/>
      <c r="FHD1" s="179"/>
      <c r="FHE1" s="179"/>
      <c r="FHF1" s="179"/>
      <c r="FHG1" s="179"/>
      <c r="FHH1" s="179"/>
      <c r="FHI1" s="179"/>
      <c r="FHJ1" s="179"/>
      <c r="FHK1" s="179"/>
      <c r="FHL1" s="179"/>
      <c r="FHM1" s="179"/>
      <c r="FHN1" s="179"/>
      <c r="FHO1" s="179"/>
      <c r="FHP1" s="179"/>
      <c r="FHQ1" s="179"/>
      <c r="FHR1" s="179"/>
      <c r="FHS1" s="179"/>
      <c r="FHT1" s="179"/>
      <c r="FHU1" s="179"/>
      <c r="FHV1" s="179"/>
      <c r="FHW1" s="179"/>
      <c r="FHX1" s="179"/>
      <c r="FHY1" s="179"/>
      <c r="FHZ1" s="179"/>
      <c r="FIA1" s="179"/>
      <c r="FIB1" s="179"/>
      <c r="FIC1" s="179"/>
      <c r="FID1" s="179"/>
      <c r="FIE1" s="179"/>
      <c r="FIF1" s="179"/>
      <c r="FIG1" s="179"/>
      <c r="FIH1" s="179"/>
      <c r="FII1" s="179"/>
      <c r="FIJ1" s="179"/>
      <c r="FIK1" s="179"/>
      <c r="FIL1" s="179"/>
      <c r="FIM1" s="179"/>
      <c r="FIN1" s="179"/>
      <c r="FIO1" s="179"/>
      <c r="FIP1" s="179"/>
      <c r="FIQ1" s="179"/>
      <c r="FIR1" s="179"/>
      <c r="FIS1" s="179"/>
      <c r="FIT1" s="179"/>
      <c r="FIU1" s="179"/>
      <c r="FIV1" s="179"/>
      <c r="FIW1" s="179"/>
      <c r="FIX1" s="179"/>
      <c r="FIY1" s="179"/>
      <c r="FIZ1" s="179"/>
      <c r="FJA1" s="179"/>
      <c r="FJB1" s="179"/>
      <c r="FJC1" s="179"/>
      <c r="FJD1" s="179"/>
      <c r="FJE1" s="179"/>
      <c r="FJF1" s="179"/>
      <c r="FJG1" s="179"/>
      <c r="FJH1" s="179"/>
      <c r="FJI1" s="179"/>
      <c r="FJJ1" s="179"/>
      <c r="FJK1" s="179"/>
      <c r="FJL1" s="179"/>
      <c r="FJM1" s="179"/>
      <c r="FJN1" s="179"/>
      <c r="FJO1" s="179"/>
      <c r="FJP1" s="179"/>
      <c r="FJQ1" s="179"/>
      <c r="FJR1" s="179"/>
      <c r="FJS1" s="179"/>
      <c r="FJT1" s="179"/>
      <c r="FJU1" s="179"/>
      <c r="FJV1" s="179"/>
      <c r="FJW1" s="179"/>
      <c r="FJX1" s="179"/>
      <c r="FJY1" s="179"/>
      <c r="FJZ1" s="179"/>
      <c r="FKA1" s="179"/>
      <c r="FKB1" s="179"/>
      <c r="FKC1" s="179"/>
      <c r="FKD1" s="179"/>
      <c r="FKE1" s="179"/>
      <c r="FKF1" s="179"/>
      <c r="FKG1" s="179"/>
      <c r="FKH1" s="179"/>
      <c r="FKI1" s="179"/>
      <c r="FKJ1" s="179"/>
      <c r="FKK1" s="179"/>
      <c r="FKL1" s="179"/>
      <c r="FKM1" s="179"/>
      <c r="FKN1" s="179"/>
      <c r="FKO1" s="179"/>
      <c r="FKP1" s="179"/>
      <c r="FKQ1" s="179"/>
      <c r="FKR1" s="179"/>
      <c r="FKS1" s="179"/>
      <c r="FKT1" s="179"/>
      <c r="FKU1" s="179"/>
      <c r="FKV1" s="179"/>
      <c r="FKW1" s="179"/>
      <c r="FKX1" s="179"/>
      <c r="FKY1" s="179"/>
      <c r="FKZ1" s="179"/>
      <c r="FLA1" s="179"/>
      <c r="FLB1" s="179"/>
      <c r="FLC1" s="179"/>
      <c r="FLD1" s="179"/>
      <c r="FLE1" s="179"/>
      <c r="FLF1" s="179"/>
      <c r="FLG1" s="179"/>
      <c r="FLH1" s="179"/>
      <c r="FLI1" s="179"/>
      <c r="FLJ1" s="179"/>
      <c r="FLK1" s="179"/>
      <c r="FLL1" s="179"/>
      <c r="FLM1" s="179"/>
      <c r="FLN1" s="179"/>
      <c r="FLO1" s="179"/>
      <c r="FLP1" s="179"/>
      <c r="FLQ1" s="179"/>
      <c r="FLR1" s="179"/>
      <c r="FLS1" s="179"/>
      <c r="FLT1" s="179"/>
      <c r="FLU1" s="179"/>
      <c r="FLV1" s="179"/>
      <c r="FLW1" s="179"/>
      <c r="FLX1" s="179"/>
      <c r="FLY1" s="179"/>
      <c r="FLZ1" s="179"/>
      <c r="FMA1" s="179"/>
      <c r="FMB1" s="179"/>
      <c r="FMC1" s="179"/>
      <c r="FMD1" s="179"/>
      <c r="FME1" s="179"/>
      <c r="FMF1" s="179"/>
      <c r="FMG1" s="179"/>
      <c r="FMH1" s="179"/>
      <c r="FMI1" s="179"/>
      <c r="FMJ1" s="179"/>
      <c r="FMK1" s="179"/>
      <c r="FML1" s="179"/>
      <c r="FMM1" s="179"/>
      <c r="FMN1" s="179"/>
      <c r="FMO1" s="179"/>
      <c r="FMP1" s="179"/>
      <c r="FMQ1" s="179"/>
      <c r="FMR1" s="179"/>
      <c r="FMS1" s="179"/>
      <c r="FMT1" s="179"/>
      <c r="FMU1" s="179"/>
      <c r="FMV1" s="179"/>
      <c r="FMW1" s="179"/>
      <c r="FMX1" s="179"/>
      <c r="FMY1" s="179"/>
      <c r="FMZ1" s="179"/>
      <c r="FNA1" s="179"/>
      <c r="FNB1" s="179"/>
      <c r="FNC1" s="179"/>
      <c r="FND1" s="179"/>
      <c r="FNE1" s="179"/>
      <c r="FNF1" s="179"/>
      <c r="FNG1" s="179"/>
      <c r="FNH1" s="179"/>
      <c r="FNI1" s="179"/>
      <c r="FNJ1" s="179"/>
      <c r="FNK1" s="179"/>
      <c r="FNL1" s="179"/>
      <c r="FNM1" s="179"/>
      <c r="FNN1" s="179"/>
      <c r="FNO1" s="179"/>
      <c r="FNP1" s="179"/>
      <c r="FNQ1" s="179"/>
      <c r="FNR1" s="179"/>
      <c r="FNS1" s="179"/>
      <c r="FNT1" s="179"/>
      <c r="FNU1" s="179"/>
      <c r="FNV1" s="179"/>
      <c r="FNW1" s="179"/>
      <c r="FNX1" s="179"/>
      <c r="FNY1" s="179"/>
      <c r="FNZ1" s="179"/>
      <c r="FOA1" s="179"/>
      <c r="FOB1" s="179"/>
      <c r="FOC1" s="179"/>
      <c r="FOD1" s="179"/>
      <c r="FOE1" s="179"/>
      <c r="FOF1" s="179"/>
      <c r="FOG1" s="179"/>
      <c r="FOH1" s="179"/>
      <c r="FOI1" s="179"/>
      <c r="FOJ1" s="179"/>
      <c r="FOK1" s="179"/>
      <c r="FOL1" s="179"/>
      <c r="FOM1" s="179"/>
      <c r="FON1" s="179"/>
      <c r="FOO1" s="179"/>
      <c r="FOP1" s="179"/>
      <c r="FOQ1" s="179"/>
      <c r="FOR1" s="179"/>
      <c r="FOS1" s="179"/>
      <c r="FOT1" s="179"/>
      <c r="FOU1" s="179"/>
      <c r="FOV1" s="179"/>
      <c r="FOW1" s="179"/>
      <c r="FOX1" s="179"/>
      <c r="FOY1" s="179"/>
      <c r="FOZ1" s="179"/>
      <c r="FPA1" s="179"/>
      <c r="FPB1" s="179"/>
      <c r="FPC1" s="179"/>
      <c r="FPD1" s="179"/>
      <c r="FPE1" s="179"/>
      <c r="FPF1" s="179"/>
      <c r="FPG1" s="179"/>
      <c r="FPH1" s="179"/>
      <c r="FPI1" s="179"/>
      <c r="FPJ1" s="179"/>
      <c r="FPK1" s="179"/>
      <c r="FPL1" s="179"/>
      <c r="FPM1" s="179"/>
      <c r="FPN1" s="179"/>
      <c r="FPO1" s="179"/>
      <c r="FPP1" s="179"/>
      <c r="FPQ1" s="179"/>
      <c r="FPR1" s="179"/>
      <c r="FPS1" s="179"/>
      <c r="FPT1" s="179"/>
      <c r="FPU1" s="179"/>
      <c r="FPV1" s="179"/>
      <c r="FPW1" s="179"/>
      <c r="FPX1" s="179"/>
      <c r="FPY1" s="179"/>
      <c r="FPZ1" s="179"/>
      <c r="FQA1" s="179"/>
      <c r="FQB1" s="179"/>
      <c r="FQC1" s="179"/>
      <c r="FQD1" s="179"/>
      <c r="FQE1" s="179"/>
      <c r="FQF1" s="179"/>
      <c r="FQG1" s="179"/>
      <c r="FQH1" s="179"/>
      <c r="FQI1" s="179"/>
      <c r="FQJ1" s="179"/>
      <c r="FQK1" s="179"/>
      <c r="FQL1" s="179"/>
      <c r="FQM1" s="179"/>
      <c r="FQN1" s="179"/>
      <c r="FQO1" s="179"/>
      <c r="FQP1" s="179"/>
      <c r="FQQ1" s="179"/>
      <c r="FQR1" s="179"/>
      <c r="FQS1" s="179"/>
      <c r="FQT1" s="179"/>
      <c r="FQU1" s="179"/>
      <c r="FQV1" s="179"/>
      <c r="FQW1" s="179"/>
      <c r="FQX1" s="179"/>
      <c r="FQY1" s="179"/>
      <c r="FQZ1" s="179"/>
      <c r="FRA1" s="179"/>
      <c r="FRB1" s="179"/>
      <c r="FRC1" s="179"/>
      <c r="FRD1" s="179"/>
      <c r="FRE1" s="179"/>
      <c r="FRF1" s="179"/>
      <c r="FRG1" s="179"/>
      <c r="FRH1" s="179"/>
      <c r="FRI1" s="179"/>
      <c r="FRJ1" s="179"/>
      <c r="FRK1" s="179"/>
      <c r="FRL1" s="179"/>
      <c r="FRM1" s="179"/>
      <c r="FRN1" s="179"/>
      <c r="FRO1" s="179"/>
      <c r="FRP1" s="179"/>
      <c r="FRQ1" s="179"/>
      <c r="FRR1" s="179"/>
      <c r="FRS1" s="179"/>
      <c r="FRT1" s="179"/>
      <c r="FRU1" s="179"/>
      <c r="FRV1" s="179"/>
      <c r="FRW1" s="179"/>
      <c r="FRX1" s="179"/>
      <c r="FRY1" s="179"/>
      <c r="FRZ1" s="179"/>
      <c r="FSA1" s="179"/>
      <c r="FSB1" s="179"/>
      <c r="FSC1" s="179"/>
      <c r="FSD1" s="179"/>
      <c r="FSE1" s="179"/>
      <c r="FSF1" s="179"/>
      <c r="FSG1" s="179"/>
      <c r="FSH1" s="179"/>
      <c r="FSI1" s="179"/>
      <c r="FSJ1" s="179"/>
      <c r="FSK1" s="179"/>
      <c r="FSL1" s="179"/>
      <c r="FSM1" s="179"/>
      <c r="FSN1" s="179"/>
      <c r="FSO1" s="179"/>
      <c r="FSP1" s="179"/>
      <c r="FSQ1" s="179"/>
      <c r="FSR1" s="179"/>
      <c r="FSS1" s="179"/>
      <c r="FST1" s="179"/>
      <c r="FSU1" s="179"/>
      <c r="FSV1" s="179"/>
      <c r="FSW1" s="179"/>
      <c r="FSX1" s="179"/>
      <c r="FSY1" s="179"/>
      <c r="FSZ1" s="179"/>
      <c r="FTA1" s="179"/>
      <c r="FTB1" s="179"/>
      <c r="FTC1" s="179"/>
      <c r="FTD1" s="179"/>
      <c r="FTE1" s="179"/>
      <c r="FTF1" s="179"/>
      <c r="FTG1" s="179"/>
      <c r="FTH1" s="179"/>
      <c r="FTI1" s="179"/>
      <c r="FTJ1" s="179"/>
      <c r="FTK1" s="179"/>
      <c r="FTL1" s="179"/>
      <c r="FTM1" s="179"/>
      <c r="FTN1" s="179"/>
      <c r="FTO1" s="179"/>
      <c r="FTP1" s="179"/>
      <c r="FTQ1" s="179"/>
      <c r="FTR1" s="179"/>
      <c r="FTS1" s="179"/>
      <c r="FTT1" s="179"/>
      <c r="FTU1" s="179"/>
      <c r="FTV1" s="179"/>
      <c r="FTW1" s="179"/>
      <c r="FTX1" s="179"/>
      <c r="FTY1" s="179"/>
      <c r="FTZ1" s="179"/>
      <c r="FUA1" s="179"/>
      <c r="FUB1" s="179"/>
      <c r="FUC1" s="179"/>
      <c r="FUD1" s="179"/>
      <c r="FUE1" s="179"/>
      <c r="FUF1" s="179"/>
      <c r="FUG1" s="179"/>
      <c r="FUH1" s="179"/>
      <c r="FUI1" s="179"/>
      <c r="FUJ1" s="179"/>
      <c r="FUK1" s="179"/>
      <c r="FUL1" s="179"/>
      <c r="FUM1" s="179"/>
      <c r="FUN1" s="179"/>
      <c r="FUO1" s="179"/>
      <c r="FUP1" s="179"/>
      <c r="FUQ1" s="179"/>
      <c r="FUR1" s="179"/>
      <c r="FUS1" s="179"/>
      <c r="FUT1" s="179"/>
      <c r="FUU1" s="179"/>
      <c r="FUV1" s="179"/>
      <c r="FUW1" s="179"/>
      <c r="FUX1" s="179"/>
      <c r="FUY1" s="179"/>
      <c r="FUZ1" s="179"/>
      <c r="FVA1" s="179"/>
      <c r="FVB1" s="179"/>
      <c r="FVC1" s="179"/>
      <c r="FVD1" s="179"/>
      <c r="FVE1" s="179"/>
      <c r="FVF1" s="179"/>
      <c r="FVG1" s="179"/>
      <c r="FVH1" s="179"/>
      <c r="FVI1" s="179"/>
      <c r="FVJ1" s="179"/>
      <c r="FVK1" s="179"/>
      <c r="FVL1" s="179"/>
      <c r="FVM1" s="179"/>
      <c r="FVN1" s="179"/>
      <c r="FVO1" s="179"/>
      <c r="FVP1" s="179"/>
      <c r="FVQ1" s="179"/>
      <c r="FVR1" s="179"/>
      <c r="FVS1" s="179"/>
      <c r="FVT1" s="179"/>
      <c r="FVU1" s="179"/>
      <c r="FVV1" s="179"/>
      <c r="FVW1" s="179"/>
      <c r="FVX1" s="179"/>
      <c r="FVY1" s="179"/>
      <c r="FVZ1" s="179"/>
      <c r="FWA1" s="179"/>
      <c r="FWB1" s="179"/>
      <c r="FWC1" s="179"/>
      <c r="FWD1" s="179"/>
      <c r="FWE1" s="179"/>
      <c r="FWF1" s="179"/>
      <c r="FWG1" s="179"/>
      <c r="FWH1" s="179"/>
      <c r="FWI1" s="179"/>
      <c r="FWJ1" s="179"/>
      <c r="FWK1" s="179"/>
      <c r="FWL1" s="179"/>
      <c r="FWM1" s="179"/>
      <c r="FWN1" s="179"/>
      <c r="FWO1" s="179"/>
      <c r="FWP1" s="179"/>
      <c r="FWQ1" s="179"/>
      <c r="FWR1" s="179"/>
      <c r="FWS1" s="179"/>
      <c r="FWT1" s="179"/>
      <c r="FWU1" s="179"/>
      <c r="FWV1" s="179"/>
      <c r="FWW1" s="179"/>
      <c r="FWX1" s="179"/>
      <c r="FWY1" s="179"/>
      <c r="FWZ1" s="179"/>
      <c r="FXA1" s="179"/>
      <c r="FXB1" s="179"/>
      <c r="FXC1" s="179"/>
      <c r="FXD1" s="179"/>
      <c r="FXE1" s="179"/>
      <c r="FXF1" s="179"/>
      <c r="FXG1" s="179"/>
      <c r="FXH1" s="179"/>
      <c r="FXI1" s="179"/>
      <c r="FXJ1" s="179"/>
      <c r="FXK1" s="179"/>
      <c r="FXL1" s="179"/>
      <c r="FXM1" s="179"/>
      <c r="FXN1" s="179"/>
      <c r="FXO1" s="179"/>
      <c r="FXP1" s="179"/>
      <c r="FXQ1" s="179"/>
      <c r="FXR1" s="179"/>
      <c r="FXS1" s="179"/>
      <c r="FXT1" s="179"/>
      <c r="FXU1" s="179"/>
      <c r="FXV1" s="179"/>
      <c r="FXW1" s="179"/>
      <c r="FXX1" s="179"/>
      <c r="FXY1" s="179"/>
      <c r="FXZ1" s="179"/>
      <c r="FYA1" s="179"/>
      <c r="FYB1" s="179"/>
      <c r="FYC1" s="179"/>
      <c r="FYD1" s="179"/>
      <c r="FYE1" s="179"/>
      <c r="FYF1" s="179"/>
      <c r="FYG1" s="179"/>
      <c r="FYH1" s="179"/>
      <c r="FYI1" s="179"/>
      <c r="FYJ1" s="179"/>
      <c r="FYK1" s="179"/>
      <c r="FYL1" s="179"/>
      <c r="FYM1" s="179"/>
      <c r="FYN1" s="179"/>
      <c r="FYO1" s="179"/>
      <c r="FYP1" s="179"/>
      <c r="FYQ1" s="179"/>
      <c r="FYR1" s="179"/>
      <c r="FYS1" s="179"/>
      <c r="FYT1" s="179"/>
      <c r="FYU1" s="179"/>
      <c r="FYV1" s="179"/>
      <c r="FYW1" s="179"/>
      <c r="FYX1" s="179"/>
      <c r="FYY1" s="179"/>
      <c r="FYZ1" s="179"/>
      <c r="FZA1" s="179"/>
      <c r="FZB1" s="179"/>
      <c r="FZC1" s="179"/>
      <c r="FZD1" s="179"/>
      <c r="FZE1" s="179"/>
      <c r="FZF1" s="179"/>
      <c r="FZG1" s="179"/>
      <c r="FZH1" s="179"/>
      <c r="FZI1" s="179"/>
      <c r="FZJ1" s="179"/>
      <c r="FZK1" s="179"/>
      <c r="FZL1" s="179"/>
      <c r="FZM1" s="179"/>
      <c r="FZN1" s="179"/>
      <c r="FZO1" s="179"/>
      <c r="FZP1" s="179"/>
      <c r="FZQ1" s="179"/>
      <c r="FZR1" s="179"/>
      <c r="FZS1" s="179"/>
      <c r="FZT1" s="179"/>
      <c r="FZU1" s="179"/>
      <c r="FZV1" s="179"/>
      <c r="FZW1" s="179"/>
      <c r="FZX1" s="179"/>
      <c r="FZY1" s="179"/>
      <c r="FZZ1" s="179"/>
      <c r="GAA1" s="179"/>
      <c r="GAB1" s="179"/>
      <c r="GAC1" s="179"/>
      <c r="GAD1" s="179"/>
      <c r="GAE1" s="179"/>
      <c r="GAF1" s="179"/>
      <c r="GAG1" s="179"/>
      <c r="GAH1" s="179"/>
      <c r="GAI1" s="179"/>
      <c r="GAJ1" s="179"/>
      <c r="GAK1" s="179"/>
      <c r="GAL1" s="179"/>
      <c r="GAM1" s="179"/>
      <c r="GAN1" s="179"/>
      <c r="GAO1" s="179"/>
      <c r="GAP1" s="179"/>
      <c r="GAQ1" s="179"/>
      <c r="GAR1" s="179"/>
      <c r="GAS1" s="179"/>
      <c r="GAT1" s="179"/>
      <c r="GAU1" s="179"/>
      <c r="GAV1" s="179"/>
      <c r="GAW1" s="179"/>
      <c r="GAX1" s="179"/>
      <c r="GAY1" s="179"/>
      <c r="GAZ1" s="179"/>
      <c r="GBA1" s="179"/>
      <c r="GBB1" s="179"/>
      <c r="GBC1" s="179"/>
      <c r="GBD1" s="179"/>
      <c r="GBE1" s="179"/>
      <c r="GBF1" s="179"/>
      <c r="GBG1" s="179"/>
      <c r="GBH1" s="179"/>
      <c r="GBI1" s="179"/>
      <c r="GBJ1" s="179"/>
      <c r="GBK1" s="179"/>
      <c r="GBL1" s="179"/>
      <c r="GBM1" s="179"/>
      <c r="GBN1" s="179"/>
      <c r="GBO1" s="179"/>
      <c r="GBP1" s="179"/>
      <c r="GBQ1" s="179"/>
      <c r="GBR1" s="179"/>
      <c r="GBS1" s="179"/>
      <c r="GBT1" s="179"/>
      <c r="GBU1" s="179"/>
      <c r="GBV1" s="179"/>
      <c r="GBW1" s="179"/>
      <c r="GBX1" s="179"/>
      <c r="GBY1" s="179"/>
      <c r="GBZ1" s="179"/>
      <c r="GCA1" s="179"/>
      <c r="GCB1" s="179"/>
      <c r="GCC1" s="179"/>
      <c r="GCD1" s="179"/>
      <c r="GCE1" s="179"/>
      <c r="GCF1" s="179"/>
      <c r="GCG1" s="179"/>
      <c r="GCH1" s="179"/>
      <c r="GCI1" s="179"/>
      <c r="GCJ1" s="179"/>
      <c r="GCK1" s="179"/>
      <c r="GCL1" s="179"/>
      <c r="GCM1" s="179"/>
      <c r="GCN1" s="179"/>
      <c r="GCO1" s="179"/>
      <c r="GCP1" s="179"/>
      <c r="GCQ1" s="179"/>
      <c r="GCR1" s="179"/>
      <c r="GCS1" s="179"/>
      <c r="GCT1" s="179"/>
      <c r="GCU1" s="179"/>
      <c r="GCV1" s="179"/>
      <c r="GCW1" s="179"/>
      <c r="GCX1" s="179"/>
      <c r="GCY1" s="179"/>
      <c r="GCZ1" s="179"/>
      <c r="GDA1" s="179"/>
      <c r="GDB1" s="179"/>
      <c r="GDC1" s="179"/>
      <c r="GDD1" s="179"/>
      <c r="GDE1" s="179"/>
      <c r="GDF1" s="179"/>
      <c r="GDG1" s="179"/>
      <c r="GDH1" s="179"/>
      <c r="GDI1" s="179"/>
      <c r="GDJ1" s="179"/>
      <c r="GDK1" s="179"/>
      <c r="GDL1" s="179"/>
      <c r="GDM1" s="179"/>
      <c r="GDN1" s="179"/>
      <c r="GDO1" s="179"/>
      <c r="GDP1" s="179"/>
      <c r="GDQ1" s="179"/>
      <c r="GDR1" s="179"/>
      <c r="GDS1" s="179"/>
      <c r="GDT1" s="179"/>
      <c r="GDU1" s="179"/>
      <c r="GDV1" s="179"/>
      <c r="GDW1" s="179"/>
      <c r="GDX1" s="179"/>
      <c r="GDY1" s="179"/>
      <c r="GDZ1" s="179"/>
      <c r="GEA1" s="179"/>
      <c r="GEB1" s="179"/>
      <c r="GEC1" s="179"/>
      <c r="GED1" s="179"/>
      <c r="GEE1" s="179"/>
      <c r="GEF1" s="179"/>
      <c r="GEG1" s="179"/>
      <c r="GEH1" s="179"/>
      <c r="GEI1" s="179"/>
      <c r="GEJ1" s="179"/>
      <c r="GEK1" s="179"/>
      <c r="GEL1" s="179"/>
      <c r="GEM1" s="179"/>
      <c r="GEN1" s="179"/>
      <c r="GEO1" s="179"/>
      <c r="GEP1" s="179"/>
      <c r="GEQ1" s="179"/>
      <c r="GER1" s="179"/>
      <c r="GES1" s="179"/>
      <c r="GET1" s="179"/>
      <c r="GEU1" s="179"/>
      <c r="GEV1" s="179"/>
      <c r="GEW1" s="179"/>
      <c r="GEX1" s="179"/>
      <c r="GEY1" s="179"/>
      <c r="GEZ1" s="179"/>
      <c r="GFA1" s="179"/>
      <c r="GFB1" s="179"/>
      <c r="GFC1" s="179"/>
      <c r="GFD1" s="179"/>
      <c r="GFE1" s="179"/>
      <c r="GFF1" s="179"/>
      <c r="GFG1" s="179"/>
      <c r="GFH1" s="179"/>
      <c r="GFI1" s="179"/>
      <c r="GFJ1" s="179"/>
      <c r="GFK1" s="179"/>
      <c r="GFL1" s="179"/>
      <c r="GFM1" s="179"/>
      <c r="GFN1" s="179"/>
      <c r="GFO1" s="179"/>
      <c r="GFP1" s="179"/>
      <c r="GFQ1" s="179"/>
      <c r="GFR1" s="179"/>
      <c r="GFS1" s="179"/>
      <c r="GFT1" s="179"/>
      <c r="GFU1" s="179"/>
      <c r="GFV1" s="179"/>
      <c r="GFW1" s="179"/>
      <c r="GFX1" s="179"/>
      <c r="GFY1" s="179"/>
      <c r="GFZ1" s="179"/>
      <c r="GGA1" s="179"/>
      <c r="GGB1" s="179"/>
      <c r="GGC1" s="179"/>
      <c r="GGD1" s="179"/>
      <c r="GGE1" s="179"/>
      <c r="GGF1" s="179"/>
      <c r="GGG1" s="179"/>
      <c r="GGH1" s="179"/>
      <c r="GGI1" s="179"/>
      <c r="GGJ1" s="179"/>
      <c r="GGK1" s="179"/>
      <c r="GGL1" s="179"/>
      <c r="GGM1" s="179"/>
      <c r="GGN1" s="179"/>
      <c r="GGO1" s="179"/>
      <c r="GGP1" s="179"/>
      <c r="GGQ1" s="179"/>
      <c r="GGR1" s="179"/>
      <c r="GGS1" s="179"/>
      <c r="GGT1" s="179"/>
      <c r="GGU1" s="179"/>
      <c r="GGV1" s="179"/>
      <c r="GGW1" s="179"/>
      <c r="GGX1" s="179"/>
      <c r="GGY1" s="179"/>
      <c r="GGZ1" s="179"/>
      <c r="GHA1" s="179"/>
      <c r="GHB1" s="179"/>
      <c r="GHC1" s="179"/>
      <c r="GHD1" s="179"/>
      <c r="GHE1" s="179"/>
      <c r="GHF1" s="179"/>
      <c r="GHG1" s="179"/>
      <c r="GHH1" s="179"/>
      <c r="GHI1" s="179"/>
      <c r="GHJ1" s="179"/>
      <c r="GHK1" s="179"/>
      <c r="GHL1" s="179"/>
      <c r="GHM1" s="179"/>
      <c r="GHN1" s="179"/>
      <c r="GHO1" s="179"/>
      <c r="GHP1" s="179"/>
      <c r="GHQ1" s="179"/>
      <c r="GHR1" s="179"/>
      <c r="GHS1" s="179"/>
      <c r="GHT1" s="179"/>
      <c r="GHU1" s="179"/>
      <c r="GHV1" s="179"/>
      <c r="GHW1" s="179"/>
      <c r="GHX1" s="179"/>
      <c r="GHY1" s="179"/>
      <c r="GHZ1" s="179"/>
      <c r="GIA1" s="179"/>
      <c r="GIB1" s="179"/>
      <c r="GIC1" s="179"/>
      <c r="GID1" s="179"/>
      <c r="GIE1" s="179"/>
      <c r="GIF1" s="179"/>
      <c r="GIG1" s="179"/>
      <c r="GIH1" s="179"/>
      <c r="GII1" s="179"/>
      <c r="GIJ1" s="179"/>
      <c r="GIK1" s="179"/>
      <c r="GIL1" s="179"/>
      <c r="GIM1" s="179"/>
      <c r="GIN1" s="179"/>
      <c r="GIO1" s="179"/>
      <c r="GIP1" s="179"/>
      <c r="GIQ1" s="179"/>
      <c r="GIR1" s="179"/>
      <c r="GIS1" s="179"/>
      <c r="GIT1" s="179"/>
      <c r="GIU1" s="179"/>
      <c r="GIV1" s="179"/>
      <c r="GIW1" s="179"/>
      <c r="GIX1" s="179"/>
      <c r="GIY1" s="179"/>
      <c r="GIZ1" s="179"/>
      <c r="GJA1" s="179"/>
      <c r="GJB1" s="179"/>
      <c r="GJC1" s="179"/>
      <c r="GJD1" s="179"/>
      <c r="GJE1" s="179"/>
      <c r="GJF1" s="179"/>
      <c r="GJG1" s="179"/>
      <c r="GJH1" s="179"/>
      <c r="GJI1" s="179"/>
      <c r="GJJ1" s="179"/>
      <c r="GJK1" s="179"/>
      <c r="GJL1" s="179"/>
      <c r="GJM1" s="179"/>
      <c r="GJN1" s="179"/>
      <c r="GJO1" s="179"/>
      <c r="GJP1" s="179"/>
      <c r="GJQ1" s="179"/>
      <c r="GJR1" s="179"/>
      <c r="GJS1" s="179"/>
      <c r="GJT1" s="179"/>
      <c r="GJU1" s="179"/>
      <c r="GJV1" s="179"/>
      <c r="GJW1" s="179"/>
      <c r="GJX1" s="179"/>
      <c r="GJY1" s="179"/>
      <c r="GJZ1" s="179"/>
      <c r="GKA1" s="179"/>
      <c r="GKB1" s="179"/>
      <c r="GKC1" s="179"/>
      <c r="GKD1" s="179"/>
      <c r="GKE1" s="179"/>
      <c r="GKF1" s="179"/>
      <c r="GKG1" s="179"/>
      <c r="GKH1" s="179"/>
      <c r="GKI1" s="179"/>
      <c r="GKJ1" s="179"/>
      <c r="GKK1" s="179"/>
      <c r="GKL1" s="179"/>
      <c r="GKM1" s="179"/>
      <c r="GKN1" s="179"/>
      <c r="GKO1" s="179"/>
      <c r="GKP1" s="179"/>
      <c r="GKQ1" s="179"/>
      <c r="GKR1" s="179"/>
      <c r="GKS1" s="179"/>
      <c r="GKT1" s="179"/>
      <c r="GKU1" s="179"/>
      <c r="GKV1" s="179"/>
      <c r="GKW1" s="179"/>
      <c r="GKX1" s="179"/>
      <c r="GKY1" s="179"/>
      <c r="GKZ1" s="179"/>
      <c r="GLA1" s="179"/>
      <c r="GLB1" s="179"/>
      <c r="GLC1" s="179"/>
      <c r="GLD1" s="179"/>
      <c r="GLE1" s="179"/>
      <c r="GLF1" s="179"/>
      <c r="GLG1" s="179"/>
      <c r="GLH1" s="179"/>
      <c r="GLI1" s="179"/>
      <c r="GLJ1" s="179"/>
      <c r="GLK1" s="179"/>
      <c r="GLL1" s="179"/>
      <c r="GLM1" s="179"/>
      <c r="GLN1" s="179"/>
      <c r="GLO1" s="179"/>
      <c r="GLP1" s="179"/>
      <c r="GLQ1" s="179"/>
      <c r="GLR1" s="179"/>
      <c r="GLS1" s="179"/>
      <c r="GLT1" s="179"/>
      <c r="GLU1" s="179"/>
      <c r="GLV1" s="179"/>
      <c r="GLW1" s="179"/>
      <c r="GLX1" s="179"/>
      <c r="GLY1" s="179"/>
      <c r="GLZ1" s="179"/>
      <c r="GMA1" s="179"/>
      <c r="GMB1" s="179"/>
      <c r="GMC1" s="179"/>
      <c r="GMD1" s="179"/>
      <c r="GME1" s="179"/>
      <c r="GMF1" s="179"/>
      <c r="GMG1" s="179"/>
      <c r="GMH1" s="179"/>
      <c r="GMI1" s="179"/>
      <c r="GMJ1" s="179"/>
      <c r="GMK1" s="179"/>
      <c r="GML1" s="179"/>
      <c r="GMM1" s="179"/>
      <c r="GMN1" s="179"/>
      <c r="GMO1" s="179"/>
      <c r="GMP1" s="179"/>
      <c r="GMQ1" s="179"/>
      <c r="GMR1" s="179"/>
      <c r="GMS1" s="179"/>
      <c r="GMT1" s="179"/>
      <c r="GMU1" s="179"/>
      <c r="GMV1" s="179"/>
      <c r="GMW1" s="179"/>
      <c r="GMX1" s="179"/>
      <c r="GMY1" s="179"/>
      <c r="GMZ1" s="179"/>
      <c r="GNA1" s="179"/>
      <c r="GNB1" s="179"/>
      <c r="GNC1" s="179"/>
      <c r="GND1" s="179"/>
      <c r="GNE1" s="179"/>
      <c r="GNF1" s="179"/>
      <c r="GNG1" s="179"/>
      <c r="GNH1" s="179"/>
      <c r="GNI1" s="179"/>
      <c r="GNJ1" s="179"/>
      <c r="GNK1" s="179"/>
      <c r="GNL1" s="179"/>
      <c r="GNM1" s="179"/>
      <c r="GNN1" s="179"/>
      <c r="GNO1" s="179"/>
      <c r="GNP1" s="179"/>
      <c r="GNQ1" s="179"/>
      <c r="GNR1" s="179"/>
      <c r="GNS1" s="179"/>
      <c r="GNT1" s="179"/>
      <c r="GNU1" s="179"/>
      <c r="GNV1" s="179"/>
      <c r="GNW1" s="179"/>
      <c r="GNX1" s="179"/>
      <c r="GNY1" s="179"/>
      <c r="GNZ1" s="179"/>
      <c r="GOA1" s="179"/>
      <c r="GOB1" s="179"/>
      <c r="GOC1" s="179"/>
      <c r="GOD1" s="179"/>
      <c r="GOE1" s="179"/>
      <c r="GOF1" s="179"/>
      <c r="GOG1" s="179"/>
      <c r="GOH1" s="179"/>
      <c r="GOI1" s="179"/>
      <c r="GOJ1" s="179"/>
      <c r="GOK1" s="179"/>
      <c r="GOL1" s="179"/>
      <c r="GOM1" s="179"/>
      <c r="GON1" s="179"/>
      <c r="GOO1" s="179"/>
      <c r="GOP1" s="179"/>
      <c r="GOQ1" s="179"/>
      <c r="GOR1" s="179"/>
      <c r="GOS1" s="179"/>
      <c r="GOT1" s="179"/>
      <c r="GOU1" s="179"/>
      <c r="GOV1" s="179"/>
      <c r="GOW1" s="179"/>
      <c r="GOX1" s="179"/>
      <c r="GOY1" s="179"/>
      <c r="GOZ1" s="179"/>
      <c r="GPA1" s="179"/>
      <c r="GPB1" s="179"/>
      <c r="GPC1" s="179"/>
      <c r="GPD1" s="179"/>
      <c r="GPE1" s="179"/>
      <c r="GPF1" s="179"/>
      <c r="GPG1" s="179"/>
      <c r="GPH1" s="179"/>
      <c r="GPI1" s="179"/>
      <c r="GPJ1" s="179"/>
      <c r="GPK1" s="179"/>
      <c r="GPL1" s="179"/>
      <c r="GPM1" s="179"/>
      <c r="GPN1" s="179"/>
      <c r="GPO1" s="179"/>
      <c r="GPP1" s="179"/>
      <c r="GPQ1" s="179"/>
      <c r="GPR1" s="179"/>
      <c r="GPS1" s="179"/>
      <c r="GPT1" s="179"/>
      <c r="GPU1" s="179"/>
      <c r="GPV1" s="179"/>
      <c r="GPW1" s="179"/>
      <c r="GPX1" s="179"/>
      <c r="GPY1" s="179"/>
      <c r="GPZ1" s="179"/>
      <c r="GQA1" s="179"/>
      <c r="GQB1" s="179"/>
      <c r="GQC1" s="179"/>
      <c r="GQD1" s="179"/>
      <c r="GQE1" s="179"/>
      <c r="GQF1" s="179"/>
      <c r="GQG1" s="179"/>
      <c r="GQH1" s="179"/>
      <c r="GQI1" s="179"/>
      <c r="GQJ1" s="179"/>
      <c r="GQK1" s="179"/>
      <c r="GQL1" s="179"/>
      <c r="GQM1" s="179"/>
      <c r="GQN1" s="179"/>
      <c r="GQO1" s="179"/>
      <c r="GQP1" s="179"/>
      <c r="GQQ1" s="179"/>
      <c r="GQR1" s="179"/>
      <c r="GQS1" s="179"/>
      <c r="GQT1" s="179"/>
      <c r="GQU1" s="179"/>
      <c r="GQV1" s="179"/>
      <c r="GQW1" s="179"/>
      <c r="GQX1" s="179"/>
      <c r="GQY1" s="179"/>
      <c r="GQZ1" s="179"/>
      <c r="GRA1" s="179"/>
      <c r="GRB1" s="179"/>
      <c r="GRC1" s="179"/>
      <c r="GRD1" s="179"/>
      <c r="GRE1" s="179"/>
      <c r="GRF1" s="179"/>
      <c r="GRG1" s="179"/>
      <c r="GRH1" s="179"/>
      <c r="GRI1" s="179"/>
      <c r="GRJ1" s="179"/>
      <c r="GRK1" s="179"/>
      <c r="GRL1" s="179"/>
      <c r="GRM1" s="179"/>
      <c r="GRN1" s="179"/>
      <c r="GRO1" s="179"/>
      <c r="GRP1" s="179"/>
      <c r="GRQ1" s="179"/>
      <c r="GRR1" s="179"/>
      <c r="GRS1" s="179"/>
      <c r="GRT1" s="179"/>
      <c r="GRU1" s="179"/>
      <c r="GRV1" s="179"/>
      <c r="GRW1" s="179"/>
      <c r="GRX1" s="179"/>
      <c r="GRY1" s="179"/>
      <c r="GRZ1" s="179"/>
      <c r="GSA1" s="179"/>
      <c r="GSB1" s="179"/>
      <c r="GSC1" s="179"/>
      <c r="GSD1" s="179"/>
      <c r="GSE1" s="179"/>
      <c r="GSF1" s="179"/>
      <c r="GSG1" s="179"/>
      <c r="GSH1" s="179"/>
      <c r="GSI1" s="179"/>
      <c r="GSJ1" s="179"/>
      <c r="GSK1" s="179"/>
      <c r="GSL1" s="179"/>
      <c r="GSM1" s="179"/>
      <c r="GSN1" s="179"/>
      <c r="GSO1" s="179"/>
      <c r="GSP1" s="179"/>
      <c r="GSQ1" s="179"/>
      <c r="GSR1" s="179"/>
      <c r="GSS1" s="179"/>
      <c r="GST1" s="179"/>
      <c r="GSU1" s="179"/>
      <c r="GSV1" s="179"/>
      <c r="GSW1" s="179"/>
      <c r="GSX1" s="179"/>
      <c r="GSY1" s="179"/>
      <c r="GSZ1" s="179"/>
      <c r="GTA1" s="179"/>
      <c r="GTB1" s="179"/>
      <c r="GTC1" s="179"/>
      <c r="GTD1" s="179"/>
      <c r="GTE1" s="179"/>
      <c r="GTF1" s="179"/>
      <c r="GTG1" s="179"/>
      <c r="GTH1" s="179"/>
      <c r="GTI1" s="179"/>
      <c r="GTJ1" s="179"/>
      <c r="GTK1" s="179"/>
      <c r="GTL1" s="179"/>
      <c r="GTM1" s="179"/>
      <c r="GTN1" s="179"/>
      <c r="GTO1" s="179"/>
      <c r="GTP1" s="179"/>
      <c r="GTQ1" s="179"/>
      <c r="GTR1" s="179"/>
      <c r="GTS1" s="179"/>
      <c r="GTT1" s="179"/>
      <c r="GTU1" s="179"/>
      <c r="GTV1" s="179"/>
      <c r="GTW1" s="179"/>
      <c r="GTX1" s="179"/>
      <c r="GTY1" s="179"/>
      <c r="GTZ1" s="179"/>
      <c r="GUA1" s="179"/>
      <c r="GUB1" s="179"/>
      <c r="GUC1" s="179"/>
      <c r="GUD1" s="179"/>
      <c r="GUE1" s="179"/>
      <c r="GUF1" s="179"/>
      <c r="GUG1" s="179"/>
      <c r="GUH1" s="179"/>
      <c r="GUI1" s="179"/>
      <c r="GUJ1" s="179"/>
      <c r="GUK1" s="179"/>
      <c r="GUL1" s="179"/>
      <c r="GUM1" s="179"/>
      <c r="GUN1" s="179"/>
      <c r="GUO1" s="179"/>
      <c r="GUP1" s="179"/>
      <c r="GUQ1" s="179"/>
      <c r="GUR1" s="179"/>
      <c r="GUS1" s="179"/>
      <c r="GUT1" s="179"/>
      <c r="GUU1" s="179"/>
      <c r="GUV1" s="179"/>
      <c r="GUW1" s="179"/>
      <c r="GUX1" s="179"/>
      <c r="GUY1" s="179"/>
      <c r="GUZ1" s="179"/>
      <c r="GVA1" s="179"/>
      <c r="GVB1" s="179"/>
      <c r="GVC1" s="179"/>
      <c r="GVD1" s="179"/>
      <c r="GVE1" s="179"/>
      <c r="GVF1" s="179"/>
      <c r="GVG1" s="179"/>
      <c r="GVH1" s="179"/>
      <c r="GVI1" s="179"/>
      <c r="GVJ1" s="179"/>
      <c r="GVK1" s="179"/>
      <c r="GVL1" s="179"/>
      <c r="GVM1" s="179"/>
      <c r="GVN1" s="179"/>
      <c r="GVO1" s="179"/>
      <c r="GVP1" s="179"/>
      <c r="GVQ1" s="179"/>
      <c r="GVR1" s="179"/>
      <c r="GVS1" s="179"/>
      <c r="GVT1" s="179"/>
      <c r="GVU1" s="179"/>
      <c r="GVV1" s="179"/>
      <c r="GVW1" s="179"/>
      <c r="GVX1" s="179"/>
      <c r="GVY1" s="179"/>
      <c r="GVZ1" s="179"/>
      <c r="GWA1" s="179"/>
      <c r="GWB1" s="179"/>
      <c r="GWC1" s="179"/>
      <c r="GWD1" s="179"/>
      <c r="GWE1" s="179"/>
      <c r="GWF1" s="179"/>
      <c r="GWG1" s="179"/>
      <c r="GWH1" s="179"/>
      <c r="GWI1" s="179"/>
      <c r="GWJ1" s="179"/>
      <c r="GWK1" s="179"/>
      <c r="GWL1" s="179"/>
      <c r="GWM1" s="179"/>
      <c r="GWN1" s="179"/>
      <c r="GWO1" s="179"/>
      <c r="GWP1" s="179"/>
      <c r="GWQ1" s="179"/>
      <c r="GWR1" s="179"/>
      <c r="GWS1" s="179"/>
      <c r="GWT1" s="179"/>
      <c r="GWU1" s="179"/>
      <c r="GWV1" s="179"/>
      <c r="GWW1" s="179"/>
      <c r="GWX1" s="179"/>
      <c r="GWY1" s="179"/>
      <c r="GWZ1" s="179"/>
      <c r="GXA1" s="179"/>
      <c r="GXB1" s="179"/>
      <c r="GXC1" s="179"/>
      <c r="GXD1" s="179"/>
      <c r="GXE1" s="179"/>
      <c r="GXF1" s="179"/>
      <c r="GXG1" s="179"/>
      <c r="GXH1" s="179"/>
      <c r="GXI1" s="179"/>
      <c r="GXJ1" s="179"/>
      <c r="GXK1" s="179"/>
      <c r="GXL1" s="179"/>
      <c r="GXM1" s="179"/>
      <c r="GXN1" s="179"/>
      <c r="GXO1" s="179"/>
      <c r="GXP1" s="179"/>
      <c r="GXQ1" s="179"/>
      <c r="GXR1" s="179"/>
      <c r="GXS1" s="179"/>
      <c r="GXT1" s="179"/>
      <c r="GXU1" s="179"/>
      <c r="GXV1" s="179"/>
      <c r="GXW1" s="179"/>
      <c r="GXX1" s="179"/>
      <c r="GXY1" s="179"/>
      <c r="GXZ1" s="179"/>
      <c r="GYA1" s="179"/>
      <c r="GYB1" s="179"/>
      <c r="GYC1" s="179"/>
      <c r="GYD1" s="179"/>
      <c r="GYE1" s="179"/>
      <c r="GYF1" s="179"/>
      <c r="GYG1" s="179"/>
      <c r="GYH1" s="179"/>
      <c r="GYI1" s="179"/>
      <c r="GYJ1" s="179"/>
      <c r="GYK1" s="179"/>
      <c r="GYL1" s="179"/>
      <c r="GYM1" s="179"/>
      <c r="GYN1" s="179"/>
      <c r="GYO1" s="179"/>
      <c r="GYP1" s="179"/>
      <c r="GYQ1" s="179"/>
      <c r="GYR1" s="179"/>
      <c r="GYS1" s="179"/>
      <c r="GYT1" s="179"/>
      <c r="GYU1" s="179"/>
      <c r="GYV1" s="179"/>
      <c r="GYW1" s="179"/>
      <c r="GYX1" s="179"/>
      <c r="GYY1" s="179"/>
      <c r="GYZ1" s="179"/>
      <c r="GZA1" s="179"/>
      <c r="GZB1" s="179"/>
      <c r="GZC1" s="179"/>
      <c r="GZD1" s="179"/>
      <c r="GZE1" s="179"/>
      <c r="GZF1" s="179"/>
      <c r="GZG1" s="179"/>
      <c r="GZH1" s="179"/>
      <c r="GZI1" s="179"/>
      <c r="GZJ1" s="179"/>
      <c r="GZK1" s="179"/>
      <c r="GZL1" s="179"/>
      <c r="GZM1" s="179"/>
      <c r="GZN1" s="179"/>
      <c r="GZO1" s="179"/>
      <c r="GZP1" s="179"/>
      <c r="GZQ1" s="179"/>
      <c r="GZR1" s="179"/>
      <c r="GZS1" s="179"/>
      <c r="GZT1" s="179"/>
      <c r="GZU1" s="179"/>
      <c r="GZV1" s="179"/>
      <c r="GZW1" s="179"/>
      <c r="GZX1" s="179"/>
      <c r="GZY1" s="179"/>
      <c r="GZZ1" s="179"/>
      <c r="HAA1" s="179"/>
      <c r="HAB1" s="179"/>
      <c r="HAC1" s="179"/>
      <c r="HAD1" s="179"/>
      <c r="HAE1" s="179"/>
      <c r="HAF1" s="179"/>
      <c r="HAG1" s="179"/>
      <c r="HAH1" s="179"/>
      <c r="HAI1" s="179"/>
      <c r="HAJ1" s="179"/>
      <c r="HAK1" s="179"/>
      <c r="HAL1" s="179"/>
      <c r="HAM1" s="179"/>
      <c r="HAN1" s="179"/>
      <c r="HAO1" s="179"/>
      <c r="HAP1" s="179"/>
      <c r="HAQ1" s="179"/>
      <c r="HAR1" s="179"/>
      <c r="HAS1" s="179"/>
      <c r="HAT1" s="179"/>
      <c r="HAU1" s="179"/>
      <c r="HAV1" s="179"/>
      <c r="HAW1" s="179"/>
      <c r="HAX1" s="179"/>
      <c r="HAY1" s="179"/>
      <c r="HAZ1" s="179"/>
      <c r="HBA1" s="179"/>
      <c r="HBB1" s="179"/>
      <c r="HBC1" s="179"/>
      <c r="HBD1" s="179"/>
      <c r="HBE1" s="179"/>
      <c r="HBF1" s="179"/>
      <c r="HBG1" s="179"/>
      <c r="HBH1" s="179"/>
      <c r="HBI1" s="179"/>
      <c r="HBJ1" s="179"/>
      <c r="HBK1" s="179"/>
      <c r="HBL1" s="179"/>
      <c r="HBM1" s="179"/>
      <c r="HBN1" s="179"/>
      <c r="HBO1" s="179"/>
      <c r="HBP1" s="179"/>
      <c r="HBQ1" s="179"/>
      <c r="HBR1" s="179"/>
      <c r="HBS1" s="179"/>
      <c r="HBT1" s="179"/>
      <c r="HBU1" s="179"/>
      <c r="HBV1" s="179"/>
      <c r="HBW1" s="179"/>
      <c r="HBX1" s="179"/>
      <c r="HBY1" s="179"/>
      <c r="HBZ1" s="179"/>
      <c r="HCA1" s="179"/>
      <c r="HCB1" s="179"/>
      <c r="HCC1" s="179"/>
      <c r="HCD1" s="179"/>
      <c r="HCE1" s="179"/>
      <c r="HCF1" s="179"/>
      <c r="HCG1" s="179"/>
      <c r="HCH1" s="179"/>
      <c r="HCI1" s="179"/>
      <c r="HCJ1" s="179"/>
      <c r="HCK1" s="179"/>
      <c r="HCL1" s="179"/>
      <c r="HCM1" s="179"/>
      <c r="HCN1" s="179"/>
      <c r="HCO1" s="179"/>
      <c r="HCP1" s="179"/>
      <c r="HCQ1" s="179"/>
      <c r="HCR1" s="179"/>
      <c r="HCS1" s="179"/>
      <c r="HCT1" s="179"/>
      <c r="HCU1" s="179"/>
      <c r="HCV1" s="179"/>
      <c r="HCW1" s="179"/>
      <c r="HCX1" s="179"/>
      <c r="HCY1" s="179"/>
      <c r="HCZ1" s="179"/>
      <c r="HDA1" s="179"/>
      <c r="HDB1" s="179"/>
      <c r="HDC1" s="179"/>
      <c r="HDD1" s="179"/>
      <c r="HDE1" s="179"/>
      <c r="HDF1" s="179"/>
      <c r="HDG1" s="179"/>
      <c r="HDH1" s="179"/>
      <c r="HDI1" s="179"/>
      <c r="HDJ1" s="179"/>
      <c r="HDK1" s="179"/>
      <c r="HDL1" s="179"/>
      <c r="HDM1" s="179"/>
      <c r="HDN1" s="179"/>
      <c r="HDO1" s="179"/>
      <c r="HDP1" s="179"/>
      <c r="HDQ1" s="179"/>
      <c r="HDR1" s="179"/>
      <c r="HDS1" s="179"/>
      <c r="HDT1" s="179"/>
      <c r="HDU1" s="179"/>
      <c r="HDV1" s="179"/>
      <c r="HDW1" s="179"/>
      <c r="HDX1" s="179"/>
      <c r="HDY1" s="179"/>
      <c r="HDZ1" s="179"/>
      <c r="HEA1" s="179"/>
      <c r="HEB1" s="179"/>
      <c r="HEC1" s="179"/>
      <c r="HED1" s="179"/>
      <c r="HEE1" s="179"/>
      <c r="HEF1" s="179"/>
      <c r="HEG1" s="179"/>
      <c r="HEH1" s="179"/>
      <c r="HEI1" s="179"/>
      <c r="HEJ1" s="179"/>
      <c r="HEK1" s="179"/>
      <c r="HEL1" s="179"/>
      <c r="HEM1" s="179"/>
      <c r="HEN1" s="179"/>
      <c r="HEO1" s="179"/>
      <c r="HEP1" s="179"/>
      <c r="HEQ1" s="179"/>
      <c r="HER1" s="179"/>
      <c r="HES1" s="179"/>
      <c r="HET1" s="179"/>
      <c r="HEU1" s="179"/>
      <c r="HEV1" s="179"/>
      <c r="HEW1" s="179"/>
      <c r="HEX1" s="179"/>
      <c r="HEY1" s="179"/>
      <c r="HEZ1" s="179"/>
      <c r="HFA1" s="179"/>
      <c r="HFB1" s="179"/>
      <c r="HFC1" s="179"/>
      <c r="HFD1" s="179"/>
      <c r="HFE1" s="179"/>
      <c r="HFF1" s="179"/>
      <c r="HFG1" s="179"/>
      <c r="HFH1" s="179"/>
      <c r="HFI1" s="179"/>
      <c r="HFJ1" s="179"/>
      <c r="HFK1" s="179"/>
      <c r="HFL1" s="179"/>
      <c r="HFM1" s="179"/>
      <c r="HFN1" s="179"/>
      <c r="HFO1" s="179"/>
      <c r="HFP1" s="179"/>
      <c r="HFQ1" s="179"/>
      <c r="HFR1" s="179"/>
      <c r="HFS1" s="179"/>
      <c r="HFT1" s="179"/>
      <c r="HFU1" s="179"/>
      <c r="HFV1" s="179"/>
      <c r="HFW1" s="179"/>
      <c r="HFX1" s="179"/>
      <c r="HFY1" s="179"/>
      <c r="HFZ1" s="179"/>
      <c r="HGA1" s="179"/>
      <c r="HGB1" s="179"/>
      <c r="HGC1" s="179"/>
      <c r="HGD1" s="179"/>
      <c r="HGE1" s="179"/>
      <c r="HGF1" s="179"/>
      <c r="HGG1" s="179"/>
      <c r="HGH1" s="179"/>
      <c r="HGI1" s="179"/>
      <c r="HGJ1" s="179"/>
      <c r="HGK1" s="179"/>
      <c r="HGL1" s="179"/>
      <c r="HGM1" s="179"/>
      <c r="HGN1" s="179"/>
      <c r="HGO1" s="179"/>
      <c r="HGP1" s="179"/>
      <c r="HGQ1" s="179"/>
      <c r="HGR1" s="179"/>
      <c r="HGS1" s="179"/>
      <c r="HGT1" s="179"/>
      <c r="HGU1" s="179"/>
      <c r="HGV1" s="179"/>
      <c r="HGW1" s="179"/>
      <c r="HGX1" s="179"/>
      <c r="HGY1" s="179"/>
      <c r="HGZ1" s="179"/>
      <c r="HHA1" s="179"/>
      <c r="HHB1" s="179"/>
      <c r="HHC1" s="179"/>
      <c r="HHD1" s="179"/>
      <c r="HHE1" s="179"/>
      <c r="HHF1" s="179"/>
      <c r="HHG1" s="179"/>
      <c r="HHH1" s="179"/>
      <c r="HHI1" s="179"/>
      <c r="HHJ1" s="179"/>
      <c r="HHK1" s="179"/>
      <c r="HHL1" s="179"/>
      <c r="HHM1" s="179"/>
      <c r="HHN1" s="179"/>
      <c r="HHO1" s="179"/>
      <c r="HHP1" s="179"/>
      <c r="HHQ1" s="179"/>
      <c r="HHR1" s="179"/>
      <c r="HHS1" s="179"/>
      <c r="HHT1" s="179"/>
      <c r="HHU1" s="179"/>
      <c r="HHV1" s="179"/>
      <c r="HHW1" s="179"/>
      <c r="HHX1" s="179"/>
      <c r="HHY1" s="179"/>
      <c r="HHZ1" s="179"/>
      <c r="HIA1" s="179"/>
      <c r="HIB1" s="179"/>
      <c r="HIC1" s="179"/>
      <c r="HID1" s="179"/>
      <c r="HIE1" s="179"/>
      <c r="HIF1" s="179"/>
      <c r="HIG1" s="179"/>
      <c r="HIH1" s="179"/>
      <c r="HII1" s="179"/>
      <c r="HIJ1" s="179"/>
      <c r="HIK1" s="179"/>
      <c r="HIL1" s="179"/>
      <c r="HIM1" s="179"/>
      <c r="HIN1" s="179"/>
      <c r="HIO1" s="179"/>
      <c r="HIP1" s="179"/>
      <c r="HIQ1" s="179"/>
      <c r="HIR1" s="179"/>
      <c r="HIS1" s="179"/>
      <c r="HIT1" s="179"/>
      <c r="HIU1" s="179"/>
      <c r="HIV1" s="179"/>
      <c r="HIW1" s="179"/>
      <c r="HIX1" s="179"/>
      <c r="HIY1" s="179"/>
      <c r="HIZ1" s="179"/>
      <c r="HJA1" s="179"/>
      <c r="HJB1" s="179"/>
      <c r="HJC1" s="179"/>
      <c r="HJD1" s="179"/>
      <c r="HJE1" s="179"/>
      <c r="HJF1" s="179"/>
      <c r="HJG1" s="179"/>
      <c r="HJH1" s="179"/>
      <c r="HJI1" s="179"/>
      <c r="HJJ1" s="179"/>
      <c r="HJK1" s="179"/>
      <c r="HJL1" s="179"/>
      <c r="HJM1" s="179"/>
      <c r="HJN1" s="179"/>
      <c r="HJO1" s="179"/>
      <c r="HJP1" s="179"/>
      <c r="HJQ1" s="179"/>
      <c r="HJR1" s="179"/>
      <c r="HJS1" s="179"/>
      <c r="HJT1" s="179"/>
      <c r="HJU1" s="179"/>
      <c r="HJV1" s="179"/>
      <c r="HJW1" s="179"/>
      <c r="HJX1" s="179"/>
      <c r="HJY1" s="179"/>
      <c r="HJZ1" s="179"/>
      <c r="HKA1" s="179"/>
      <c r="HKB1" s="179"/>
      <c r="HKC1" s="179"/>
      <c r="HKD1" s="179"/>
      <c r="HKE1" s="179"/>
      <c r="HKF1" s="179"/>
      <c r="HKG1" s="179"/>
      <c r="HKH1" s="179"/>
      <c r="HKI1" s="179"/>
      <c r="HKJ1" s="179"/>
      <c r="HKK1" s="179"/>
      <c r="HKL1" s="179"/>
      <c r="HKM1" s="179"/>
      <c r="HKN1" s="179"/>
      <c r="HKO1" s="179"/>
      <c r="HKP1" s="179"/>
      <c r="HKQ1" s="179"/>
      <c r="HKR1" s="179"/>
      <c r="HKS1" s="179"/>
      <c r="HKT1" s="179"/>
      <c r="HKU1" s="179"/>
      <c r="HKV1" s="179"/>
      <c r="HKW1" s="179"/>
      <c r="HKX1" s="179"/>
      <c r="HKY1" s="179"/>
      <c r="HKZ1" s="179"/>
      <c r="HLA1" s="179"/>
      <c r="HLB1" s="179"/>
      <c r="HLC1" s="179"/>
      <c r="HLD1" s="179"/>
      <c r="HLE1" s="179"/>
      <c r="HLF1" s="179"/>
      <c r="HLG1" s="179"/>
      <c r="HLH1" s="179"/>
      <c r="HLI1" s="179"/>
      <c r="HLJ1" s="179"/>
      <c r="HLK1" s="179"/>
      <c r="HLL1" s="179"/>
      <c r="HLM1" s="179"/>
      <c r="HLN1" s="179"/>
      <c r="HLO1" s="179"/>
      <c r="HLP1" s="179"/>
      <c r="HLQ1" s="179"/>
      <c r="HLR1" s="179"/>
      <c r="HLS1" s="179"/>
      <c r="HLT1" s="179"/>
      <c r="HLU1" s="179"/>
      <c r="HLV1" s="179"/>
      <c r="HLW1" s="179"/>
      <c r="HLX1" s="179"/>
      <c r="HLY1" s="179"/>
      <c r="HLZ1" s="179"/>
      <c r="HMA1" s="179"/>
      <c r="HMB1" s="179"/>
      <c r="HMC1" s="179"/>
      <c r="HMD1" s="179"/>
      <c r="HME1" s="179"/>
      <c r="HMF1" s="179"/>
      <c r="HMG1" s="179"/>
      <c r="HMH1" s="179"/>
      <c r="HMI1" s="179"/>
      <c r="HMJ1" s="179"/>
      <c r="HMK1" s="179"/>
      <c r="HML1" s="179"/>
      <c r="HMM1" s="179"/>
      <c r="HMN1" s="179"/>
      <c r="HMO1" s="179"/>
      <c r="HMP1" s="179"/>
      <c r="HMQ1" s="179"/>
      <c r="HMR1" s="179"/>
      <c r="HMS1" s="179"/>
      <c r="HMT1" s="179"/>
      <c r="HMU1" s="179"/>
      <c r="HMV1" s="179"/>
      <c r="HMW1" s="179"/>
      <c r="HMX1" s="179"/>
      <c r="HMY1" s="179"/>
      <c r="HMZ1" s="179"/>
      <c r="HNA1" s="179"/>
      <c r="HNB1" s="179"/>
      <c r="HNC1" s="179"/>
      <c r="HND1" s="179"/>
      <c r="HNE1" s="179"/>
      <c r="HNF1" s="179"/>
      <c r="HNG1" s="179"/>
      <c r="HNH1" s="179"/>
      <c r="HNI1" s="179"/>
      <c r="HNJ1" s="179"/>
      <c r="HNK1" s="179"/>
      <c r="HNL1" s="179"/>
      <c r="HNM1" s="179"/>
      <c r="HNN1" s="179"/>
      <c r="HNO1" s="179"/>
      <c r="HNP1" s="179"/>
      <c r="HNQ1" s="179"/>
      <c r="HNR1" s="179"/>
      <c r="HNS1" s="179"/>
      <c r="HNT1" s="179"/>
      <c r="HNU1" s="179"/>
      <c r="HNV1" s="179"/>
      <c r="HNW1" s="179"/>
      <c r="HNX1" s="179"/>
      <c r="HNY1" s="179"/>
      <c r="HNZ1" s="179"/>
      <c r="HOA1" s="179"/>
      <c r="HOB1" s="179"/>
      <c r="HOC1" s="179"/>
      <c r="HOD1" s="179"/>
      <c r="HOE1" s="179"/>
      <c r="HOF1" s="179"/>
      <c r="HOG1" s="179"/>
      <c r="HOH1" s="179"/>
      <c r="HOI1" s="179"/>
      <c r="HOJ1" s="179"/>
      <c r="HOK1" s="179"/>
      <c r="HOL1" s="179"/>
      <c r="HOM1" s="179"/>
      <c r="HON1" s="179"/>
      <c r="HOO1" s="179"/>
      <c r="HOP1" s="179"/>
      <c r="HOQ1" s="179"/>
      <c r="HOR1" s="179"/>
      <c r="HOS1" s="179"/>
      <c r="HOT1" s="179"/>
      <c r="HOU1" s="179"/>
      <c r="HOV1" s="179"/>
      <c r="HOW1" s="179"/>
      <c r="HOX1" s="179"/>
      <c r="HOY1" s="179"/>
      <c r="HOZ1" s="179"/>
      <c r="HPA1" s="179"/>
      <c r="HPB1" s="179"/>
      <c r="HPC1" s="179"/>
      <c r="HPD1" s="179"/>
      <c r="HPE1" s="179"/>
      <c r="HPF1" s="179"/>
      <c r="HPG1" s="179"/>
      <c r="HPH1" s="179"/>
      <c r="HPI1" s="179"/>
      <c r="HPJ1" s="179"/>
      <c r="HPK1" s="179"/>
      <c r="HPL1" s="179"/>
      <c r="HPM1" s="179"/>
      <c r="HPN1" s="179"/>
      <c r="HPO1" s="179"/>
      <c r="HPP1" s="179"/>
      <c r="HPQ1" s="179"/>
      <c r="HPR1" s="179"/>
      <c r="HPS1" s="179"/>
      <c r="HPT1" s="179"/>
      <c r="HPU1" s="179"/>
      <c r="HPV1" s="179"/>
      <c r="HPW1" s="179"/>
      <c r="HPX1" s="179"/>
      <c r="HPY1" s="179"/>
      <c r="HPZ1" s="179"/>
      <c r="HQA1" s="179"/>
      <c r="HQB1" s="179"/>
      <c r="HQC1" s="179"/>
      <c r="HQD1" s="179"/>
      <c r="HQE1" s="179"/>
      <c r="HQF1" s="179"/>
      <c r="HQG1" s="179"/>
      <c r="HQH1" s="179"/>
      <c r="HQI1" s="179"/>
      <c r="HQJ1" s="179"/>
      <c r="HQK1" s="179"/>
      <c r="HQL1" s="179"/>
      <c r="HQM1" s="179"/>
      <c r="HQN1" s="179"/>
      <c r="HQO1" s="179"/>
      <c r="HQP1" s="179"/>
      <c r="HQQ1" s="179"/>
      <c r="HQR1" s="179"/>
      <c r="HQS1" s="179"/>
      <c r="HQT1" s="179"/>
      <c r="HQU1" s="179"/>
      <c r="HQV1" s="179"/>
      <c r="HQW1" s="179"/>
      <c r="HQX1" s="179"/>
      <c r="HQY1" s="179"/>
      <c r="HQZ1" s="179"/>
      <c r="HRA1" s="179"/>
      <c r="HRB1" s="179"/>
      <c r="HRC1" s="179"/>
      <c r="HRD1" s="179"/>
      <c r="HRE1" s="179"/>
      <c r="HRF1" s="179"/>
      <c r="HRG1" s="179"/>
      <c r="HRH1" s="179"/>
      <c r="HRI1" s="179"/>
      <c r="HRJ1" s="179"/>
      <c r="HRK1" s="179"/>
      <c r="HRL1" s="179"/>
      <c r="HRM1" s="179"/>
      <c r="HRN1" s="179"/>
      <c r="HRO1" s="179"/>
      <c r="HRP1" s="179"/>
      <c r="HRQ1" s="179"/>
      <c r="HRR1" s="179"/>
      <c r="HRS1" s="179"/>
      <c r="HRT1" s="179"/>
      <c r="HRU1" s="179"/>
      <c r="HRV1" s="179"/>
      <c r="HRW1" s="179"/>
      <c r="HRX1" s="179"/>
      <c r="HRY1" s="179"/>
      <c r="HRZ1" s="179"/>
      <c r="HSA1" s="179"/>
      <c r="HSB1" s="179"/>
      <c r="HSC1" s="179"/>
      <c r="HSD1" s="179"/>
      <c r="HSE1" s="179"/>
      <c r="HSF1" s="179"/>
      <c r="HSG1" s="179"/>
      <c r="HSH1" s="179"/>
      <c r="HSI1" s="179"/>
      <c r="HSJ1" s="179"/>
      <c r="HSK1" s="179"/>
      <c r="HSL1" s="179"/>
      <c r="HSM1" s="179"/>
      <c r="HSN1" s="179"/>
      <c r="HSO1" s="179"/>
      <c r="HSP1" s="179"/>
      <c r="HSQ1" s="179"/>
      <c r="HSR1" s="179"/>
      <c r="HSS1" s="179"/>
      <c r="HST1" s="179"/>
      <c r="HSU1" s="179"/>
      <c r="HSV1" s="179"/>
      <c r="HSW1" s="179"/>
      <c r="HSX1" s="179"/>
      <c r="HSY1" s="179"/>
      <c r="HSZ1" s="179"/>
      <c r="HTA1" s="179"/>
      <c r="HTB1" s="179"/>
      <c r="HTC1" s="179"/>
      <c r="HTD1" s="179"/>
      <c r="HTE1" s="179"/>
      <c r="HTF1" s="179"/>
      <c r="HTG1" s="179"/>
      <c r="HTH1" s="179"/>
      <c r="HTI1" s="179"/>
      <c r="HTJ1" s="179"/>
      <c r="HTK1" s="179"/>
      <c r="HTL1" s="179"/>
      <c r="HTM1" s="179"/>
      <c r="HTN1" s="179"/>
      <c r="HTO1" s="179"/>
      <c r="HTP1" s="179"/>
      <c r="HTQ1" s="179"/>
      <c r="HTR1" s="179"/>
      <c r="HTS1" s="179"/>
      <c r="HTT1" s="179"/>
      <c r="HTU1" s="179"/>
      <c r="HTV1" s="179"/>
      <c r="HTW1" s="179"/>
      <c r="HTX1" s="179"/>
      <c r="HTY1" s="179"/>
      <c r="HTZ1" s="179"/>
      <c r="HUA1" s="179"/>
      <c r="HUB1" s="179"/>
      <c r="HUC1" s="179"/>
      <c r="HUD1" s="179"/>
      <c r="HUE1" s="179"/>
      <c r="HUF1" s="179"/>
      <c r="HUG1" s="179"/>
      <c r="HUH1" s="179"/>
      <c r="HUI1" s="179"/>
      <c r="HUJ1" s="179"/>
      <c r="HUK1" s="179"/>
      <c r="HUL1" s="179"/>
      <c r="HUM1" s="179"/>
      <c r="HUN1" s="179"/>
      <c r="HUO1" s="179"/>
      <c r="HUP1" s="179"/>
      <c r="HUQ1" s="179"/>
      <c r="HUR1" s="179"/>
      <c r="HUS1" s="179"/>
      <c r="HUT1" s="179"/>
      <c r="HUU1" s="179"/>
      <c r="HUV1" s="179"/>
      <c r="HUW1" s="179"/>
      <c r="HUX1" s="179"/>
      <c r="HUY1" s="179"/>
      <c r="HUZ1" s="179"/>
      <c r="HVA1" s="179"/>
      <c r="HVB1" s="179"/>
      <c r="HVC1" s="179"/>
      <c r="HVD1" s="179"/>
      <c r="HVE1" s="179"/>
      <c r="HVF1" s="179"/>
      <c r="HVG1" s="179"/>
      <c r="HVH1" s="179"/>
      <c r="HVI1" s="179"/>
      <c r="HVJ1" s="179"/>
      <c r="HVK1" s="179"/>
      <c r="HVL1" s="179"/>
      <c r="HVM1" s="179"/>
      <c r="HVN1" s="179"/>
      <c r="HVO1" s="179"/>
      <c r="HVP1" s="179"/>
      <c r="HVQ1" s="179"/>
      <c r="HVR1" s="179"/>
      <c r="HVS1" s="179"/>
      <c r="HVT1" s="179"/>
      <c r="HVU1" s="179"/>
      <c r="HVV1" s="179"/>
      <c r="HVW1" s="179"/>
      <c r="HVX1" s="179"/>
      <c r="HVY1" s="179"/>
      <c r="HVZ1" s="179"/>
      <c r="HWA1" s="179"/>
      <c r="HWB1" s="179"/>
      <c r="HWC1" s="179"/>
      <c r="HWD1" s="179"/>
      <c r="HWE1" s="179"/>
      <c r="HWF1" s="179"/>
      <c r="HWG1" s="179"/>
      <c r="HWH1" s="179"/>
      <c r="HWI1" s="179"/>
      <c r="HWJ1" s="179"/>
      <c r="HWK1" s="179"/>
      <c r="HWL1" s="179"/>
      <c r="HWM1" s="179"/>
      <c r="HWN1" s="179"/>
      <c r="HWO1" s="179"/>
      <c r="HWP1" s="179"/>
      <c r="HWQ1" s="179"/>
      <c r="HWR1" s="179"/>
      <c r="HWS1" s="179"/>
      <c r="HWT1" s="179"/>
      <c r="HWU1" s="179"/>
      <c r="HWV1" s="179"/>
      <c r="HWW1" s="179"/>
      <c r="HWX1" s="179"/>
      <c r="HWY1" s="179"/>
      <c r="HWZ1" s="179"/>
      <c r="HXA1" s="179"/>
      <c r="HXB1" s="179"/>
      <c r="HXC1" s="179"/>
      <c r="HXD1" s="179"/>
      <c r="HXE1" s="179"/>
      <c r="HXF1" s="179"/>
      <c r="HXG1" s="179"/>
      <c r="HXH1" s="179"/>
      <c r="HXI1" s="179"/>
      <c r="HXJ1" s="179"/>
      <c r="HXK1" s="179"/>
      <c r="HXL1" s="179"/>
      <c r="HXM1" s="179"/>
      <c r="HXN1" s="179"/>
      <c r="HXO1" s="179"/>
      <c r="HXP1" s="179"/>
      <c r="HXQ1" s="179"/>
      <c r="HXR1" s="179"/>
      <c r="HXS1" s="179"/>
      <c r="HXT1" s="179"/>
      <c r="HXU1" s="179"/>
      <c r="HXV1" s="179"/>
      <c r="HXW1" s="179"/>
      <c r="HXX1" s="179"/>
      <c r="HXY1" s="179"/>
      <c r="HXZ1" s="179"/>
      <c r="HYA1" s="179"/>
      <c r="HYB1" s="179"/>
      <c r="HYC1" s="179"/>
      <c r="HYD1" s="179"/>
      <c r="HYE1" s="179"/>
      <c r="HYF1" s="179"/>
      <c r="HYG1" s="179"/>
      <c r="HYH1" s="179"/>
      <c r="HYI1" s="179"/>
      <c r="HYJ1" s="179"/>
      <c r="HYK1" s="179"/>
      <c r="HYL1" s="179"/>
      <c r="HYM1" s="179"/>
      <c r="HYN1" s="179"/>
      <c r="HYO1" s="179"/>
      <c r="HYP1" s="179"/>
      <c r="HYQ1" s="179"/>
      <c r="HYR1" s="179"/>
      <c r="HYS1" s="179"/>
      <c r="HYT1" s="179"/>
      <c r="HYU1" s="179"/>
      <c r="HYV1" s="179"/>
      <c r="HYW1" s="179"/>
      <c r="HYX1" s="179"/>
      <c r="HYY1" s="179"/>
      <c r="HYZ1" s="179"/>
      <c r="HZA1" s="179"/>
      <c r="HZB1" s="179"/>
      <c r="HZC1" s="179"/>
      <c r="HZD1" s="179"/>
      <c r="HZE1" s="179"/>
      <c r="HZF1" s="179"/>
      <c r="HZG1" s="179"/>
      <c r="HZH1" s="179"/>
      <c r="HZI1" s="179"/>
      <c r="HZJ1" s="179"/>
      <c r="HZK1" s="179"/>
      <c r="HZL1" s="179"/>
      <c r="HZM1" s="179"/>
      <c r="HZN1" s="179"/>
      <c r="HZO1" s="179"/>
      <c r="HZP1" s="179"/>
      <c r="HZQ1" s="179"/>
      <c r="HZR1" s="179"/>
      <c r="HZS1" s="179"/>
      <c r="HZT1" s="179"/>
      <c r="HZU1" s="179"/>
      <c r="HZV1" s="179"/>
      <c r="HZW1" s="179"/>
      <c r="HZX1" s="179"/>
      <c r="HZY1" s="179"/>
      <c r="HZZ1" s="179"/>
      <c r="IAA1" s="179"/>
      <c r="IAB1" s="179"/>
      <c r="IAC1" s="179"/>
      <c r="IAD1" s="179"/>
      <c r="IAE1" s="179"/>
      <c r="IAF1" s="179"/>
      <c r="IAG1" s="179"/>
      <c r="IAH1" s="179"/>
      <c r="IAI1" s="179"/>
      <c r="IAJ1" s="179"/>
      <c r="IAK1" s="179"/>
      <c r="IAL1" s="179"/>
      <c r="IAM1" s="179"/>
      <c r="IAN1" s="179"/>
      <c r="IAO1" s="179"/>
      <c r="IAP1" s="179"/>
      <c r="IAQ1" s="179"/>
      <c r="IAR1" s="179"/>
      <c r="IAS1" s="179"/>
      <c r="IAT1" s="179"/>
      <c r="IAU1" s="179"/>
      <c r="IAV1" s="179"/>
      <c r="IAW1" s="179"/>
      <c r="IAX1" s="179"/>
      <c r="IAY1" s="179"/>
      <c r="IAZ1" s="179"/>
      <c r="IBA1" s="179"/>
      <c r="IBB1" s="179"/>
      <c r="IBC1" s="179"/>
      <c r="IBD1" s="179"/>
      <c r="IBE1" s="179"/>
      <c r="IBF1" s="179"/>
      <c r="IBG1" s="179"/>
      <c r="IBH1" s="179"/>
      <c r="IBI1" s="179"/>
      <c r="IBJ1" s="179"/>
      <c r="IBK1" s="179"/>
      <c r="IBL1" s="179"/>
      <c r="IBM1" s="179"/>
      <c r="IBN1" s="179"/>
      <c r="IBO1" s="179"/>
      <c r="IBP1" s="179"/>
      <c r="IBQ1" s="179"/>
      <c r="IBR1" s="179"/>
      <c r="IBS1" s="179"/>
      <c r="IBT1" s="179"/>
      <c r="IBU1" s="179"/>
      <c r="IBV1" s="179"/>
      <c r="IBW1" s="179"/>
      <c r="IBX1" s="179"/>
      <c r="IBY1" s="179"/>
      <c r="IBZ1" s="179"/>
      <c r="ICA1" s="179"/>
      <c r="ICB1" s="179"/>
      <c r="ICC1" s="179"/>
      <c r="ICD1" s="179"/>
      <c r="ICE1" s="179"/>
      <c r="ICF1" s="179"/>
      <c r="ICG1" s="179"/>
      <c r="ICH1" s="179"/>
      <c r="ICI1" s="179"/>
      <c r="ICJ1" s="179"/>
      <c r="ICK1" s="179"/>
      <c r="ICL1" s="179"/>
      <c r="ICM1" s="179"/>
      <c r="ICN1" s="179"/>
      <c r="ICO1" s="179"/>
      <c r="ICP1" s="179"/>
      <c r="ICQ1" s="179"/>
      <c r="ICR1" s="179"/>
      <c r="ICS1" s="179"/>
      <c r="ICT1" s="179"/>
      <c r="ICU1" s="179"/>
      <c r="ICV1" s="179"/>
      <c r="ICW1" s="179"/>
      <c r="ICX1" s="179"/>
      <c r="ICY1" s="179"/>
      <c r="ICZ1" s="179"/>
      <c r="IDA1" s="179"/>
      <c r="IDB1" s="179"/>
      <c r="IDC1" s="179"/>
      <c r="IDD1" s="179"/>
      <c r="IDE1" s="179"/>
      <c r="IDF1" s="179"/>
      <c r="IDG1" s="179"/>
      <c r="IDH1" s="179"/>
      <c r="IDI1" s="179"/>
      <c r="IDJ1" s="179"/>
      <c r="IDK1" s="179"/>
      <c r="IDL1" s="179"/>
      <c r="IDM1" s="179"/>
      <c r="IDN1" s="179"/>
      <c r="IDO1" s="179"/>
      <c r="IDP1" s="179"/>
      <c r="IDQ1" s="179"/>
      <c r="IDR1" s="179"/>
      <c r="IDS1" s="179"/>
      <c r="IDT1" s="179"/>
      <c r="IDU1" s="179"/>
      <c r="IDV1" s="179"/>
      <c r="IDW1" s="179"/>
      <c r="IDX1" s="179"/>
      <c r="IDY1" s="179"/>
      <c r="IDZ1" s="179"/>
      <c r="IEA1" s="179"/>
      <c r="IEB1" s="179"/>
      <c r="IEC1" s="179"/>
      <c r="IED1" s="179"/>
      <c r="IEE1" s="179"/>
      <c r="IEF1" s="179"/>
      <c r="IEG1" s="179"/>
      <c r="IEH1" s="179"/>
      <c r="IEI1" s="179"/>
      <c r="IEJ1" s="179"/>
      <c r="IEK1" s="179"/>
      <c r="IEL1" s="179"/>
      <c r="IEM1" s="179"/>
      <c r="IEN1" s="179"/>
      <c r="IEO1" s="179"/>
      <c r="IEP1" s="179"/>
      <c r="IEQ1" s="179"/>
      <c r="IER1" s="179"/>
      <c r="IES1" s="179"/>
      <c r="IET1" s="179"/>
      <c r="IEU1" s="179"/>
      <c r="IEV1" s="179"/>
      <c r="IEW1" s="179"/>
      <c r="IEX1" s="179"/>
      <c r="IEY1" s="179"/>
      <c r="IEZ1" s="179"/>
      <c r="IFA1" s="179"/>
      <c r="IFB1" s="179"/>
      <c r="IFC1" s="179"/>
      <c r="IFD1" s="179"/>
      <c r="IFE1" s="179"/>
      <c r="IFF1" s="179"/>
      <c r="IFG1" s="179"/>
      <c r="IFH1" s="179"/>
      <c r="IFI1" s="179"/>
      <c r="IFJ1" s="179"/>
      <c r="IFK1" s="179"/>
      <c r="IFL1" s="179"/>
      <c r="IFM1" s="179"/>
      <c r="IFN1" s="179"/>
      <c r="IFO1" s="179"/>
      <c r="IFP1" s="179"/>
      <c r="IFQ1" s="179"/>
      <c r="IFR1" s="179"/>
      <c r="IFS1" s="179"/>
      <c r="IFT1" s="179"/>
      <c r="IFU1" s="179"/>
      <c r="IFV1" s="179"/>
      <c r="IFW1" s="179"/>
      <c r="IFX1" s="179"/>
      <c r="IFY1" s="179"/>
      <c r="IFZ1" s="179"/>
      <c r="IGA1" s="179"/>
      <c r="IGB1" s="179"/>
      <c r="IGC1" s="179"/>
      <c r="IGD1" s="179"/>
      <c r="IGE1" s="179"/>
      <c r="IGF1" s="179"/>
      <c r="IGG1" s="179"/>
      <c r="IGH1" s="179"/>
      <c r="IGI1" s="179"/>
      <c r="IGJ1" s="179"/>
      <c r="IGK1" s="179"/>
      <c r="IGL1" s="179"/>
      <c r="IGM1" s="179"/>
      <c r="IGN1" s="179"/>
      <c r="IGO1" s="179"/>
      <c r="IGP1" s="179"/>
      <c r="IGQ1" s="179"/>
      <c r="IGR1" s="179"/>
      <c r="IGS1" s="179"/>
      <c r="IGT1" s="179"/>
      <c r="IGU1" s="179"/>
      <c r="IGV1" s="179"/>
      <c r="IGW1" s="179"/>
      <c r="IGX1" s="179"/>
      <c r="IGY1" s="179"/>
      <c r="IGZ1" s="179"/>
      <c r="IHA1" s="179"/>
      <c r="IHB1" s="179"/>
      <c r="IHC1" s="179"/>
      <c r="IHD1" s="179"/>
      <c r="IHE1" s="179"/>
      <c r="IHF1" s="179"/>
      <c r="IHG1" s="179"/>
      <c r="IHH1" s="179"/>
      <c r="IHI1" s="179"/>
      <c r="IHJ1" s="179"/>
      <c r="IHK1" s="179"/>
      <c r="IHL1" s="179"/>
      <c r="IHM1" s="179"/>
      <c r="IHN1" s="179"/>
      <c r="IHO1" s="179"/>
      <c r="IHP1" s="179"/>
      <c r="IHQ1" s="179"/>
      <c r="IHR1" s="179"/>
      <c r="IHS1" s="179"/>
      <c r="IHT1" s="179"/>
      <c r="IHU1" s="179"/>
      <c r="IHV1" s="179"/>
      <c r="IHW1" s="179"/>
      <c r="IHX1" s="179"/>
      <c r="IHY1" s="179"/>
      <c r="IHZ1" s="179"/>
      <c r="IIA1" s="179"/>
      <c r="IIB1" s="179"/>
      <c r="IIC1" s="179"/>
      <c r="IID1" s="179"/>
      <c r="IIE1" s="179"/>
      <c r="IIF1" s="179"/>
      <c r="IIG1" s="179"/>
      <c r="IIH1" s="179"/>
      <c r="III1" s="179"/>
      <c r="IIJ1" s="179"/>
      <c r="IIK1" s="179"/>
      <c r="IIL1" s="179"/>
      <c r="IIM1" s="179"/>
      <c r="IIN1" s="179"/>
      <c r="IIO1" s="179"/>
      <c r="IIP1" s="179"/>
      <c r="IIQ1" s="179"/>
      <c r="IIR1" s="179"/>
      <c r="IIS1" s="179"/>
      <c r="IIT1" s="179"/>
      <c r="IIU1" s="179"/>
      <c r="IIV1" s="179"/>
      <c r="IIW1" s="179"/>
      <c r="IIX1" s="179"/>
      <c r="IIY1" s="179"/>
      <c r="IIZ1" s="179"/>
      <c r="IJA1" s="179"/>
      <c r="IJB1" s="179"/>
      <c r="IJC1" s="179"/>
      <c r="IJD1" s="179"/>
      <c r="IJE1" s="179"/>
      <c r="IJF1" s="179"/>
      <c r="IJG1" s="179"/>
      <c r="IJH1" s="179"/>
      <c r="IJI1" s="179"/>
      <c r="IJJ1" s="179"/>
      <c r="IJK1" s="179"/>
      <c r="IJL1" s="179"/>
      <c r="IJM1" s="179"/>
      <c r="IJN1" s="179"/>
      <c r="IJO1" s="179"/>
      <c r="IJP1" s="179"/>
      <c r="IJQ1" s="179"/>
      <c r="IJR1" s="179"/>
      <c r="IJS1" s="179"/>
      <c r="IJT1" s="179"/>
      <c r="IJU1" s="179"/>
      <c r="IJV1" s="179"/>
      <c r="IJW1" s="179"/>
      <c r="IJX1" s="179"/>
      <c r="IJY1" s="179"/>
      <c r="IJZ1" s="179"/>
      <c r="IKA1" s="179"/>
      <c r="IKB1" s="179"/>
      <c r="IKC1" s="179"/>
      <c r="IKD1" s="179"/>
      <c r="IKE1" s="179"/>
      <c r="IKF1" s="179"/>
      <c r="IKG1" s="179"/>
      <c r="IKH1" s="179"/>
      <c r="IKI1" s="179"/>
      <c r="IKJ1" s="179"/>
      <c r="IKK1" s="179"/>
      <c r="IKL1" s="179"/>
      <c r="IKM1" s="179"/>
      <c r="IKN1" s="179"/>
      <c r="IKO1" s="179"/>
      <c r="IKP1" s="179"/>
      <c r="IKQ1" s="179"/>
      <c r="IKR1" s="179"/>
      <c r="IKS1" s="179"/>
      <c r="IKT1" s="179"/>
      <c r="IKU1" s="179"/>
      <c r="IKV1" s="179"/>
      <c r="IKW1" s="179"/>
      <c r="IKX1" s="179"/>
      <c r="IKY1" s="179"/>
      <c r="IKZ1" s="179"/>
      <c r="ILA1" s="179"/>
      <c r="ILB1" s="179"/>
      <c r="ILC1" s="179"/>
      <c r="ILD1" s="179"/>
      <c r="ILE1" s="179"/>
      <c r="ILF1" s="179"/>
      <c r="ILG1" s="179"/>
      <c r="ILH1" s="179"/>
      <c r="ILI1" s="179"/>
      <c r="ILJ1" s="179"/>
      <c r="ILK1" s="179"/>
      <c r="ILL1" s="179"/>
      <c r="ILM1" s="179"/>
      <c r="ILN1" s="179"/>
      <c r="ILO1" s="179"/>
      <c r="ILP1" s="179"/>
      <c r="ILQ1" s="179"/>
      <c r="ILR1" s="179"/>
      <c r="ILS1" s="179"/>
      <c r="ILT1" s="179"/>
      <c r="ILU1" s="179"/>
      <c r="ILV1" s="179"/>
      <c r="ILW1" s="179"/>
      <c r="ILX1" s="179"/>
      <c r="ILY1" s="179"/>
      <c r="ILZ1" s="179"/>
      <c r="IMA1" s="179"/>
      <c r="IMB1" s="179"/>
      <c r="IMC1" s="179"/>
      <c r="IMD1" s="179"/>
      <c r="IME1" s="179"/>
      <c r="IMF1" s="179"/>
      <c r="IMG1" s="179"/>
      <c r="IMH1" s="179"/>
      <c r="IMI1" s="179"/>
      <c r="IMJ1" s="179"/>
      <c r="IMK1" s="179"/>
      <c r="IML1" s="179"/>
      <c r="IMM1" s="179"/>
      <c r="IMN1" s="179"/>
      <c r="IMO1" s="179"/>
      <c r="IMP1" s="179"/>
      <c r="IMQ1" s="179"/>
      <c r="IMR1" s="179"/>
      <c r="IMS1" s="179"/>
      <c r="IMT1" s="179"/>
      <c r="IMU1" s="179"/>
      <c r="IMV1" s="179"/>
      <c r="IMW1" s="179"/>
      <c r="IMX1" s="179"/>
      <c r="IMY1" s="179"/>
      <c r="IMZ1" s="179"/>
      <c r="INA1" s="179"/>
      <c r="INB1" s="179"/>
      <c r="INC1" s="179"/>
      <c r="IND1" s="179"/>
      <c r="INE1" s="179"/>
      <c r="INF1" s="179"/>
      <c r="ING1" s="179"/>
      <c r="INH1" s="179"/>
      <c r="INI1" s="179"/>
      <c r="INJ1" s="179"/>
      <c r="INK1" s="179"/>
      <c r="INL1" s="179"/>
      <c r="INM1" s="179"/>
      <c r="INN1" s="179"/>
      <c r="INO1" s="179"/>
      <c r="INP1" s="179"/>
      <c r="INQ1" s="179"/>
      <c r="INR1" s="179"/>
      <c r="INS1" s="179"/>
      <c r="INT1" s="179"/>
      <c r="INU1" s="179"/>
      <c r="INV1" s="179"/>
      <c r="INW1" s="179"/>
      <c r="INX1" s="179"/>
      <c r="INY1" s="179"/>
      <c r="INZ1" s="179"/>
      <c r="IOA1" s="179"/>
      <c r="IOB1" s="179"/>
      <c r="IOC1" s="179"/>
      <c r="IOD1" s="179"/>
      <c r="IOE1" s="179"/>
      <c r="IOF1" s="179"/>
      <c r="IOG1" s="179"/>
      <c r="IOH1" s="179"/>
      <c r="IOI1" s="179"/>
      <c r="IOJ1" s="179"/>
      <c r="IOK1" s="179"/>
      <c r="IOL1" s="179"/>
      <c r="IOM1" s="179"/>
      <c r="ION1" s="179"/>
      <c r="IOO1" s="179"/>
      <c r="IOP1" s="179"/>
      <c r="IOQ1" s="179"/>
      <c r="IOR1" s="179"/>
      <c r="IOS1" s="179"/>
      <c r="IOT1" s="179"/>
      <c r="IOU1" s="179"/>
      <c r="IOV1" s="179"/>
      <c r="IOW1" s="179"/>
      <c r="IOX1" s="179"/>
      <c r="IOY1" s="179"/>
      <c r="IOZ1" s="179"/>
      <c r="IPA1" s="179"/>
      <c r="IPB1" s="179"/>
      <c r="IPC1" s="179"/>
      <c r="IPD1" s="179"/>
      <c r="IPE1" s="179"/>
      <c r="IPF1" s="179"/>
      <c r="IPG1" s="179"/>
      <c r="IPH1" s="179"/>
      <c r="IPI1" s="179"/>
      <c r="IPJ1" s="179"/>
      <c r="IPK1" s="179"/>
      <c r="IPL1" s="179"/>
      <c r="IPM1" s="179"/>
      <c r="IPN1" s="179"/>
      <c r="IPO1" s="179"/>
      <c r="IPP1" s="179"/>
      <c r="IPQ1" s="179"/>
      <c r="IPR1" s="179"/>
      <c r="IPS1" s="179"/>
      <c r="IPT1" s="179"/>
      <c r="IPU1" s="179"/>
      <c r="IPV1" s="179"/>
      <c r="IPW1" s="179"/>
      <c r="IPX1" s="179"/>
      <c r="IPY1" s="179"/>
      <c r="IPZ1" s="179"/>
      <c r="IQA1" s="179"/>
      <c r="IQB1" s="179"/>
      <c r="IQC1" s="179"/>
      <c r="IQD1" s="179"/>
      <c r="IQE1" s="179"/>
      <c r="IQF1" s="179"/>
      <c r="IQG1" s="179"/>
      <c r="IQH1" s="179"/>
      <c r="IQI1" s="179"/>
      <c r="IQJ1" s="179"/>
      <c r="IQK1" s="179"/>
      <c r="IQL1" s="179"/>
      <c r="IQM1" s="179"/>
      <c r="IQN1" s="179"/>
      <c r="IQO1" s="179"/>
      <c r="IQP1" s="179"/>
      <c r="IQQ1" s="179"/>
      <c r="IQR1" s="179"/>
      <c r="IQS1" s="179"/>
      <c r="IQT1" s="179"/>
      <c r="IQU1" s="179"/>
      <c r="IQV1" s="179"/>
      <c r="IQW1" s="179"/>
      <c r="IQX1" s="179"/>
      <c r="IQY1" s="179"/>
      <c r="IQZ1" s="179"/>
      <c r="IRA1" s="179"/>
      <c r="IRB1" s="179"/>
      <c r="IRC1" s="179"/>
      <c r="IRD1" s="179"/>
      <c r="IRE1" s="179"/>
      <c r="IRF1" s="179"/>
      <c r="IRG1" s="179"/>
      <c r="IRH1" s="179"/>
      <c r="IRI1" s="179"/>
      <c r="IRJ1" s="179"/>
      <c r="IRK1" s="179"/>
      <c r="IRL1" s="179"/>
      <c r="IRM1" s="179"/>
      <c r="IRN1" s="179"/>
      <c r="IRO1" s="179"/>
      <c r="IRP1" s="179"/>
      <c r="IRQ1" s="179"/>
      <c r="IRR1" s="179"/>
      <c r="IRS1" s="179"/>
      <c r="IRT1" s="179"/>
      <c r="IRU1" s="179"/>
      <c r="IRV1" s="179"/>
      <c r="IRW1" s="179"/>
      <c r="IRX1" s="179"/>
      <c r="IRY1" s="179"/>
      <c r="IRZ1" s="179"/>
      <c r="ISA1" s="179"/>
      <c r="ISB1" s="179"/>
      <c r="ISC1" s="179"/>
      <c r="ISD1" s="179"/>
      <c r="ISE1" s="179"/>
      <c r="ISF1" s="179"/>
      <c r="ISG1" s="179"/>
      <c r="ISH1" s="179"/>
      <c r="ISI1" s="179"/>
      <c r="ISJ1" s="179"/>
      <c r="ISK1" s="179"/>
      <c r="ISL1" s="179"/>
      <c r="ISM1" s="179"/>
      <c r="ISN1" s="179"/>
      <c r="ISO1" s="179"/>
      <c r="ISP1" s="179"/>
      <c r="ISQ1" s="179"/>
      <c r="ISR1" s="179"/>
      <c r="ISS1" s="179"/>
      <c r="IST1" s="179"/>
      <c r="ISU1" s="179"/>
      <c r="ISV1" s="179"/>
      <c r="ISW1" s="179"/>
      <c r="ISX1" s="179"/>
      <c r="ISY1" s="179"/>
      <c r="ISZ1" s="179"/>
      <c r="ITA1" s="179"/>
      <c r="ITB1" s="179"/>
      <c r="ITC1" s="179"/>
      <c r="ITD1" s="179"/>
      <c r="ITE1" s="179"/>
      <c r="ITF1" s="179"/>
      <c r="ITG1" s="179"/>
      <c r="ITH1" s="179"/>
      <c r="ITI1" s="179"/>
      <c r="ITJ1" s="179"/>
      <c r="ITK1" s="179"/>
      <c r="ITL1" s="179"/>
      <c r="ITM1" s="179"/>
      <c r="ITN1" s="179"/>
      <c r="ITO1" s="179"/>
      <c r="ITP1" s="179"/>
      <c r="ITQ1" s="179"/>
      <c r="ITR1" s="179"/>
      <c r="ITS1" s="179"/>
      <c r="ITT1" s="179"/>
      <c r="ITU1" s="179"/>
      <c r="ITV1" s="179"/>
      <c r="ITW1" s="179"/>
      <c r="ITX1" s="179"/>
      <c r="ITY1" s="179"/>
      <c r="ITZ1" s="179"/>
      <c r="IUA1" s="179"/>
      <c r="IUB1" s="179"/>
      <c r="IUC1" s="179"/>
      <c r="IUD1" s="179"/>
      <c r="IUE1" s="179"/>
      <c r="IUF1" s="179"/>
      <c r="IUG1" s="179"/>
      <c r="IUH1" s="179"/>
      <c r="IUI1" s="179"/>
      <c r="IUJ1" s="179"/>
      <c r="IUK1" s="179"/>
      <c r="IUL1" s="179"/>
      <c r="IUM1" s="179"/>
      <c r="IUN1" s="179"/>
      <c r="IUO1" s="179"/>
      <c r="IUP1" s="179"/>
      <c r="IUQ1" s="179"/>
      <c r="IUR1" s="179"/>
      <c r="IUS1" s="179"/>
      <c r="IUT1" s="179"/>
      <c r="IUU1" s="179"/>
      <c r="IUV1" s="179"/>
      <c r="IUW1" s="179"/>
      <c r="IUX1" s="179"/>
      <c r="IUY1" s="179"/>
      <c r="IUZ1" s="179"/>
      <c r="IVA1" s="179"/>
      <c r="IVB1" s="179"/>
      <c r="IVC1" s="179"/>
      <c r="IVD1" s="179"/>
      <c r="IVE1" s="179"/>
      <c r="IVF1" s="179"/>
      <c r="IVG1" s="179"/>
      <c r="IVH1" s="179"/>
      <c r="IVI1" s="179"/>
      <c r="IVJ1" s="179"/>
      <c r="IVK1" s="179"/>
      <c r="IVL1" s="179"/>
      <c r="IVM1" s="179"/>
      <c r="IVN1" s="179"/>
      <c r="IVO1" s="179"/>
      <c r="IVP1" s="179"/>
      <c r="IVQ1" s="179"/>
      <c r="IVR1" s="179"/>
      <c r="IVS1" s="179"/>
      <c r="IVT1" s="179"/>
      <c r="IVU1" s="179"/>
      <c r="IVV1" s="179"/>
      <c r="IVW1" s="179"/>
      <c r="IVX1" s="179"/>
      <c r="IVY1" s="179"/>
      <c r="IVZ1" s="179"/>
      <c r="IWA1" s="179"/>
      <c r="IWB1" s="179"/>
      <c r="IWC1" s="179"/>
      <c r="IWD1" s="179"/>
      <c r="IWE1" s="179"/>
      <c r="IWF1" s="179"/>
      <c r="IWG1" s="179"/>
      <c r="IWH1" s="179"/>
      <c r="IWI1" s="179"/>
      <c r="IWJ1" s="179"/>
      <c r="IWK1" s="179"/>
      <c r="IWL1" s="179"/>
      <c r="IWM1" s="179"/>
      <c r="IWN1" s="179"/>
      <c r="IWO1" s="179"/>
      <c r="IWP1" s="179"/>
      <c r="IWQ1" s="179"/>
      <c r="IWR1" s="179"/>
      <c r="IWS1" s="179"/>
      <c r="IWT1" s="179"/>
      <c r="IWU1" s="179"/>
      <c r="IWV1" s="179"/>
      <c r="IWW1" s="179"/>
      <c r="IWX1" s="179"/>
      <c r="IWY1" s="179"/>
      <c r="IWZ1" s="179"/>
      <c r="IXA1" s="179"/>
      <c r="IXB1" s="179"/>
      <c r="IXC1" s="179"/>
      <c r="IXD1" s="179"/>
      <c r="IXE1" s="179"/>
      <c r="IXF1" s="179"/>
      <c r="IXG1" s="179"/>
      <c r="IXH1" s="179"/>
      <c r="IXI1" s="179"/>
      <c r="IXJ1" s="179"/>
      <c r="IXK1" s="179"/>
      <c r="IXL1" s="179"/>
      <c r="IXM1" s="179"/>
      <c r="IXN1" s="179"/>
      <c r="IXO1" s="179"/>
      <c r="IXP1" s="179"/>
      <c r="IXQ1" s="179"/>
      <c r="IXR1" s="179"/>
      <c r="IXS1" s="179"/>
      <c r="IXT1" s="179"/>
      <c r="IXU1" s="179"/>
      <c r="IXV1" s="179"/>
      <c r="IXW1" s="179"/>
      <c r="IXX1" s="179"/>
      <c r="IXY1" s="179"/>
      <c r="IXZ1" s="179"/>
      <c r="IYA1" s="179"/>
      <c r="IYB1" s="179"/>
      <c r="IYC1" s="179"/>
      <c r="IYD1" s="179"/>
      <c r="IYE1" s="179"/>
      <c r="IYF1" s="179"/>
      <c r="IYG1" s="179"/>
      <c r="IYH1" s="179"/>
      <c r="IYI1" s="179"/>
      <c r="IYJ1" s="179"/>
      <c r="IYK1" s="179"/>
      <c r="IYL1" s="179"/>
      <c r="IYM1" s="179"/>
      <c r="IYN1" s="179"/>
      <c r="IYO1" s="179"/>
      <c r="IYP1" s="179"/>
      <c r="IYQ1" s="179"/>
      <c r="IYR1" s="179"/>
      <c r="IYS1" s="179"/>
      <c r="IYT1" s="179"/>
      <c r="IYU1" s="179"/>
      <c r="IYV1" s="179"/>
      <c r="IYW1" s="179"/>
      <c r="IYX1" s="179"/>
      <c r="IYY1" s="179"/>
      <c r="IYZ1" s="179"/>
      <c r="IZA1" s="179"/>
      <c r="IZB1" s="179"/>
      <c r="IZC1" s="179"/>
      <c r="IZD1" s="179"/>
      <c r="IZE1" s="179"/>
      <c r="IZF1" s="179"/>
      <c r="IZG1" s="179"/>
      <c r="IZH1" s="179"/>
      <c r="IZI1" s="179"/>
      <c r="IZJ1" s="179"/>
      <c r="IZK1" s="179"/>
      <c r="IZL1" s="179"/>
      <c r="IZM1" s="179"/>
      <c r="IZN1" s="179"/>
      <c r="IZO1" s="179"/>
      <c r="IZP1" s="179"/>
      <c r="IZQ1" s="179"/>
      <c r="IZR1" s="179"/>
      <c r="IZS1" s="179"/>
      <c r="IZT1" s="179"/>
      <c r="IZU1" s="179"/>
      <c r="IZV1" s="179"/>
      <c r="IZW1" s="179"/>
      <c r="IZX1" s="179"/>
      <c r="IZY1" s="179"/>
      <c r="IZZ1" s="179"/>
      <c r="JAA1" s="179"/>
      <c r="JAB1" s="179"/>
      <c r="JAC1" s="179"/>
      <c r="JAD1" s="179"/>
      <c r="JAE1" s="179"/>
      <c r="JAF1" s="179"/>
      <c r="JAG1" s="179"/>
      <c r="JAH1" s="179"/>
      <c r="JAI1" s="179"/>
      <c r="JAJ1" s="179"/>
      <c r="JAK1" s="179"/>
      <c r="JAL1" s="179"/>
      <c r="JAM1" s="179"/>
      <c r="JAN1" s="179"/>
      <c r="JAO1" s="179"/>
      <c r="JAP1" s="179"/>
      <c r="JAQ1" s="179"/>
      <c r="JAR1" s="179"/>
      <c r="JAS1" s="179"/>
      <c r="JAT1" s="179"/>
      <c r="JAU1" s="179"/>
      <c r="JAV1" s="179"/>
      <c r="JAW1" s="179"/>
      <c r="JAX1" s="179"/>
      <c r="JAY1" s="179"/>
      <c r="JAZ1" s="179"/>
      <c r="JBA1" s="179"/>
      <c r="JBB1" s="179"/>
      <c r="JBC1" s="179"/>
      <c r="JBD1" s="179"/>
      <c r="JBE1" s="179"/>
      <c r="JBF1" s="179"/>
      <c r="JBG1" s="179"/>
      <c r="JBH1" s="179"/>
      <c r="JBI1" s="179"/>
      <c r="JBJ1" s="179"/>
      <c r="JBK1" s="179"/>
      <c r="JBL1" s="179"/>
      <c r="JBM1" s="179"/>
      <c r="JBN1" s="179"/>
      <c r="JBO1" s="179"/>
      <c r="JBP1" s="179"/>
      <c r="JBQ1" s="179"/>
      <c r="JBR1" s="179"/>
      <c r="JBS1" s="179"/>
      <c r="JBT1" s="179"/>
      <c r="JBU1" s="179"/>
      <c r="JBV1" s="179"/>
      <c r="JBW1" s="179"/>
      <c r="JBX1" s="179"/>
      <c r="JBY1" s="179"/>
      <c r="JBZ1" s="179"/>
      <c r="JCA1" s="179"/>
      <c r="JCB1" s="179"/>
      <c r="JCC1" s="179"/>
      <c r="JCD1" s="179"/>
      <c r="JCE1" s="179"/>
      <c r="JCF1" s="179"/>
      <c r="JCG1" s="179"/>
      <c r="JCH1" s="179"/>
      <c r="JCI1" s="179"/>
      <c r="JCJ1" s="179"/>
      <c r="JCK1" s="179"/>
      <c r="JCL1" s="179"/>
      <c r="JCM1" s="179"/>
      <c r="JCN1" s="179"/>
      <c r="JCO1" s="179"/>
      <c r="JCP1" s="179"/>
      <c r="JCQ1" s="179"/>
      <c r="JCR1" s="179"/>
      <c r="JCS1" s="179"/>
      <c r="JCT1" s="179"/>
      <c r="JCU1" s="179"/>
      <c r="JCV1" s="179"/>
      <c r="JCW1" s="179"/>
      <c r="JCX1" s="179"/>
      <c r="JCY1" s="179"/>
      <c r="JCZ1" s="179"/>
      <c r="JDA1" s="179"/>
      <c r="JDB1" s="179"/>
      <c r="JDC1" s="179"/>
      <c r="JDD1" s="179"/>
      <c r="JDE1" s="179"/>
      <c r="JDF1" s="179"/>
      <c r="JDG1" s="179"/>
      <c r="JDH1" s="179"/>
      <c r="JDI1" s="179"/>
      <c r="JDJ1" s="179"/>
      <c r="JDK1" s="179"/>
      <c r="JDL1" s="179"/>
      <c r="JDM1" s="179"/>
      <c r="JDN1" s="179"/>
      <c r="JDO1" s="179"/>
      <c r="JDP1" s="179"/>
      <c r="JDQ1" s="179"/>
      <c r="JDR1" s="179"/>
      <c r="JDS1" s="179"/>
      <c r="JDT1" s="179"/>
      <c r="JDU1" s="179"/>
      <c r="JDV1" s="179"/>
      <c r="JDW1" s="179"/>
      <c r="JDX1" s="179"/>
      <c r="JDY1" s="179"/>
      <c r="JDZ1" s="179"/>
      <c r="JEA1" s="179"/>
      <c r="JEB1" s="179"/>
      <c r="JEC1" s="179"/>
      <c r="JED1" s="179"/>
      <c r="JEE1" s="179"/>
      <c r="JEF1" s="179"/>
      <c r="JEG1" s="179"/>
      <c r="JEH1" s="179"/>
      <c r="JEI1" s="179"/>
      <c r="JEJ1" s="179"/>
      <c r="JEK1" s="179"/>
      <c r="JEL1" s="179"/>
      <c r="JEM1" s="179"/>
      <c r="JEN1" s="179"/>
      <c r="JEO1" s="179"/>
      <c r="JEP1" s="179"/>
      <c r="JEQ1" s="179"/>
      <c r="JER1" s="179"/>
      <c r="JES1" s="179"/>
      <c r="JET1" s="179"/>
      <c r="JEU1" s="179"/>
      <c r="JEV1" s="179"/>
      <c r="JEW1" s="179"/>
      <c r="JEX1" s="179"/>
      <c r="JEY1" s="179"/>
      <c r="JEZ1" s="179"/>
      <c r="JFA1" s="179"/>
      <c r="JFB1" s="179"/>
      <c r="JFC1" s="179"/>
      <c r="JFD1" s="179"/>
      <c r="JFE1" s="179"/>
      <c r="JFF1" s="179"/>
      <c r="JFG1" s="179"/>
      <c r="JFH1" s="179"/>
      <c r="JFI1" s="179"/>
      <c r="JFJ1" s="179"/>
      <c r="JFK1" s="179"/>
      <c r="JFL1" s="179"/>
      <c r="JFM1" s="179"/>
      <c r="JFN1" s="179"/>
      <c r="JFO1" s="179"/>
      <c r="JFP1" s="179"/>
      <c r="JFQ1" s="179"/>
      <c r="JFR1" s="179"/>
      <c r="JFS1" s="179"/>
      <c r="JFT1" s="179"/>
      <c r="JFU1" s="179"/>
      <c r="JFV1" s="179"/>
      <c r="JFW1" s="179"/>
      <c r="JFX1" s="179"/>
      <c r="JFY1" s="179"/>
      <c r="JFZ1" s="179"/>
      <c r="JGA1" s="179"/>
      <c r="JGB1" s="179"/>
      <c r="JGC1" s="179"/>
      <c r="JGD1" s="179"/>
      <c r="JGE1" s="179"/>
      <c r="JGF1" s="179"/>
      <c r="JGG1" s="179"/>
      <c r="JGH1" s="179"/>
      <c r="JGI1" s="179"/>
      <c r="JGJ1" s="179"/>
      <c r="JGK1" s="179"/>
      <c r="JGL1" s="179"/>
      <c r="JGM1" s="179"/>
      <c r="JGN1" s="179"/>
      <c r="JGO1" s="179"/>
      <c r="JGP1" s="179"/>
      <c r="JGQ1" s="179"/>
      <c r="JGR1" s="179"/>
      <c r="JGS1" s="179"/>
      <c r="JGT1" s="179"/>
      <c r="JGU1" s="179"/>
      <c r="JGV1" s="179"/>
      <c r="JGW1" s="179"/>
      <c r="JGX1" s="179"/>
      <c r="JGY1" s="179"/>
      <c r="JGZ1" s="179"/>
      <c r="JHA1" s="179"/>
      <c r="JHB1" s="179"/>
      <c r="JHC1" s="179"/>
      <c r="JHD1" s="179"/>
      <c r="JHE1" s="179"/>
      <c r="JHF1" s="179"/>
      <c r="JHG1" s="179"/>
      <c r="JHH1" s="179"/>
      <c r="JHI1" s="179"/>
      <c r="JHJ1" s="179"/>
      <c r="JHK1" s="179"/>
      <c r="JHL1" s="179"/>
      <c r="JHM1" s="179"/>
      <c r="JHN1" s="179"/>
      <c r="JHO1" s="179"/>
      <c r="JHP1" s="179"/>
      <c r="JHQ1" s="179"/>
      <c r="JHR1" s="179"/>
      <c r="JHS1" s="179"/>
      <c r="JHT1" s="179"/>
      <c r="JHU1" s="179"/>
      <c r="JHV1" s="179"/>
      <c r="JHW1" s="179"/>
      <c r="JHX1" s="179"/>
      <c r="JHY1" s="179"/>
      <c r="JHZ1" s="179"/>
      <c r="JIA1" s="179"/>
      <c r="JIB1" s="179"/>
      <c r="JIC1" s="179"/>
      <c r="JID1" s="179"/>
      <c r="JIE1" s="179"/>
      <c r="JIF1" s="179"/>
      <c r="JIG1" s="179"/>
      <c r="JIH1" s="179"/>
      <c r="JII1" s="179"/>
      <c r="JIJ1" s="179"/>
      <c r="JIK1" s="179"/>
      <c r="JIL1" s="179"/>
      <c r="JIM1" s="179"/>
      <c r="JIN1" s="179"/>
      <c r="JIO1" s="179"/>
      <c r="JIP1" s="179"/>
      <c r="JIQ1" s="179"/>
      <c r="JIR1" s="179"/>
      <c r="JIS1" s="179"/>
      <c r="JIT1" s="179"/>
      <c r="JIU1" s="179"/>
      <c r="JIV1" s="179"/>
      <c r="JIW1" s="179"/>
      <c r="JIX1" s="179"/>
      <c r="JIY1" s="179"/>
      <c r="JIZ1" s="179"/>
      <c r="JJA1" s="179"/>
      <c r="JJB1" s="179"/>
      <c r="JJC1" s="179"/>
      <c r="JJD1" s="179"/>
      <c r="JJE1" s="179"/>
      <c r="JJF1" s="179"/>
      <c r="JJG1" s="179"/>
      <c r="JJH1" s="179"/>
      <c r="JJI1" s="179"/>
      <c r="JJJ1" s="179"/>
      <c r="JJK1" s="179"/>
      <c r="JJL1" s="179"/>
      <c r="JJM1" s="179"/>
      <c r="JJN1" s="179"/>
      <c r="JJO1" s="179"/>
      <c r="JJP1" s="179"/>
      <c r="JJQ1" s="179"/>
      <c r="JJR1" s="179"/>
      <c r="JJS1" s="179"/>
      <c r="JJT1" s="179"/>
      <c r="JJU1" s="179"/>
      <c r="JJV1" s="179"/>
      <c r="JJW1" s="179"/>
      <c r="JJX1" s="179"/>
      <c r="JJY1" s="179"/>
      <c r="JJZ1" s="179"/>
      <c r="JKA1" s="179"/>
      <c r="JKB1" s="179"/>
      <c r="JKC1" s="179"/>
      <c r="JKD1" s="179"/>
      <c r="JKE1" s="179"/>
      <c r="JKF1" s="179"/>
      <c r="JKG1" s="179"/>
      <c r="JKH1" s="179"/>
      <c r="JKI1" s="179"/>
      <c r="JKJ1" s="179"/>
      <c r="JKK1" s="179"/>
      <c r="JKL1" s="179"/>
      <c r="JKM1" s="179"/>
      <c r="JKN1" s="179"/>
      <c r="JKO1" s="179"/>
      <c r="JKP1" s="179"/>
      <c r="JKQ1" s="179"/>
      <c r="JKR1" s="179"/>
      <c r="JKS1" s="179"/>
      <c r="JKT1" s="179"/>
      <c r="JKU1" s="179"/>
      <c r="JKV1" s="179"/>
      <c r="JKW1" s="179"/>
      <c r="JKX1" s="179"/>
      <c r="JKY1" s="179"/>
      <c r="JKZ1" s="179"/>
      <c r="JLA1" s="179"/>
      <c r="JLB1" s="179"/>
      <c r="JLC1" s="179"/>
      <c r="JLD1" s="179"/>
      <c r="JLE1" s="179"/>
      <c r="JLF1" s="179"/>
      <c r="JLG1" s="179"/>
      <c r="JLH1" s="179"/>
      <c r="JLI1" s="179"/>
      <c r="JLJ1" s="179"/>
      <c r="JLK1" s="179"/>
      <c r="JLL1" s="179"/>
      <c r="JLM1" s="179"/>
      <c r="JLN1" s="179"/>
      <c r="JLO1" s="179"/>
      <c r="JLP1" s="179"/>
      <c r="JLQ1" s="179"/>
      <c r="JLR1" s="179"/>
      <c r="JLS1" s="179"/>
      <c r="JLT1" s="179"/>
      <c r="JLU1" s="179"/>
      <c r="JLV1" s="179"/>
      <c r="JLW1" s="179"/>
      <c r="JLX1" s="179"/>
      <c r="JLY1" s="179"/>
      <c r="JLZ1" s="179"/>
      <c r="JMA1" s="179"/>
      <c r="JMB1" s="179"/>
      <c r="JMC1" s="179"/>
      <c r="JMD1" s="179"/>
      <c r="JME1" s="179"/>
      <c r="JMF1" s="179"/>
      <c r="JMG1" s="179"/>
      <c r="JMH1" s="179"/>
      <c r="JMI1" s="179"/>
      <c r="JMJ1" s="179"/>
      <c r="JMK1" s="179"/>
      <c r="JML1" s="179"/>
      <c r="JMM1" s="179"/>
      <c r="JMN1" s="179"/>
      <c r="JMO1" s="179"/>
      <c r="JMP1" s="179"/>
      <c r="JMQ1" s="179"/>
      <c r="JMR1" s="179"/>
      <c r="JMS1" s="179"/>
      <c r="JMT1" s="179"/>
      <c r="JMU1" s="179"/>
      <c r="JMV1" s="179"/>
      <c r="JMW1" s="179"/>
      <c r="JMX1" s="179"/>
      <c r="JMY1" s="179"/>
      <c r="JMZ1" s="179"/>
      <c r="JNA1" s="179"/>
      <c r="JNB1" s="179"/>
      <c r="JNC1" s="179"/>
      <c r="JND1" s="179"/>
      <c r="JNE1" s="179"/>
      <c r="JNF1" s="179"/>
      <c r="JNG1" s="179"/>
      <c r="JNH1" s="179"/>
      <c r="JNI1" s="179"/>
      <c r="JNJ1" s="179"/>
      <c r="JNK1" s="179"/>
      <c r="JNL1" s="179"/>
      <c r="JNM1" s="179"/>
      <c r="JNN1" s="179"/>
      <c r="JNO1" s="179"/>
      <c r="JNP1" s="179"/>
      <c r="JNQ1" s="179"/>
      <c r="JNR1" s="179"/>
      <c r="JNS1" s="179"/>
      <c r="JNT1" s="179"/>
      <c r="JNU1" s="179"/>
      <c r="JNV1" s="179"/>
      <c r="JNW1" s="179"/>
      <c r="JNX1" s="179"/>
      <c r="JNY1" s="179"/>
      <c r="JNZ1" s="179"/>
      <c r="JOA1" s="179"/>
      <c r="JOB1" s="179"/>
      <c r="JOC1" s="179"/>
      <c r="JOD1" s="179"/>
      <c r="JOE1" s="179"/>
      <c r="JOF1" s="179"/>
      <c r="JOG1" s="179"/>
      <c r="JOH1" s="179"/>
      <c r="JOI1" s="179"/>
      <c r="JOJ1" s="179"/>
      <c r="JOK1" s="179"/>
      <c r="JOL1" s="179"/>
      <c r="JOM1" s="179"/>
      <c r="JON1" s="179"/>
      <c r="JOO1" s="179"/>
      <c r="JOP1" s="179"/>
      <c r="JOQ1" s="179"/>
      <c r="JOR1" s="179"/>
      <c r="JOS1" s="179"/>
      <c r="JOT1" s="179"/>
      <c r="JOU1" s="179"/>
      <c r="JOV1" s="179"/>
      <c r="JOW1" s="179"/>
      <c r="JOX1" s="179"/>
      <c r="JOY1" s="179"/>
      <c r="JOZ1" s="179"/>
      <c r="JPA1" s="179"/>
      <c r="JPB1" s="179"/>
      <c r="JPC1" s="179"/>
      <c r="JPD1" s="179"/>
      <c r="JPE1" s="179"/>
      <c r="JPF1" s="179"/>
      <c r="JPG1" s="179"/>
      <c r="JPH1" s="179"/>
      <c r="JPI1" s="179"/>
      <c r="JPJ1" s="179"/>
      <c r="JPK1" s="179"/>
      <c r="JPL1" s="179"/>
      <c r="JPM1" s="179"/>
      <c r="JPN1" s="179"/>
      <c r="JPO1" s="179"/>
      <c r="JPP1" s="179"/>
      <c r="JPQ1" s="179"/>
      <c r="JPR1" s="179"/>
      <c r="JPS1" s="179"/>
      <c r="JPT1" s="179"/>
      <c r="JPU1" s="179"/>
      <c r="JPV1" s="179"/>
      <c r="JPW1" s="179"/>
      <c r="JPX1" s="179"/>
      <c r="JPY1" s="179"/>
      <c r="JPZ1" s="179"/>
      <c r="JQA1" s="179"/>
      <c r="JQB1" s="179"/>
      <c r="JQC1" s="179"/>
      <c r="JQD1" s="179"/>
      <c r="JQE1" s="179"/>
      <c r="JQF1" s="179"/>
      <c r="JQG1" s="179"/>
      <c r="JQH1" s="179"/>
      <c r="JQI1" s="179"/>
      <c r="JQJ1" s="179"/>
      <c r="JQK1" s="179"/>
      <c r="JQL1" s="179"/>
      <c r="JQM1" s="179"/>
      <c r="JQN1" s="179"/>
      <c r="JQO1" s="179"/>
      <c r="JQP1" s="179"/>
      <c r="JQQ1" s="179"/>
      <c r="JQR1" s="179"/>
      <c r="JQS1" s="179"/>
      <c r="JQT1" s="179"/>
      <c r="JQU1" s="179"/>
      <c r="JQV1" s="179"/>
      <c r="JQW1" s="179"/>
      <c r="JQX1" s="179"/>
      <c r="JQY1" s="179"/>
      <c r="JQZ1" s="179"/>
      <c r="JRA1" s="179"/>
      <c r="JRB1" s="179"/>
      <c r="JRC1" s="179"/>
      <c r="JRD1" s="179"/>
      <c r="JRE1" s="179"/>
      <c r="JRF1" s="179"/>
      <c r="JRG1" s="179"/>
      <c r="JRH1" s="179"/>
      <c r="JRI1" s="179"/>
      <c r="JRJ1" s="179"/>
      <c r="JRK1" s="179"/>
      <c r="JRL1" s="179"/>
      <c r="JRM1" s="179"/>
      <c r="JRN1" s="179"/>
      <c r="JRO1" s="179"/>
      <c r="JRP1" s="179"/>
      <c r="JRQ1" s="179"/>
      <c r="JRR1" s="179"/>
      <c r="JRS1" s="179"/>
      <c r="JRT1" s="179"/>
      <c r="JRU1" s="179"/>
      <c r="JRV1" s="179"/>
      <c r="JRW1" s="179"/>
      <c r="JRX1" s="179"/>
      <c r="JRY1" s="179"/>
      <c r="JRZ1" s="179"/>
      <c r="JSA1" s="179"/>
      <c r="JSB1" s="179"/>
      <c r="JSC1" s="179"/>
      <c r="JSD1" s="179"/>
      <c r="JSE1" s="179"/>
      <c r="JSF1" s="179"/>
      <c r="JSG1" s="179"/>
      <c r="JSH1" s="179"/>
      <c r="JSI1" s="179"/>
      <c r="JSJ1" s="179"/>
      <c r="JSK1" s="179"/>
      <c r="JSL1" s="179"/>
      <c r="JSM1" s="179"/>
      <c r="JSN1" s="179"/>
      <c r="JSO1" s="179"/>
      <c r="JSP1" s="179"/>
      <c r="JSQ1" s="179"/>
      <c r="JSR1" s="179"/>
      <c r="JSS1" s="179"/>
      <c r="JST1" s="179"/>
      <c r="JSU1" s="179"/>
      <c r="JSV1" s="179"/>
      <c r="JSW1" s="179"/>
      <c r="JSX1" s="179"/>
      <c r="JSY1" s="179"/>
      <c r="JSZ1" s="179"/>
      <c r="JTA1" s="179"/>
      <c r="JTB1" s="179"/>
      <c r="JTC1" s="179"/>
      <c r="JTD1" s="179"/>
      <c r="JTE1" s="179"/>
      <c r="JTF1" s="179"/>
      <c r="JTG1" s="179"/>
      <c r="JTH1" s="179"/>
      <c r="JTI1" s="179"/>
      <c r="JTJ1" s="179"/>
      <c r="JTK1" s="179"/>
      <c r="JTL1" s="179"/>
      <c r="JTM1" s="179"/>
      <c r="JTN1" s="179"/>
      <c r="JTO1" s="179"/>
      <c r="JTP1" s="179"/>
      <c r="JTQ1" s="179"/>
      <c r="JTR1" s="179"/>
      <c r="JTS1" s="179"/>
      <c r="JTT1" s="179"/>
      <c r="JTU1" s="179"/>
      <c r="JTV1" s="179"/>
      <c r="JTW1" s="179"/>
      <c r="JTX1" s="179"/>
      <c r="JTY1" s="179"/>
      <c r="JTZ1" s="179"/>
      <c r="JUA1" s="179"/>
      <c r="JUB1" s="179"/>
      <c r="JUC1" s="179"/>
      <c r="JUD1" s="179"/>
      <c r="JUE1" s="179"/>
      <c r="JUF1" s="179"/>
      <c r="JUG1" s="179"/>
      <c r="JUH1" s="179"/>
      <c r="JUI1" s="179"/>
      <c r="JUJ1" s="179"/>
      <c r="JUK1" s="179"/>
      <c r="JUL1" s="179"/>
      <c r="JUM1" s="179"/>
      <c r="JUN1" s="179"/>
      <c r="JUO1" s="179"/>
      <c r="JUP1" s="179"/>
      <c r="JUQ1" s="179"/>
      <c r="JUR1" s="179"/>
      <c r="JUS1" s="179"/>
      <c r="JUT1" s="179"/>
      <c r="JUU1" s="179"/>
      <c r="JUV1" s="179"/>
      <c r="JUW1" s="179"/>
      <c r="JUX1" s="179"/>
      <c r="JUY1" s="179"/>
      <c r="JUZ1" s="179"/>
      <c r="JVA1" s="179"/>
      <c r="JVB1" s="179"/>
      <c r="JVC1" s="179"/>
      <c r="JVD1" s="179"/>
      <c r="JVE1" s="179"/>
      <c r="JVF1" s="179"/>
      <c r="JVG1" s="179"/>
      <c r="JVH1" s="179"/>
      <c r="JVI1" s="179"/>
      <c r="JVJ1" s="179"/>
      <c r="JVK1" s="179"/>
      <c r="JVL1" s="179"/>
      <c r="JVM1" s="179"/>
      <c r="JVN1" s="179"/>
      <c r="JVO1" s="179"/>
      <c r="JVP1" s="179"/>
      <c r="JVQ1" s="179"/>
      <c r="JVR1" s="179"/>
      <c r="JVS1" s="179"/>
      <c r="JVT1" s="179"/>
      <c r="JVU1" s="179"/>
      <c r="JVV1" s="179"/>
      <c r="JVW1" s="179"/>
      <c r="JVX1" s="179"/>
      <c r="JVY1" s="179"/>
      <c r="JVZ1" s="179"/>
      <c r="JWA1" s="179"/>
      <c r="JWB1" s="179"/>
      <c r="JWC1" s="179"/>
      <c r="JWD1" s="179"/>
      <c r="JWE1" s="179"/>
      <c r="JWF1" s="179"/>
      <c r="JWG1" s="179"/>
      <c r="JWH1" s="179"/>
      <c r="JWI1" s="179"/>
      <c r="JWJ1" s="179"/>
      <c r="JWK1" s="179"/>
      <c r="JWL1" s="179"/>
      <c r="JWM1" s="179"/>
      <c r="JWN1" s="179"/>
      <c r="JWO1" s="179"/>
      <c r="JWP1" s="179"/>
      <c r="JWQ1" s="179"/>
      <c r="JWR1" s="179"/>
      <c r="JWS1" s="179"/>
      <c r="JWT1" s="179"/>
      <c r="JWU1" s="179"/>
      <c r="JWV1" s="179"/>
      <c r="JWW1" s="179"/>
      <c r="JWX1" s="179"/>
      <c r="JWY1" s="179"/>
      <c r="JWZ1" s="179"/>
      <c r="JXA1" s="179"/>
      <c r="JXB1" s="179"/>
      <c r="JXC1" s="179"/>
      <c r="JXD1" s="179"/>
      <c r="JXE1" s="179"/>
      <c r="JXF1" s="179"/>
      <c r="JXG1" s="179"/>
      <c r="JXH1" s="179"/>
      <c r="JXI1" s="179"/>
      <c r="JXJ1" s="179"/>
      <c r="JXK1" s="179"/>
      <c r="JXL1" s="179"/>
      <c r="JXM1" s="179"/>
      <c r="JXN1" s="179"/>
      <c r="JXO1" s="179"/>
      <c r="JXP1" s="179"/>
      <c r="JXQ1" s="179"/>
      <c r="JXR1" s="179"/>
      <c r="JXS1" s="179"/>
      <c r="JXT1" s="179"/>
      <c r="JXU1" s="179"/>
      <c r="JXV1" s="179"/>
      <c r="JXW1" s="179"/>
      <c r="JXX1" s="179"/>
      <c r="JXY1" s="179"/>
      <c r="JXZ1" s="179"/>
      <c r="JYA1" s="179"/>
      <c r="JYB1" s="179"/>
      <c r="JYC1" s="179"/>
      <c r="JYD1" s="179"/>
      <c r="JYE1" s="179"/>
      <c r="JYF1" s="179"/>
      <c r="JYG1" s="179"/>
      <c r="JYH1" s="179"/>
      <c r="JYI1" s="179"/>
      <c r="JYJ1" s="179"/>
      <c r="JYK1" s="179"/>
      <c r="JYL1" s="179"/>
      <c r="JYM1" s="179"/>
      <c r="JYN1" s="179"/>
      <c r="JYO1" s="179"/>
      <c r="JYP1" s="179"/>
      <c r="JYQ1" s="179"/>
      <c r="JYR1" s="179"/>
      <c r="JYS1" s="179"/>
      <c r="JYT1" s="179"/>
      <c r="JYU1" s="179"/>
      <c r="JYV1" s="179"/>
      <c r="JYW1" s="179"/>
      <c r="JYX1" s="179"/>
      <c r="JYY1" s="179"/>
      <c r="JYZ1" s="179"/>
      <c r="JZA1" s="179"/>
      <c r="JZB1" s="179"/>
      <c r="JZC1" s="179"/>
      <c r="JZD1" s="179"/>
      <c r="JZE1" s="179"/>
      <c r="JZF1" s="179"/>
      <c r="JZG1" s="179"/>
      <c r="JZH1" s="179"/>
      <c r="JZI1" s="179"/>
      <c r="JZJ1" s="179"/>
      <c r="JZK1" s="179"/>
      <c r="JZL1" s="179"/>
      <c r="JZM1" s="179"/>
      <c r="JZN1" s="179"/>
      <c r="JZO1" s="179"/>
      <c r="JZP1" s="179"/>
      <c r="JZQ1" s="179"/>
      <c r="JZR1" s="179"/>
      <c r="JZS1" s="179"/>
      <c r="JZT1" s="179"/>
      <c r="JZU1" s="179"/>
      <c r="JZV1" s="179"/>
      <c r="JZW1" s="179"/>
      <c r="JZX1" s="179"/>
      <c r="JZY1" s="179"/>
      <c r="JZZ1" s="179"/>
      <c r="KAA1" s="179"/>
      <c r="KAB1" s="179"/>
      <c r="KAC1" s="179"/>
      <c r="KAD1" s="179"/>
      <c r="KAE1" s="179"/>
      <c r="KAF1" s="179"/>
      <c r="KAG1" s="179"/>
      <c r="KAH1" s="179"/>
      <c r="KAI1" s="179"/>
      <c r="KAJ1" s="179"/>
      <c r="KAK1" s="179"/>
      <c r="KAL1" s="179"/>
      <c r="KAM1" s="179"/>
      <c r="KAN1" s="179"/>
      <c r="KAO1" s="179"/>
      <c r="KAP1" s="179"/>
      <c r="KAQ1" s="179"/>
      <c r="KAR1" s="179"/>
      <c r="KAS1" s="179"/>
      <c r="KAT1" s="179"/>
      <c r="KAU1" s="179"/>
      <c r="KAV1" s="179"/>
      <c r="KAW1" s="179"/>
      <c r="KAX1" s="179"/>
      <c r="KAY1" s="179"/>
      <c r="KAZ1" s="179"/>
      <c r="KBA1" s="179"/>
      <c r="KBB1" s="179"/>
      <c r="KBC1" s="179"/>
      <c r="KBD1" s="179"/>
      <c r="KBE1" s="179"/>
      <c r="KBF1" s="179"/>
      <c r="KBG1" s="179"/>
      <c r="KBH1" s="179"/>
      <c r="KBI1" s="179"/>
      <c r="KBJ1" s="179"/>
      <c r="KBK1" s="179"/>
      <c r="KBL1" s="179"/>
      <c r="KBM1" s="179"/>
      <c r="KBN1" s="179"/>
      <c r="KBO1" s="179"/>
      <c r="KBP1" s="179"/>
      <c r="KBQ1" s="179"/>
      <c r="KBR1" s="179"/>
      <c r="KBS1" s="179"/>
      <c r="KBT1" s="179"/>
      <c r="KBU1" s="179"/>
      <c r="KBV1" s="179"/>
      <c r="KBW1" s="179"/>
      <c r="KBX1" s="179"/>
      <c r="KBY1" s="179"/>
      <c r="KBZ1" s="179"/>
      <c r="KCA1" s="179"/>
      <c r="KCB1" s="179"/>
      <c r="KCC1" s="179"/>
      <c r="KCD1" s="179"/>
      <c r="KCE1" s="179"/>
      <c r="KCF1" s="179"/>
      <c r="KCG1" s="179"/>
      <c r="KCH1" s="179"/>
      <c r="KCI1" s="179"/>
      <c r="KCJ1" s="179"/>
      <c r="KCK1" s="179"/>
      <c r="KCL1" s="179"/>
      <c r="KCM1" s="179"/>
      <c r="KCN1" s="179"/>
      <c r="KCO1" s="179"/>
      <c r="KCP1" s="179"/>
      <c r="KCQ1" s="179"/>
      <c r="KCR1" s="179"/>
      <c r="KCS1" s="179"/>
      <c r="KCT1" s="179"/>
      <c r="KCU1" s="179"/>
      <c r="KCV1" s="179"/>
      <c r="KCW1" s="179"/>
      <c r="KCX1" s="179"/>
      <c r="KCY1" s="179"/>
      <c r="KCZ1" s="179"/>
      <c r="KDA1" s="179"/>
      <c r="KDB1" s="179"/>
      <c r="KDC1" s="179"/>
      <c r="KDD1" s="179"/>
      <c r="KDE1" s="179"/>
      <c r="KDF1" s="179"/>
      <c r="KDG1" s="179"/>
      <c r="KDH1" s="179"/>
      <c r="KDI1" s="179"/>
      <c r="KDJ1" s="179"/>
      <c r="KDK1" s="179"/>
      <c r="KDL1" s="179"/>
      <c r="KDM1" s="179"/>
      <c r="KDN1" s="179"/>
      <c r="KDO1" s="179"/>
      <c r="KDP1" s="179"/>
      <c r="KDQ1" s="179"/>
      <c r="KDR1" s="179"/>
      <c r="KDS1" s="179"/>
      <c r="KDT1" s="179"/>
      <c r="KDU1" s="179"/>
      <c r="KDV1" s="179"/>
      <c r="KDW1" s="179"/>
      <c r="KDX1" s="179"/>
      <c r="KDY1" s="179"/>
      <c r="KDZ1" s="179"/>
      <c r="KEA1" s="179"/>
      <c r="KEB1" s="179"/>
      <c r="KEC1" s="179"/>
      <c r="KED1" s="179"/>
      <c r="KEE1" s="179"/>
      <c r="KEF1" s="179"/>
      <c r="KEG1" s="179"/>
      <c r="KEH1" s="179"/>
      <c r="KEI1" s="179"/>
      <c r="KEJ1" s="179"/>
      <c r="KEK1" s="179"/>
      <c r="KEL1" s="179"/>
      <c r="KEM1" s="179"/>
      <c r="KEN1" s="179"/>
      <c r="KEO1" s="179"/>
      <c r="KEP1" s="179"/>
      <c r="KEQ1" s="179"/>
      <c r="KER1" s="179"/>
      <c r="KES1" s="179"/>
      <c r="KET1" s="179"/>
      <c r="KEU1" s="179"/>
      <c r="KEV1" s="179"/>
      <c r="KEW1" s="179"/>
      <c r="KEX1" s="179"/>
      <c r="KEY1" s="179"/>
      <c r="KEZ1" s="179"/>
      <c r="KFA1" s="179"/>
      <c r="KFB1" s="179"/>
      <c r="KFC1" s="179"/>
      <c r="KFD1" s="179"/>
      <c r="KFE1" s="179"/>
      <c r="KFF1" s="179"/>
      <c r="KFG1" s="179"/>
      <c r="KFH1" s="179"/>
      <c r="KFI1" s="179"/>
      <c r="KFJ1" s="179"/>
      <c r="KFK1" s="179"/>
      <c r="KFL1" s="179"/>
      <c r="KFM1" s="179"/>
      <c r="KFN1" s="179"/>
      <c r="KFO1" s="179"/>
      <c r="KFP1" s="179"/>
      <c r="KFQ1" s="179"/>
      <c r="KFR1" s="179"/>
      <c r="KFS1" s="179"/>
      <c r="KFT1" s="179"/>
      <c r="KFU1" s="179"/>
      <c r="KFV1" s="179"/>
      <c r="KFW1" s="179"/>
      <c r="KFX1" s="179"/>
      <c r="KFY1" s="179"/>
      <c r="KFZ1" s="179"/>
      <c r="KGA1" s="179"/>
      <c r="KGB1" s="179"/>
      <c r="KGC1" s="179"/>
      <c r="KGD1" s="179"/>
      <c r="KGE1" s="179"/>
      <c r="KGF1" s="179"/>
      <c r="KGG1" s="179"/>
      <c r="KGH1" s="179"/>
      <c r="KGI1" s="179"/>
      <c r="KGJ1" s="179"/>
      <c r="KGK1" s="179"/>
      <c r="KGL1" s="179"/>
      <c r="KGM1" s="179"/>
      <c r="KGN1" s="179"/>
      <c r="KGO1" s="179"/>
      <c r="KGP1" s="179"/>
      <c r="KGQ1" s="179"/>
      <c r="KGR1" s="179"/>
      <c r="KGS1" s="179"/>
      <c r="KGT1" s="179"/>
      <c r="KGU1" s="179"/>
      <c r="KGV1" s="179"/>
      <c r="KGW1" s="179"/>
      <c r="KGX1" s="179"/>
      <c r="KGY1" s="179"/>
      <c r="KGZ1" s="179"/>
      <c r="KHA1" s="179"/>
      <c r="KHB1" s="179"/>
      <c r="KHC1" s="179"/>
      <c r="KHD1" s="179"/>
      <c r="KHE1" s="179"/>
      <c r="KHF1" s="179"/>
      <c r="KHG1" s="179"/>
      <c r="KHH1" s="179"/>
      <c r="KHI1" s="179"/>
      <c r="KHJ1" s="179"/>
      <c r="KHK1" s="179"/>
      <c r="KHL1" s="179"/>
      <c r="KHM1" s="179"/>
      <c r="KHN1" s="179"/>
      <c r="KHO1" s="179"/>
      <c r="KHP1" s="179"/>
      <c r="KHQ1" s="179"/>
      <c r="KHR1" s="179"/>
      <c r="KHS1" s="179"/>
      <c r="KHT1" s="179"/>
      <c r="KHU1" s="179"/>
      <c r="KHV1" s="179"/>
      <c r="KHW1" s="179"/>
      <c r="KHX1" s="179"/>
      <c r="KHY1" s="179"/>
      <c r="KHZ1" s="179"/>
      <c r="KIA1" s="179"/>
      <c r="KIB1" s="179"/>
      <c r="KIC1" s="179"/>
      <c r="KID1" s="179"/>
      <c r="KIE1" s="179"/>
      <c r="KIF1" s="179"/>
      <c r="KIG1" s="179"/>
      <c r="KIH1" s="179"/>
      <c r="KII1" s="179"/>
      <c r="KIJ1" s="179"/>
      <c r="KIK1" s="179"/>
      <c r="KIL1" s="179"/>
      <c r="KIM1" s="179"/>
      <c r="KIN1" s="179"/>
      <c r="KIO1" s="179"/>
      <c r="KIP1" s="179"/>
      <c r="KIQ1" s="179"/>
      <c r="KIR1" s="179"/>
      <c r="KIS1" s="179"/>
      <c r="KIT1" s="179"/>
      <c r="KIU1" s="179"/>
      <c r="KIV1" s="179"/>
      <c r="KIW1" s="179"/>
      <c r="KIX1" s="179"/>
      <c r="KIY1" s="179"/>
      <c r="KIZ1" s="179"/>
      <c r="KJA1" s="179"/>
      <c r="KJB1" s="179"/>
      <c r="KJC1" s="179"/>
      <c r="KJD1" s="179"/>
      <c r="KJE1" s="179"/>
      <c r="KJF1" s="179"/>
      <c r="KJG1" s="179"/>
      <c r="KJH1" s="179"/>
      <c r="KJI1" s="179"/>
      <c r="KJJ1" s="179"/>
      <c r="KJK1" s="179"/>
      <c r="KJL1" s="179"/>
      <c r="KJM1" s="179"/>
      <c r="KJN1" s="179"/>
      <c r="KJO1" s="179"/>
      <c r="KJP1" s="179"/>
      <c r="KJQ1" s="179"/>
      <c r="KJR1" s="179"/>
      <c r="KJS1" s="179"/>
      <c r="KJT1" s="179"/>
      <c r="KJU1" s="179"/>
      <c r="KJV1" s="179"/>
      <c r="KJW1" s="179"/>
      <c r="KJX1" s="179"/>
      <c r="KJY1" s="179"/>
      <c r="KJZ1" s="179"/>
      <c r="KKA1" s="179"/>
      <c r="KKB1" s="179"/>
      <c r="KKC1" s="179"/>
      <c r="KKD1" s="179"/>
      <c r="KKE1" s="179"/>
      <c r="KKF1" s="179"/>
      <c r="KKG1" s="179"/>
      <c r="KKH1" s="179"/>
      <c r="KKI1" s="179"/>
      <c r="KKJ1" s="179"/>
      <c r="KKK1" s="179"/>
      <c r="KKL1" s="179"/>
      <c r="KKM1" s="179"/>
      <c r="KKN1" s="179"/>
      <c r="KKO1" s="179"/>
      <c r="KKP1" s="179"/>
      <c r="KKQ1" s="179"/>
      <c r="KKR1" s="179"/>
      <c r="KKS1" s="179"/>
      <c r="KKT1" s="179"/>
      <c r="KKU1" s="179"/>
      <c r="KKV1" s="179"/>
      <c r="KKW1" s="179"/>
      <c r="KKX1" s="179"/>
      <c r="KKY1" s="179"/>
      <c r="KKZ1" s="179"/>
      <c r="KLA1" s="179"/>
      <c r="KLB1" s="179"/>
      <c r="KLC1" s="179"/>
      <c r="KLD1" s="179"/>
      <c r="KLE1" s="179"/>
      <c r="KLF1" s="179"/>
      <c r="KLG1" s="179"/>
      <c r="KLH1" s="179"/>
      <c r="KLI1" s="179"/>
      <c r="KLJ1" s="179"/>
      <c r="KLK1" s="179"/>
      <c r="KLL1" s="179"/>
      <c r="KLM1" s="179"/>
      <c r="KLN1" s="179"/>
      <c r="KLO1" s="179"/>
      <c r="KLP1" s="179"/>
      <c r="KLQ1" s="179"/>
      <c r="KLR1" s="179"/>
      <c r="KLS1" s="179"/>
      <c r="KLT1" s="179"/>
      <c r="KLU1" s="179"/>
      <c r="KLV1" s="179"/>
      <c r="KLW1" s="179"/>
      <c r="KLX1" s="179"/>
      <c r="KLY1" s="179"/>
      <c r="KLZ1" s="179"/>
      <c r="KMA1" s="179"/>
      <c r="KMB1" s="179"/>
      <c r="KMC1" s="179"/>
      <c r="KMD1" s="179"/>
      <c r="KME1" s="179"/>
      <c r="KMF1" s="179"/>
      <c r="KMG1" s="179"/>
      <c r="KMH1" s="179"/>
      <c r="KMI1" s="179"/>
      <c r="KMJ1" s="179"/>
      <c r="KMK1" s="179"/>
      <c r="KML1" s="179"/>
      <c r="KMM1" s="179"/>
      <c r="KMN1" s="179"/>
      <c r="KMO1" s="179"/>
      <c r="KMP1" s="179"/>
      <c r="KMQ1" s="179"/>
      <c r="KMR1" s="179"/>
      <c r="KMS1" s="179"/>
      <c r="KMT1" s="179"/>
      <c r="KMU1" s="179"/>
      <c r="KMV1" s="179"/>
      <c r="KMW1" s="179"/>
      <c r="KMX1" s="179"/>
      <c r="KMY1" s="179"/>
      <c r="KMZ1" s="179"/>
      <c r="KNA1" s="179"/>
      <c r="KNB1" s="179"/>
      <c r="KNC1" s="179"/>
      <c r="KND1" s="179"/>
      <c r="KNE1" s="179"/>
      <c r="KNF1" s="179"/>
      <c r="KNG1" s="179"/>
      <c r="KNH1" s="179"/>
      <c r="KNI1" s="179"/>
      <c r="KNJ1" s="179"/>
      <c r="KNK1" s="179"/>
      <c r="KNL1" s="179"/>
      <c r="KNM1" s="179"/>
      <c r="KNN1" s="179"/>
      <c r="KNO1" s="179"/>
      <c r="KNP1" s="179"/>
      <c r="KNQ1" s="179"/>
      <c r="KNR1" s="179"/>
      <c r="KNS1" s="179"/>
      <c r="KNT1" s="179"/>
      <c r="KNU1" s="179"/>
      <c r="KNV1" s="179"/>
      <c r="KNW1" s="179"/>
      <c r="KNX1" s="179"/>
      <c r="KNY1" s="179"/>
      <c r="KNZ1" s="179"/>
      <c r="KOA1" s="179"/>
      <c r="KOB1" s="179"/>
      <c r="KOC1" s="179"/>
      <c r="KOD1" s="179"/>
      <c r="KOE1" s="179"/>
      <c r="KOF1" s="179"/>
      <c r="KOG1" s="179"/>
      <c r="KOH1" s="179"/>
      <c r="KOI1" s="179"/>
      <c r="KOJ1" s="179"/>
      <c r="KOK1" s="179"/>
      <c r="KOL1" s="179"/>
      <c r="KOM1" s="179"/>
      <c r="KON1" s="179"/>
      <c r="KOO1" s="179"/>
      <c r="KOP1" s="179"/>
      <c r="KOQ1" s="179"/>
      <c r="KOR1" s="179"/>
      <c r="KOS1" s="179"/>
      <c r="KOT1" s="179"/>
      <c r="KOU1" s="179"/>
      <c r="KOV1" s="179"/>
      <c r="KOW1" s="179"/>
      <c r="KOX1" s="179"/>
      <c r="KOY1" s="179"/>
      <c r="KOZ1" s="179"/>
      <c r="KPA1" s="179"/>
      <c r="KPB1" s="179"/>
      <c r="KPC1" s="179"/>
      <c r="KPD1" s="179"/>
      <c r="KPE1" s="179"/>
      <c r="KPF1" s="179"/>
      <c r="KPG1" s="179"/>
      <c r="KPH1" s="179"/>
      <c r="KPI1" s="179"/>
      <c r="KPJ1" s="179"/>
      <c r="KPK1" s="179"/>
      <c r="KPL1" s="179"/>
      <c r="KPM1" s="179"/>
      <c r="KPN1" s="179"/>
      <c r="KPO1" s="179"/>
      <c r="KPP1" s="179"/>
      <c r="KPQ1" s="179"/>
      <c r="KPR1" s="179"/>
      <c r="KPS1" s="179"/>
      <c r="KPT1" s="179"/>
      <c r="KPU1" s="179"/>
      <c r="KPV1" s="179"/>
      <c r="KPW1" s="179"/>
      <c r="KPX1" s="179"/>
      <c r="KPY1" s="179"/>
      <c r="KPZ1" s="179"/>
      <c r="KQA1" s="179"/>
      <c r="KQB1" s="179"/>
      <c r="KQC1" s="179"/>
      <c r="KQD1" s="179"/>
      <c r="KQE1" s="179"/>
      <c r="KQF1" s="179"/>
      <c r="KQG1" s="179"/>
      <c r="KQH1" s="179"/>
      <c r="KQI1" s="179"/>
      <c r="KQJ1" s="179"/>
      <c r="KQK1" s="179"/>
      <c r="KQL1" s="179"/>
      <c r="KQM1" s="179"/>
      <c r="KQN1" s="179"/>
      <c r="KQO1" s="179"/>
      <c r="KQP1" s="179"/>
      <c r="KQQ1" s="179"/>
      <c r="KQR1" s="179"/>
      <c r="KQS1" s="179"/>
      <c r="KQT1" s="179"/>
      <c r="KQU1" s="179"/>
      <c r="KQV1" s="179"/>
      <c r="KQW1" s="179"/>
      <c r="KQX1" s="179"/>
      <c r="KQY1" s="179"/>
      <c r="KQZ1" s="179"/>
      <c r="KRA1" s="179"/>
      <c r="KRB1" s="179"/>
      <c r="KRC1" s="179"/>
      <c r="KRD1" s="179"/>
      <c r="KRE1" s="179"/>
      <c r="KRF1" s="179"/>
      <c r="KRG1" s="179"/>
      <c r="KRH1" s="179"/>
      <c r="KRI1" s="179"/>
      <c r="KRJ1" s="179"/>
      <c r="KRK1" s="179"/>
      <c r="KRL1" s="179"/>
      <c r="KRM1" s="179"/>
      <c r="KRN1" s="179"/>
      <c r="KRO1" s="179"/>
      <c r="KRP1" s="179"/>
      <c r="KRQ1" s="179"/>
      <c r="KRR1" s="179"/>
      <c r="KRS1" s="179"/>
      <c r="KRT1" s="179"/>
      <c r="KRU1" s="179"/>
      <c r="KRV1" s="179"/>
      <c r="KRW1" s="179"/>
      <c r="KRX1" s="179"/>
      <c r="KRY1" s="179"/>
      <c r="KRZ1" s="179"/>
      <c r="KSA1" s="179"/>
      <c r="KSB1" s="179"/>
      <c r="KSC1" s="179"/>
      <c r="KSD1" s="179"/>
      <c r="KSE1" s="179"/>
      <c r="KSF1" s="179"/>
      <c r="KSG1" s="179"/>
      <c r="KSH1" s="179"/>
      <c r="KSI1" s="179"/>
      <c r="KSJ1" s="179"/>
      <c r="KSK1" s="179"/>
      <c r="KSL1" s="179"/>
      <c r="KSM1" s="179"/>
      <c r="KSN1" s="179"/>
      <c r="KSO1" s="179"/>
      <c r="KSP1" s="179"/>
      <c r="KSQ1" s="179"/>
      <c r="KSR1" s="179"/>
      <c r="KSS1" s="179"/>
      <c r="KST1" s="179"/>
      <c r="KSU1" s="179"/>
      <c r="KSV1" s="179"/>
      <c r="KSW1" s="179"/>
      <c r="KSX1" s="179"/>
      <c r="KSY1" s="179"/>
      <c r="KSZ1" s="179"/>
      <c r="KTA1" s="179"/>
      <c r="KTB1" s="179"/>
      <c r="KTC1" s="179"/>
      <c r="KTD1" s="179"/>
      <c r="KTE1" s="179"/>
      <c r="KTF1" s="179"/>
      <c r="KTG1" s="179"/>
      <c r="KTH1" s="179"/>
      <c r="KTI1" s="179"/>
      <c r="KTJ1" s="179"/>
      <c r="KTK1" s="179"/>
      <c r="KTL1" s="179"/>
      <c r="KTM1" s="179"/>
      <c r="KTN1" s="179"/>
      <c r="KTO1" s="179"/>
      <c r="KTP1" s="179"/>
      <c r="KTQ1" s="179"/>
      <c r="KTR1" s="179"/>
      <c r="KTS1" s="179"/>
      <c r="KTT1" s="179"/>
      <c r="KTU1" s="179"/>
      <c r="KTV1" s="179"/>
      <c r="KTW1" s="179"/>
      <c r="KTX1" s="179"/>
      <c r="KTY1" s="179"/>
      <c r="KTZ1" s="179"/>
      <c r="KUA1" s="179"/>
      <c r="KUB1" s="179"/>
      <c r="KUC1" s="179"/>
      <c r="KUD1" s="179"/>
      <c r="KUE1" s="179"/>
      <c r="KUF1" s="179"/>
      <c r="KUG1" s="179"/>
      <c r="KUH1" s="179"/>
      <c r="KUI1" s="179"/>
      <c r="KUJ1" s="179"/>
      <c r="KUK1" s="179"/>
      <c r="KUL1" s="179"/>
      <c r="KUM1" s="179"/>
      <c r="KUN1" s="179"/>
      <c r="KUO1" s="179"/>
      <c r="KUP1" s="179"/>
      <c r="KUQ1" s="179"/>
      <c r="KUR1" s="179"/>
      <c r="KUS1" s="179"/>
      <c r="KUT1" s="179"/>
      <c r="KUU1" s="179"/>
      <c r="KUV1" s="179"/>
      <c r="KUW1" s="179"/>
      <c r="KUX1" s="179"/>
      <c r="KUY1" s="179"/>
      <c r="KUZ1" s="179"/>
      <c r="KVA1" s="179"/>
      <c r="KVB1" s="179"/>
      <c r="KVC1" s="179"/>
      <c r="KVD1" s="179"/>
      <c r="KVE1" s="179"/>
      <c r="KVF1" s="179"/>
      <c r="KVG1" s="179"/>
      <c r="KVH1" s="179"/>
      <c r="KVI1" s="179"/>
      <c r="KVJ1" s="179"/>
      <c r="KVK1" s="179"/>
      <c r="KVL1" s="179"/>
      <c r="KVM1" s="179"/>
      <c r="KVN1" s="179"/>
      <c r="KVO1" s="179"/>
      <c r="KVP1" s="179"/>
      <c r="KVQ1" s="179"/>
      <c r="KVR1" s="179"/>
      <c r="KVS1" s="179"/>
      <c r="KVT1" s="179"/>
      <c r="KVU1" s="179"/>
      <c r="KVV1" s="179"/>
      <c r="KVW1" s="179"/>
      <c r="KVX1" s="179"/>
      <c r="KVY1" s="179"/>
      <c r="KVZ1" s="179"/>
      <c r="KWA1" s="179"/>
      <c r="KWB1" s="179"/>
      <c r="KWC1" s="179"/>
      <c r="KWD1" s="179"/>
      <c r="KWE1" s="179"/>
      <c r="KWF1" s="179"/>
      <c r="KWG1" s="179"/>
      <c r="KWH1" s="179"/>
      <c r="KWI1" s="179"/>
      <c r="KWJ1" s="179"/>
      <c r="KWK1" s="179"/>
      <c r="KWL1" s="179"/>
      <c r="KWM1" s="179"/>
      <c r="KWN1" s="179"/>
      <c r="KWO1" s="179"/>
      <c r="KWP1" s="179"/>
      <c r="KWQ1" s="179"/>
      <c r="KWR1" s="179"/>
      <c r="KWS1" s="179"/>
      <c r="KWT1" s="179"/>
      <c r="KWU1" s="179"/>
      <c r="KWV1" s="179"/>
      <c r="KWW1" s="179"/>
      <c r="KWX1" s="179"/>
      <c r="KWY1" s="179"/>
      <c r="KWZ1" s="179"/>
      <c r="KXA1" s="179"/>
      <c r="KXB1" s="179"/>
      <c r="KXC1" s="179"/>
      <c r="KXD1" s="179"/>
      <c r="KXE1" s="179"/>
      <c r="KXF1" s="179"/>
      <c r="KXG1" s="179"/>
      <c r="KXH1" s="179"/>
      <c r="KXI1" s="179"/>
      <c r="KXJ1" s="179"/>
      <c r="KXK1" s="179"/>
      <c r="KXL1" s="179"/>
      <c r="KXM1" s="179"/>
      <c r="KXN1" s="179"/>
      <c r="KXO1" s="179"/>
      <c r="KXP1" s="179"/>
      <c r="KXQ1" s="179"/>
      <c r="KXR1" s="179"/>
      <c r="KXS1" s="179"/>
      <c r="KXT1" s="179"/>
      <c r="KXU1" s="179"/>
      <c r="KXV1" s="179"/>
      <c r="KXW1" s="179"/>
      <c r="KXX1" s="179"/>
      <c r="KXY1" s="179"/>
      <c r="KXZ1" s="179"/>
      <c r="KYA1" s="179"/>
      <c r="KYB1" s="179"/>
      <c r="KYC1" s="179"/>
      <c r="KYD1" s="179"/>
      <c r="KYE1" s="179"/>
      <c r="KYF1" s="179"/>
      <c r="KYG1" s="179"/>
      <c r="KYH1" s="179"/>
      <c r="KYI1" s="179"/>
      <c r="KYJ1" s="179"/>
      <c r="KYK1" s="179"/>
      <c r="KYL1" s="179"/>
      <c r="KYM1" s="179"/>
      <c r="KYN1" s="179"/>
      <c r="KYO1" s="179"/>
      <c r="KYP1" s="179"/>
      <c r="KYQ1" s="179"/>
      <c r="KYR1" s="179"/>
      <c r="KYS1" s="179"/>
      <c r="KYT1" s="179"/>
      <c r="KYU1" s="179"/>
      <c r="KYV1" s="179"/>
      <c r="KYW1" s="179"/>
      <c r="KYX1" s="179"/>
      <c r="KYY1" s="179"/>
      <c r="KYZ1" s="179"/>
      <c r="KZA1" s="179"/>
      <c r="KZB1" s="179"/>
      <c r="KZC1" s="179"/>
      <c r="KZD1" s="179"/>
      <c r="KZE1" s="179"/>
      <c r="KZF1" s="179"/>
      <c r="KZG1" s="179"/>
      <c r="KZH1" s="179"/>
      <c r="KZI1" s="179"/>
      <c r="KZJ1" s="179"/>
      <c r="KZK1" s="179"/>
      <c r="KZL1" s="179"/>
      <c r="KZM1" s="179"/>
      <c r="KZN1" s="179"/>
      <c r="KZO1" s="179"/>
      <c r="KZP1" s="179"/>
      <c r="KZQ1" s="179"/>
      <c r="KZR1" s="179"/>
      <c r="KZS1" s="179"/>
      <c r="KZT1" s="179"/>
      <c r="KZU1" s="179"/>
      <c r="KZV1" s="179"/>
      <c r="KZW1" s="179"/>
      <c r="KZX1" s="179"/>
      <c r="KZY1" s="179"/>
      <c r="KZZ1" s="179"/>
      <c r="LAA1" s="179"/>
      <c r="LAB1" s="179"/>
      <c r="LAC1" s="179"/>
      <c r="LAD1" s="179"/>
      <c r="LAE1" s="179"/>
      <c r="LAF1" s="179"/>
      <c r="LAG1" s="179"/>
      <c r="LAH1" s="179"/>
      <c r="LAI1" s="179"/>
      <c r="LAJ1" s="179"/>
      <c r="LAK1" s="179"/>
      <c r="LAL1" s="179"/>
      <c r="LAM1" s="179"/>
      <c r="LAN1" s="179"/>
      <c r="LAO1" s="179"/>
      <c r="LAP1" s="179"/>
      <c r="LAQ1" s="179"/>
      <c r="LAR1" s="179"/>
      <c r="LAS1" s="179"/>
      <c r="LAT1" s="179"/>
      <c r="LAU1" s="179"/>
      <c r="LAV1" s="179"/>
      <c r="LAW1" s="179"/>
      <c r="LAX1" s="179"/>
      <c r="LAY1" s="179"/>
      <c r="LAZ1" s="179"/>
      <c r="LBA1" s="179"/>
      <c r="LBB1" s="179"/>
      <c r="LBC1" s="179"/>
      <c r="LBD1" s="179"/>
      <c r="LBE1" s="179"/>
      <c r="LBF1" s="179"/>
      <c r="LBG1" s="179"/>
      <c r="LBH1" s="179"/>
      <c r="LBI1" s="179"/>
      <c r="LBJ1" s="179"/>
      <c r="LBK1" s="179"/>
      <c r="LBL1" s="179"/>
      <c r="LBM1" s="179"/>
      <c r="LBN1" s="179"/>
      <c r="LBO1" s="179"/>
      <c r="LBP1" s="179"/>
      <c r="LBQ1" s="179"/>
      <c r="LBR1" s="179"/>
      <c r="LBS1" s="179"/>
      <c r="LBT1" s="179"/>
      <c r="LBU1" s="179"/>
      <c r="LBV1" s="179"/>
      <c r="LBW1" s="179"/>
      <c r="LBX1" s="179"/>
      <c r="LBY1" s="179"/>
      <c r="LBZ1" s="179"/>
      <c r="LCA1" s="179"/>
      <c r="LCB1" s="179"/>
      <c r="LCC1" s="179"/>
      <c r="LCD1" s="179"/>
      <c r="LCE1" s="179"/>
      <c r="LCF1" s="179"/>
      <c r="LCG1" s="179"/>
      <c r="LCH1" s="179"/>
      <c r="LCI1" s="179"/>
      <c r="LCJ1" s="179"/>
      <c r="LCK1" s="179"/>
      <c r="LCL1" s="179"/>
      <c r="LCM1" s="179"/>
      <c r="LCN1" s="179"/>
      <c r="LCO1" s="179"/>
      <c r="LCP1" s="179"/>
      <c r="LCQ1" s="179"/>
      <c r="LCR1" s="179"/>
      <c r="LCS1" s="179"/>
      <c r="LCT1" s="179"/>
      <c r="LCU1" s="179"/>
      <c r="LCV1" s="179"/>
      <c r="LCW1" s="179"/>
      <c r="LCX1" s="179"/>
      <c r="LCY1" s="179"/>
      <c r="LCZ1" s="179"/>
      <c r="LDA1" s="179"/>
      <c r="LDB1" s="179"/>
      <c r="LDC1" s="179"/>
      <c r="LDD1" s="179"/>
      <c r="LDE1" s="179"/>
      <c r="LDF1" s="179"/>
      <c r="LDG1" s="179"/>
      <c r="LDH1" s="179"/>
      <c r="LDI1" s="179"/>
      <c r="LDJ1" s="179"/>
      <c r="LDK1" s="179"/>
      <c r="LDL1" s="179"/>
      <c r="LDM1" s="179"/>
      <c r="LDN1" s="179"/>
      <c r="LDO1" s="179"/>
      <c r="LDP1" s="179"/>
      <c r="LDQ1" s="179"/>
      <c r="LDR1" s="179"/>
      <c r="LDS1" s="179"/>
      <c r="LDT1" s="179"/>
      <c r="LDU1" s="179"/>
      <c r="LDV1" s="179"/>
      <c r="LDW1" s="179"/>
      <c r="LDX1" s="179"/>
      <c r="LDY1" s="179"/>
      <c r="LDZ1" s="179"/>
      <c r="LEA1" s="179"/>
      <c r="LEB1" s="179"/>
      <c r="LEC1" s="179"/>
      <c r="LED1" s="179"/>
      <c r="LEE1" s="179"/>
      <c r="LEF1" s="179"/>
      <c r="LEG1" s="179"/>
      <c r="LEH1" s="179"/>
      <c r="LEI1" s="179"/>
      <c r="LEJ1" s="179"/>
      <c r="LEK1" s="179"/>
      <c r="LEL1" s="179"/>
      <c r="LEM1" s="179"/>
      <c r="LEN1" s="179"/>
      <c r="LEO1" s="179"/>
      <c r="LEP1" s="179"/>
      <c r="LEQ1" s="179"/>
      <c r="LER1" s="179"/>
      <c r="LES1" s="179"/>
      <c r="LET1" s="179"/>
      <c r="LEU1" s="179"/>
      <c r="LEV1" s="179"/>
      <c r="LEW1" s="179"/>
      <c r="LEX1" s="179"/>
      <c r="LEY1" s="179"/>
      <c r="LEZ1" s="179"/>
      <c r="LFA1" s="179"/>
      <c r="LFB1" s="179"/>
      <c r="LFC1" s="179"/>
      <c r="LFD1" s="179"/>
      <c r="LFE1" s="179"/>
      <c r="LFF1" s="179"/>
      <c r="LFG1" s="179"/>
      <c r="LFH1" s="179"/>
      <c r="LFI1" s="179"/>
      <c r="LFJ1" s="179"/>
      <c r="LFK1" s="179"/>
      <c r="LFL1" s="179"/>
      <c r="LFM1" s="179"/>
      <c r="LFN1" s="179"/>
      <c r="LFO1" s="179"/>
      <c r="LFP1" s="179"/>
      <c r="LFQ1" s="179"/>
      <c r="LFR1" s="179"/>
      <c r="LFS1" s="179"/>
      <c r="LFT1" s="179"/>
      <c r="LFU1" s="179"/>
      <c r="LFV1" s="179"/>
      <c r="LFW1" s="179"/>
      <c r="LFX1" s="179"/>
      <c r="LFY1" s="179"/>
      <c r="LFZ1" s="179"/>
      <c r="LGA1" s="179"/>
      <c r="LGB1" s="179"/>
      <c r="LGC1" s="179"/>
      <c r="LGD1" s="179"/>
      <c r="LGE1" s="179"/>
      <c r="LGF1" s="179"/>
      <c r="LGG1" s="179"/>
      <c r="LGH1" s="179"/>
      <c r="LGI1" s="179"/>
      <c r="LGJ1" s="179"/>
      <c r="LGK1" s="179"/>
      <c r="LGL1" s="179"/>
      <c r="LGM1" s="179"/>
      <c r="LGN1" s="179"/>
      <c r="LGO1" s="179"/>
      <c r="LGP1" s="179"/>
      <c r="LGQ1" s="179"/>
      <c r="LGR1" s="179"/>
      <c r="LGS1" s="179"/>
      <c r="LGT1" s="179"/>
      <c r="LGU1" s="179"/>
      <c r="LGV1" s="179"/>
      <c r="LGW1" s="179"/>
      <c r="LGX1" s="179"/>
      <c r="LGY1" s="179"/>
      <c r="LGZ1" s="179"/>
      <c r="LHA1" s="179"/>
      <c r="LHB1" s="179"/>
      <c r="LHC1" s="179"/>
      <c r="LHD1" s="179"/>
      <c r="LHE1" s="179"/>
      <c r="LHF1" s="179"/>
      <c r="LHG1" s="179"/>
      <c r="LHH1" s="179"/>
      <c r="LHI1" s="179"/>
      <c r="LHJ1" s="179"/>
      <c r="LHK1" s="179"/>
      <c r="LHL1" s="179"/>
      <c r="LHM1" s="179"/>
      <c r="LHN1" s="179"/>
      <c r="LHO1" s="179"/>
      <c r="LHP1" s="179"/>
      <c r="LHQ1" s="179"/>
      <c r="LHR1" s="179"/>
      <c r="LHS1" s="179"/>
      <c r="LHT1" s="179"/>
      <c r="LHU1" s="179"/>
      <c r="LHV1" s="179"/>
      <c r="LHW1" s="179"/>
      <c r="LHX1" s="179"/>
      <c r="LHY1" s="179"/>
      <c r="LHZ1" s="179"/>
      <c r="LIA1" s="179"/>
      <c r="LIB1" s="179"/>
      <c r="LIC1" s="179"/>
      <c r="LID1" s="179"/>
      <c r="LIE1" s="179"/>
      <c r="LIF1" s="179"/>
      <c r="LIG1" s="179"/>
      <c r="LIH1" s="179"/>
      <c r="LII1" s="179"/>
      <c r="LIJ1" s="179"/>
      <c r="LIK1" s="179"/>
      <c r="LIL1" s="179"/>
      <c r="LIM1" s="179"/>
      <c r="LIN1" s="179"/>
      <c r="LIO1" s="179"/>
      <c r="LIP1" s="179"/>
      <c r="LIQ1" s="179"/>
      <c r="LIR1" s="179"/>
      <c r="LIS1" s="179"/>
      <c r="LIT1" s="179"/>
      <c r="LIU1" s="179"/>
      <c r="LIV1" s="179"/>
      <c r="LIW1" s="179"/>
      <c r="LIX1" s="179"/>
      <c r="LIY1" s="179"/>
      <c r="LIZ1" s="179"/>
      <c r="LJA1" s="179"/>
      <c r="LJB1" s="179"/>
      <c r="LJC1" s="179"/>
      <c r="LJD1" s="179"/>
      <c r="LJE1" s="179"/>
      <c r="LJF1" s="179"/>
      <c r="LJG1" s="179"/>
      <c r="LJH1" s="179"/>
      <c r="LJI1" s="179"/>
      <c r="LJJ1" s="179"/>
      <c r="LJK1" s="179"/>
      <c r="LJL1" s="179"/>
      <c r="LJM1" s="179"/>
      <c r="LJN1" s="179"/>
      <c r="LJO1" s="179"/>
      <c r="LJP1" s="179"/>
      <c r="LJQ1" s="179"/>
      <c r="LJR1" s="179"/>
      <c r="LJS1" s="179"/>
      <c r="LJT1" s="179"/>
      <c r="LJU1" s="179"/>
      <c r="LJV1" s="179"/>
      <c r="LJW1" s="179"/>
      <c r="LJX1" s="179"/>
      <c r="LJY1" s="179"/>
      <c r="LJZ1" s="179"/>
      <c r="LKA1" s="179"/>
      <c r="LKB1" s="179"/>
      <c r="LKC1" s="179"/>
      <c r="LKD1" s="179"/>
      <c r="LKE1" s="179"/>
      <c r="LKF1" s="179"/>
      <c r="LKG1" s="179"/>
      <c r="LKH1" s="179"/>
      <c r="LKI1" s="179"/>
      <c r="LKJ1" s="179"/>
      <c r="LKK1" s="179"/>
      <c r="LKL1" s="179"/>
      <c r="LKM1" s="179"/>
      <c r="LKN1" s="179"/>
      <c r="LKO1" s="179"/>
      <c r="LKP1" s="179"/>
      <c r="LKQ1" s="179"/>
      <c r="LKR1" s="179"/>
      <c r="LKS1" s="179"/>
      <c r="LKT1" s="179"/>
      <c r="LKU1" s="179"/>
      <c r="LKV1" s="179"/>
      <c r="LKW1" s="179"/>
      <c r="LKX1" s="179"/>
      <c r="LKY1" s="179"/>
      <c r="LKZ1" s="179"/>
      <c r="LLA1" s="179"/>
      <c r="LLB1" s="179"/>
      <c r="LLC1" s="179"/>
      <c r="LLD1" s="179"/>
      <c r="LLE1" s="179"/>
      <c r="LLF1" s="179"/>
      <c r="LLG1" s="179"/>
      <c r="LLH1" s="179"/>
      <c r="LLI1" s="179"/>
      <c r="LLJ1" s="179"/>
      <c r="LLK1" s="179"/>
      <c r="LLL1" s="179"/>
      <c r="LLM1" s="179"/>
      <c r="LLN1" s="179"/>
      <c r="LLO1" s="179"/>
      <c r="LLP1" s="179"/>
      <c r="LLQ1" s="179"/>
      <c r="LLR1" s="179"/>
      <c r="LLS1" s="179"/>
      <c r="LLT1" s="179"/>
      <c r="LLU1" s="179"/>
      <c r="LLV1" s="179"/>
      <c r="LLW1" s="179"/>
      <c r="LLX1" s="179"/>
      <c r="LLY1" s="179"/>
      <c r="LLZ1" s="179"/>
      <c r="LMA1" s="179"/>
      <c r="LMB1" s="179"/>
      <c r="LMC1" s="179"/>
      <c r="LMD1" s="179"/>
      <c r="LME1" s="179"/>
      <c r="LMF1" s="179"/>
      <c r="LMG1" s="179"/>
      <c r="LMH1" s="179"/>
      <c r="LMI1" s="179"/>
      <c r="LMJ1" s="179"/>
      <c r="LMK1" s="179"/>
      <c r="LML1" s="179"/>
      <c r="LMM1" s="179"/>
      <c r="LMN1" s="179"/>
      <c r="LMO1" s="179"/>
      <c r="LMP1" s="179"/>
      <c r="LMQ1" s="179"/>
      <c r="LMR1" s="179"/>
      <c r="LMS1" s="179"/>
      <c r="LMT1" s="179"/>
      <c r="LMU1" s="179"/>
      <c r="LMV1" s="179"/>
      <c r="LMW1" s="179"/>
      <c r="LMX1" s="179"/>
      <c r="LMY1" s="179"/>
      <c r="LMZ1" s="179"/>
      <c r="LNA1" s="179"/>
      <c r="LNB1" s="179"/>
      <c r="LNC1" s="179"/>
      <c r="LND1" s="179"/>
      <c r="LNE1" s="179"/>
      <c r="LNF1" s="179"/>
      <c r="LNG1" s="179"/>
      <c r="LNH1" s="179"/>
      <c r="LNI1" s="179"/>
      <c r="LNJ1" s="179"/>
      <c r="LNK1" s="179"/>
      <c r="LNL1" s="179"/>
      <c r="LNM1" s="179"/>
      <c r="LNN1" s="179"/>
      <c r="LNO1" s="179"/>
      <c r="LNP1" s="179"/>
      <c r="LNQ1" s="179"/>
      <c r="LNR1" s="179"/>
      <c r="LNS1" s="179"/>
      <c r="LNT1" s="179"/>
      <c r="LNU1" s="179"/>
      <c r="LNV1" s="179"/>
      <c r="LNW1" s="179"/>
      <c r="LNX1" s="179"/>
      <c r="LNY1" s="179"/>
      <c r="LNZ1" s="179"/>
      <c r="LOA1" s="179"/>
      <c r="LOB1" s="179"/>
      <c r="LOC1" s="179"/>
      <c r="LOD1" s="179"/>
      <c r="LOE1" s="179"/>
      <c r="LOF1" s="179"/>
      <c r="LOG1" s="179"/>
      <c r="LOH1" s="179"/>
      <c r="LOI1" s="179"/>
      <c r="LOJ1" s="179"/>
      <c r="LOK1" s="179"/>
      <c r="LOL1" s="179"/>
      <c r="LOM1" s="179"/>
      <c r="LON1" s="179"/>
      <c r="LOO1" s="179"/>
      <c r="LOP1" s="179"/>
      <c r="LOQ1" s="179"/>
      <c r="LOR1" s="179"/>
      <c r="LOS1" s="179"/>
      <c r="LOT1" s="179"/>
      <c r="LOU1" s="179"/>
      <c r="LOV1" s="179"/>
      <c r="LOW1" s="179"/>
      <c r="LOX1" s="179"/>
      <c r="LOY1" s="179"/>
      <c r="LOZ1" s="179"/>
      <c r="LPA1" s="179"/>
      <c r="LPB1" s="179"/>
      <c r="LPC1" s="179"/>
      <c r="LPD1" s="179"/>
      <c r="LPE1" s="179"/>
      <c r="LPF1" s="179"/>
      <c r="LPG1" s="179"/>
      <c r="LPH1" s="179"/>
      <c r="LPI1" s="179"/>
      <c r="LPJ1" s="179"/>
      <c r="LPK1" s="179"/>
      <c r="LPL1" s="179"/>
      <c r="LPM1" s="179"/>
      <c r="LPN1" s="179"/>
      <c r="LPO1" s="179"/>
      <c r="LPP1" s="179"/>
      <c r="LPQ1" s="179"/>
      <c r="LPR1" s="179"/>
      <c r="LPS1" s="179"/>
      <c r="LPT1" s="179"/>
      <c r="LPU1" s="179"/>
      <c r="LPV1" s="179"/>
      <c r="LPW1" s="179"/>
      <c r="LPX1" s="179"/>
      <c r="LPY1" s="179"/>
      <c r="LPZ1" s="179"/>
      <c r="LQA1" s="179"/>
      <c r="LQB1" s="179"/>
      <c r="LQC1" s="179"/>
      <c r="LQD1" s="179"/>
      <c r="LQE1" s="179"/>
      <c r="LQF1" s="179"/>
      <c r="LQG1" s="179"/>
      <c r="LQH1" s="179"/>
      <c r="LQI1" s="179"/>
      <c r="LQJ1" s="179"/>
      <c r="LQK1" s="179"/>
      <c r="LQL1" s="179"/>
      <c r="LQM1" s="179"/>
      <c r="LQN1" s="179"/>
      <c r="LQO1" s="179"/>
      <c r="LQP1" s="179"/>
      <c r="LQQ1" s="179"/>
      <c r="LQR1" s="179"/>
      <c r="LQS1" s="179"/>
      <c r="LQT1" s="179"/>
      <c r="LQU1" s="179"/>
      <c r="LQV1" s="179"/>
      <c r="LQW1" s="179"/>
      <c r="LQX1" s="179"/>
      <c r="LQY1" s="179"/>
      <c r="LQZ1" s="179"/>
      <c r="LRA1" s="179"/>
      <c r="LRB1" s="179"/>
      <c r="LRC1" s="179"/>
      <c r="LRD1" s="179"/>
      <c r="LRE1" s="179"/>
      <c r="LRF1" s="179"/>
      <c r="LRG1" s="179"/>
      <c r="LRH1" s="179"/>
      <c r="LRI1" s="179"/>
      <c r="LRJ1" s="179"/>
      <c r="LRK1" s="179"/>
      <c r="LRL1" s="179"/>
      <c r="LRM1" s="179"/>
      <c r="LRN1" s="179"/>
      <c r="LRO1" s="179"/>
      <c r="LRP1" s="179"/>
      <c r="LRQ1" s="179"/>
      <c r="LRR1" s="179"/>
      <c r="LRS1" s="179"/>
      <c r="LRT1" s="179"/>
      <c r="LRU1" s="179"/>
      <c r="LRV1" s="179"/>
      <c r="LRW1" s="179"/>
      <c r="LRX1" s="179"/>
      <c r="LRY1" s="179"/>
      <c r="LRZ1" s="179"/>
      <c r="LSA1" s="179"/>
      <c r="LSB1" s="179"/>
      <c r="LSC1" s="179"/>
      <c r="LSD1" s="179"/>
      <c r="LSE1" s="179"/>
      <c r="LSF1" s="179"/>
      <c r="LSG1" s="179"/>
      <c r="LSH1" s="179"/>
      <c r="LSI1" s="179"/>
      <c r="LSJ1" s="179"/>
      <c r="LSK1" s="179"/>
      <c r="LSL1" s="179"/>
      <c r="LSM1" s="179"/>
      <c r="LSN1" s="179"/>
      <c r="LSO1" s="179"/>
      <c r="LSP1" s="179"/>
      <c r="LSQ1" s="179"/>
      <c r="LSR1" s="179"/>
      <c r="LSS1" s="179"/>
      <c r="LST1" s="179"/>
      <c r="LSU1" s="179"/>
      <c r="LSV1" s="179"/>
      <c r="LSW1" s="179"/>
      <c r="LSX1" s="179"/>
      <c r="LSY1" s="179"/>
      <c r="LSZ1" s="179"/>
      <c r="LTA1" s="179"/>
      <c r="LTB1" s="179"/>
      <c r="LTC1" s="179"/>
      <c r="LTD1" s="179"/>
      <c r="LTE1" s="179"/>
      <c r="LTF1" s="179"/>
      <c r="LTG1" s="179"/>
      <c r="LTH1" s="179"/>
      <c r="LTI1" s="179"/>
      <c r="LTJ1" s="179"/>
      <c r="LTK1" s="179"/>
      <c r="LTL1" s="179"/>
      <c r="LTM1" s="179"/>
      <c r="LTN1" s="179"/>
      <c r="LTO1" s="179"/>
      <c r="LTP1" s="179"/>
      <c r="LTQ1" s="179"/>
      <c r="LTR1" s="179"/>
      <c r="LTS1" s="179"/>
      <c r="LTT1" s="179"/>
      <c r="LTU1" s="179"/>
      <c r="LTV1" s="179"/>
      <c r="LTW1" s="179"/>
      <c r="LTX1" s="179"/>
      <c r="LTY1" s="179"/>
      <c r="LTZ1" s="179"/>
      <c r="LUA1" s="179"/>
      <c r="LUB1" s="179"/>
      <c r="LUC1" s="179"/>
      <c r="LUD1" s="179"/>
      <c r="LUE1" s="179"/>
      <c r="LUF1" s="179"/>
      <c r="LUG1" s="179"/>
      <c r="LUH1" s="179"/>
      <c r="LUI1" s="179"/>
      <c r="LUJ1" s="179"/>
      <c r="LUK1" s="179"/>
      <c r="LUL1" s="179"/>
      <c r="LUM1" s="179"/>
      <c r="LUN1" s="179"/>
      <c r="LUO1" s="179"/>
      <c r="LUP1" s="179"/>
      <c r="LUQ1" s="179"/>
      <c r="LUR1" s="179"/>
      <c r="LUS1" s="179"/>
      <c r="LUT1" s="179"/>
      <c r="LUU1" s="179"/>
      <c r="LUV1" s="179"/>
      <c r="LUW1" s="179"/>
      <c r="LUX1" s="179"/>
      <c r="LUY1" s="179"/>
      <c r="LUZ1" s="179"/>
      <c r="LVA1" s="179"/>
      <c r="LVB1" s="179"/>
      <c r="LVC1" s="179"/>
      <c r="LVD1" s="179"/>
      <c r="LVE1" s="179"/>
      <c r="LVF1" s="179"/>
      <c r="LVG1" s="179"/>
      <c r="LVH1" s="179"/>
      <c r="LVI1" s="179"/>
      <c r="LVJ1" s="179"/>
      <c r="LVK1" s="179"/>
      <c r="LVL1" s="179"/>
      <c r="LVM1" s="179"/>
      <c r="LVN1" s="179"/>
      <c r="LVO1" s="179"/>
      <c r="LVP1" s="179"/>
      <c r="LVQ1" s="179"/>
      <c r="LVR1" s="179"/>
      <c r="LVS1" s="179"/>
      <c r="LVT1" s="179"/>
      <c r="LVU1" s="179"/>
      <c r="LVV1" s="179"/>
      <c r="LVW1" s="179"/>
      <c r="LVX1" s="179"/>
      <c r="LVY1" s="179"/>
      <c r="LVZ1" s="179"/>
      <c r="LWA1" s="179"/>
      <c r="LWB1" s="179"/>
      <c r="LWC1" s="179"/>
      <c r="LWD1" s="179"/>
      <c r="LWE1" s="179"/>
      <c r="LWF1" s="179"/>
      <c r="LWG1" s="179"/>
      <c r="LWH1" s="179"/>
      <c r="LWI1" s="179"/>
      <c r="LWJ1" s="179"/>
      <c r="LWK1" s="179"/>
      <c r="LWL1" s="179"/>
      <c r="LWM1" s="179"/>
      <c r="LWN1" s="179"/>
      <c r="LWO1" s="179"/>
      <c r="LWP1" s="179"/>
      <c r="LWQ1" s="179"/>
      <c r="LWR1" s="179"/>
      <c r="LWS1" s="179"/>
      <c r="LWT1" s="179"/>
      <c r="LWU1" s="179"/>
      <c r="LWV1" s="179"/>
      <c r="LWW1" s="179"/>
      <c r="LWX1" s="179"/>
      <c r="LWY1" s="179"/>
      <c r="LWZ1" s="179"/>
      <c r="LXA1" s="179"/>
      <c r="LXB1" s="179"/>
      <c r="LXC1" s="179"/>
      <c r="LXD1" s="179"/>
      <c r="LXE1" s="179"/>
      <c r="LXF1" s="179"/>
      <c r="LXG1" s="179"/>
      <c r="LXH1" s="179"/>
      <c r="LXI1" s="179"/>
      <c r="LXJ1" s="179"/>
      <c r="LXK1" s="179"/>
      <c r="LXL1" s="179"/>
      <c r="LXM1" s="179"/>
      <c r="LXN1" s="179"/>
      <c r="LXO1" s="179"/>
      <c r="LXP1" s="179"/>
      <c r="LXQ1" s="179"/>
      <c r="LXR1" s="179"/>
      <c r="LXS1" s="179"/>
      <c r="LXT1" s="179"/>
      <c r="LXU1" s="179"/>
      <c r="LXV1" s="179"/>
      <c r="LXW1" s="179"/>
      <c r="LXX1" s="179"/>
      <c r="LXY1" s="179"/>
      <c r="LXZ1" s="179"/>
      <c r="LYA1" s="179"/>
      <c r="LYB1" s="179"/>
      <c r="LYC1" s="179"/>
      <c r="LYD1" s="179"/>
      <c r="LYE1" s="179"/>
      <c r="LYF1" s="179"/>
      <c r="LYG1" s="179"/>
      <c r="LYH1" s="179"/>
      <c r="LYI1" s="179"/>
      <c r="LYJ1" s="179"/>
      <c r="LYK1" s="179"/>
      <c r="LYL1" s="179"/>
      <c r="LYM1" s="179"/>
      <c r="LYN1" s="179"/>
      <c r="LYO1" s="179"/>
      <c r="LYP1" s="179"/>
      <c r="LYQ1" s="179"/>
      <c r="LYR1" s="179"/>
      <c r="LYS1" s="179"/>
      <c r="LYT1" s="179"/>
      <c r="LYU1" s="179"/>
      <c r="LYV1" s="179"/>
      <c r="LYW1" s="179"/>
      <c r="LYX1" s="179"/>
      <c r="LYY1" s="179"/>
      <c r="LYZ1" s="179"/>
      <c r="LZA1" s="179"/>
      <c r="LZB1" s="179"/>
      <c r="LZC1" s="179"/>
      <c r="LZD1" s="179"/>
      <c r="LZE1" s="179"/>
      <c r="LZF1" s="179"/>
      <c r="LZG1" s="179"/>
      <c r="LZH1" s="179"/>
      <c r="LZI1" s="179"/>
      <c r="LZJ1" s="179"/>
      <c r="LZK1" s="179"/>
      <c r="LZL1" s="179"/>
      <c r="LZM1" s="179"/>
      <c r="LZN1" s="179"/>
      <c r="LZO1" s="179"/>
      <c r="LZP1" s="179"/>
      <c r="LZQ1" s="179"/>
      <c r="LZR1" s="179"/>
      <c r="LZS1" s="179"/>
      <c r="LZT1" s="179"/>
      <c r="LZU1" s="179"/>
      <c r="LZV1" s="179"/>
      <c r="LZW1" s="179"/>
      <c r="LZX1" s="179"/>
      <c r="LZY1" s="179"/>
      <c r="LZZ1" s="179"/>
      <c r="MAA1" s="179"/>
      <c r="MAB1" s="179"/>
      <c r="MAC1" s="179"/>
      <c r="MAD1" s="179"/>
      <c r="MAE1" s="179"/>
      <c r="MAF1" s="179"/>
      <c r="MAG1" s="179"/>
      <c r="MAH1" s="179"/>
      <c r="MAI1" s="179"/>
      <c r="MAJ1" s="179"/>
      <c r="MAK1" s="179"/>
      <c r="MAL1" s="179"/>
      <c r="MAM1" s="179"/>
      <c r="MAN1" s="179"/>
      <c r="MAO1" s="179"/>
      <c r="MAP1" s="179"/>
      <c r="MAQ1" s="179"/>
      <c r="MAR1" s="179"/>
      <c r="MAS1" s="179"/>
      <c r="MAT1" s="179"/>
      <c r="MAU1" s="179"/>
      <c r="MAV1" s="179"/>
      <c r="MAW1" s="179"/>
      <c r="MAX1" s="179"/>
      <c r="MAY1" s="179"/>
      <c r="MAZ1" s="179"/>
      <c r="MBA1" s="179"/>
      <c r="MBB1" s="179"/>
      <c r="MBC1" s="179"/>
      <c r="MBD1" s="179"/>
      <c r="MBE1" s="179"/>
      <c r="MBF1" s="179"/>
      <c r="MBG1" s="179"/>
      <c r="MBH1" s="179"/>
      <c r="MBI1" s="179"/>
      <c r="MBJ1" s="179"/>
      <c r="MBK1" s="179"/>
      <c r="MBL1" s="179"/>
      <c r="MBM1" s="179"/>
      <c r="MBN1" s="179"/>
      <c r="MBO1" s="179"/>
      <c r="MBP1" s="179"/>
      <c r="MBQ1" s="179"/>
      <c r="MBR1" s="179"/>
      <c r="MBS1" s="179"/>
      <c r="MBT1" s="179"/>
      <c r="MBU1" s="179"/>
      <c r="MBV1" s="179"/>
      <c r="MBW1" s="179"/>
      <c r="MBX1" s="179"/>
      <c r="MBY1" s="179"/>
      <c r="MBZ1" s="179"/>
      <c r="MCA1" s="179"/>
      <c r="MCB1" s="179"/>
      <c r="MCC1" s="179"/>
      <c r="MCD1" s="179"/>
      <c r="MCE1" s="179"/>
      <c r="MCF1" s="179"/>
      <c r="MCG1" s="179"/>
      <c r="MCH1" s="179"/>
      <c r="MCI1" s="179"/>
      <c r="MCJ1" s="179"/>
      <c r="MCK1" s="179"/>
      <c r="MCL1" s="179"/>
      <c r="MCM1" s="179"/>
      <c r="MCN1" s="179"/>
      <c r="MCO1" s="179"/>
      <c r="MCP1" s="179"/>
      <c r="MCQ1" s="179"/>
      <c r="MCR1" s="179"/>
      <c r="MCS1" s="179"/>
      <c r="MCT1" s="179"/>
      <c r="MCU1" s="179"/>
      <c r="MCV1" s="179"/>
      <c r="MCW1" s="179"/>
      <c r="MCX1" s="179"/>
      <c r="MCY1" s="179"/>
      <c r="MCZ1" s="179"/>
      <c r="MDA1" s="179"/>
      <c r="MDB1" s="179"/>
      <c r="MDC1" s="179"/>
      <c r="MDD1" s="179"/>
      <c r="MDE1" s="179"/>
      <c r="MDF1" s="179"/>
      <c r="MDG1" s="179"/>
      <c r="MDH1" s="179"/>
      <c r="MDI1" s="179"/>
      <c r="MDJ1" s="179"/>
      <c r="MDK1" s="179"/>
      <c r="MDL1" s="179"/>
      <c r="MDM1" s="179"/>
      <c r="MDN1" s="179"/>
      <c r="MDO1" s="179"/>
      <c r="MDP1" s="179"/>
      <c r="MDQ1" s="179"/>
      <c r="MDR1" s="179"/>
      <c r="MDS1" s="179"/>
      <c r="MDT1" s="179"/>
      <c r="MDU1" s="179"/>
      <c r="MDV1" s="179"/>
      <c r="MDW1" s="179"/>
      <c r="MDX1" s="179"/>
      <c r="MDY1" s="179"/>
      <c r="MDZ1" s="179"/>
      <c r="MEA1" s="179"/>
      <c r="MEB1" s="179"/>
      <c r="MEC1" s="179"/>
      <c r="MED1" s="179"/>
      <c r="MEE1" s="179"/>
      <c r="MEF1" s="179"/>
      <c r="MEG1" s="179"/>
      <c r="MEH1" s="179"/>
      <c r="MEI1" s="179"/>
      <c r="MEJ1" s="179"/>
      <c r="MEK1" s="179"/>
      <c r="MEL1" s="179"/>
      <c r="MEM1" s="179"/>
      <c r="MEN1" s="179"/>
      <c r="MEO1" s="179"/>
      <c r="MEP1" s="179"/>
      <c r="MEQ1" s="179"/>
      <c r="MER1" s="179"/>
      <c r="MES1" s="179"/>
      <c r="MET1" s="179"/>
      <c r="MEU1" s="179"/>
      <c r="MEV1" s="179"/>
      <c r="MEW1" s="179"/>
      <c r="MEX1" s="179"/>
      <c r="MEY1" s="179"/>
      <c r="MEZ1" s="179"/>
      <c r="MFA1" s="179"/>
      <c r="MFB1" s="179"/>
      <c r="MFC1" s="179"/>
      <c r="MFD1" s="179"/>
      <c r="MFE1" s="179"/>
      <c r="MFF1" s="179"/>
      <c r="MFG1" s="179"/>
      <c r="MFH1" s="179"/>
      <c r="MFI1" s="179"/>
      <c r="MFJ1" s="179"/>
      <c r="MFK1" s="179"/>
      <c r="MFL1" s="179"/>
      <c r="MFM1" s="179"/>
      <c r="MFN1" s="179"/>
      <c r="MFO1" s="179"/>
      <c r="MFP1" s="179"/>
      <c r="MFQ1" s="179"/>
      <c r="MFR1" s="179"/>
      <c r="MFS1" s="179"/>
      <c r="MFT1" s="179"/>
      <c r="MFU1" s="179"/>
      <c r="MFV1" s="179"/>
      <c r="MFW1" s="179"/>
      <c r="MFX1" s="179"/>
      <c r="MFY1" s="179"/>
      <c r="MFZ1" s="179"/>
      <c r="MGA1" s="179"/>
      <c r="MGB1" s="179"/>
      <c r="MGC1" s="179"/>
      <c r="MGD1" s="179"/>
      <c r="MGE1" s="179"/>
      <c r="MGF1" s="179"/>
      <c r="MGG1" s="179"/>
      <c r="MGH1" s="179"/>
      <c r="MGI1" s="179"/>
      <c r="MGJ1" s="179"/>
      <c r="MGK1" s="179"/>
      <c r="MGL1" s="179"/>
      <c r="MGM1" s="179"/>
      <c r="MGN1" s="179"/>
      <c r="MGO1" s="179"/>
      <c r="MGP1" s="179"/>
      <c r="MGQ1" s="179"/>
      <c r="MGR1" s="179"/>
      <c r="MGS1" s="179"/>
      <c r="MGT1" s="179"/>
      <c r="MGU1" s="179"/>
      <c r="MGV1" s="179"/>
      <c r="MGW1" s="179"/>
      <c r="MGX1" s="179"/>
      <c r="MGY1" s="179"/>
      <c r="MGZ1" s="179"/>
      <c r="MHA1" s="179"/>
      <c r="MHB1" s="179"/>
      <c r="MHC1" s="179"/>
      <c r="MHD1" s="179"/>
      <c r="MHE1" s="179"/>
      <c r="MHF1" s="179"/>
      <c r="MHG1" s="179"/>
      <c r="MHH1" s="179"/>
      <c r="MHI1" s="179"/>
      <c r="MHJ1" s="179"/>
      <c r="MHK1" s="179"/>
      <c r="MHL1" s="179"/>
      <c r="MHM1" s="179"/>
      <c r="MHN1" s="179"/>
      <c r="MHO1" s="179"/>
      <c r="MHP1" s="179"/>
      <c r="MHQ1" s="179"/>
      <c r="MHR1" s="179"/>
      <c r="MHS1" s="179"/>
      <c r="MHT1" s="179"/>
      <c r="MHU1" s="179"/>
      <c r="MHV1" s="179"/>
      <c r="MHW1" s="179"/>
      <c r="MHX1" s="179"/>
      <c r="MHY1" s="179"/>
      <c r="MHZ1" s="179"/>
      <c r="MIA1" s="179"/>
      <c r="MIB1" s="179"/>
      <c r="MIC1" s="179"/>
      <c r="MID1" s="179"/>
      <c r="MIE1" s="179"/>
      <c r="MIF1" s="179"/>
      <c r="MIG1" s="179"/>
      <c r="MIH1" s="179"/>
      <c r="MII1" s="179"/>
      <c r="MIJ1" s="179"/>
      <c r="MIK1" s="179"/>
      <c r="MIL1" s="179"/>
      <c r="MIM1" s="179"/>
      <c r="MIN1" s="179"/>
      <c r="MIO1" s="179"/>
      <c r="MIP1" s="179"/>
      <c r="MIQ1" s="179"/>
      <c r="MIR1" s="179"/>
      <c r="MIS1" s="179"/>
      <c r="MIT1" s="179"/>
      <c r="MIU1" s="179"/>
      <c r="MIV1" s="179"/>
      <c r="MIW1" s="179"/>
      <c r="MIX1" s="179"/>
      <c r="MIY1" s="179"/>
      <c r="MIZ1" s="179"/>
      <c r="MJA1" s="179"/>
      <c r="MJB1" s="179"/>
      <c r="MJC1" s="179"/>
      <c r="MJD1" s="179"/>
      <c r="MJE1" s="179"/>
      <c r="MJF1" s="179"/>
      <c r="MJG1" s="179"/>
      <c r="MJH1" s="179"/>
      <c r="MJI1" s="179"/>
      <c r="MJJ1" s="179"/>
      <c r="MJK1" s="179"/>
      <c r="MJL1" s="179"/>
      <c r="MJM1" s="179"/>
      <c r="MJN1" s="179"/>
      <c r="MJO1" s="179"/>
      <c r="MJP1" s="179"/>
      <c r="MJQ1" s="179"/>
      <c r="MJR1" s="179"/>
      <c r="MJS1" s="179"/>
      <c r="MJT1" s="179"/>
      <c r="MJU1" s="179"/>
      <c r="MJV1" s="179"/>
      <c r="MJW1" s="179"/>
      <c r="MJX1" s="179"/>
      <c r="MJY1" s="179"/>
      <c r="MJZ1" s="179"/>
      <c r="MKA1" s="179"/>
      <c r="MKB1" s="179"/>
      <c r="MKC1" s="179"/>
      <c r="MKD1" s="179"/>
      <c r="MKE1" s="179"/>
      <c r="MKF1" s="179"/>
      <c r="MKG1" s="179"/>
      <c r="MKH1" s="179"/>
      <c r="MKI1" s="179"/>
      <c r="MKJ1" s="179"/>
      <c r="MKK1" s="179"/>
      <c r="MKL1" s="179"/>
      <c r="MKM1" s="179"/>
      <c r="MKN1" s="179"/>
      <c r="MKO1" s="179"/>
      <c r="MKP1" s="179"/>
      <c r="MKQ1" s="179"/>
      <c r="MKR1" s="179"/>
      <c r="MKS1" s="179"/>
      <c r="MKT1" s="179"/>
      <c r="MKU1" s="179"/>
      <c r="MKV1" s="179"/>
      <c r="MKW1" s="179"/>
      <c r="MKX1" s="179"/>
      <c r="MKY1" s="179"/>
      <c r="MKZ1" s="179"/>
      <c r="MLA1" s="179"/>
      <c r="MLB1" s="179"/>
      <c r="MLC1" s="179"/>
      <c r="MLD1" s="179"/>
      <c r="MLE1" s="179"/>
      <c r="MLF1" s="179"/>
      <c r="MLG1" s="179"/>
      <c r="MLH1" s="179"/>
      <c r="MLI1" s="179"/>
      <c r="MLJ1" s="179"/>
      <c r="MLK1" s="179"/>
      <c r="MLL1" s="179"/>
      <c r="MLM1" s="179"/>
      <c r="MLN1" s="179"/>
      <c r="MLO1" s="179"/>
      <c r="MLP1" s="179"/>
      <c r="MLQ1" s="179"/>
      <c r="MLR1" s="179"/>
      <c r="MLS1" s="179"/>
      <c r="MLT1" s="179"/>
      <c r="MLU1" s="179"/>
      <c r="MLV1" s="179"/>
      <c r="MLW1" s="179"/>
      <c r="MLX1" s="179"/>
      <c r="MLY1" s="179"/>
      <c r="MLZ1" s="179"/>
      <c r="MMA1" s="179"/>
      <c r="MMB1" s="179"/>
      <c r="MMC1" s="179"/>
      <c r="MMD1" s="179"/>
      <c r="MME1" s="179"/>
      <c r="MMF1" s="179"/>
      <c r="MMG1" s="179"/>
      <c r="MMH1" s="179"/>
      <c r="MMI1" s="179"/>
      <c r="MMJ1" s="179"/>
      <c r="MMK1" s="179"/>
      <c r="MML1" s="179"/>
      <c r="MMM1" s="179"/>
      <c r="MMN1" s="179"/>
      <c r="MMO1" s="179"/>
      <c r="MMP1" s="179"/>
      <c r="MMQ1" s="179"/>
      <c r="MMR1" s="179"/>
      <c r="MMS1" s="179"/>
      <c r="MMT1" s="179"/>
      <c r="MMU1" s="179"/>
      <c r="MMV1" s="179"/>
      <c r="MMW1" s="179"/>
      <c r="MMX1" s="179"/>
      <c r="MMY1" s="179"/>
      <c r="MMZ1" s="179"/>
      <c r="MNA1" s="179"/>
      <c r="MNB1" s="179"/>
      <c r="MNC1" s="179"/>
      <c r="MND1" s="179"/>
      <c r="MNE1" s="179"/>
      <c r="MNF1" s="179"/>
      <c r="MNG1" s="179"/>
      <c r="MNH1" s="179"/>
      <c r="MNI1" s="179"/>
      <c r="MNJ1" s="179"/>
      <c r="MNK1" s="179"/>
      <c r="MNL1" s="179"/>
      <c r="MNM1" s="179"/>
      <c r="MNN1" s="179"/>
      <c r="MNO1" s="179"/>
      <c r="MNP1" s="179"/>
      <c r="MNQ1" s="179"/>
      <c r="MNR1" s="179"/>
      <c r="MNS1" s="179"/>
      <c r="MNT1" s="179"/>
      <c r="MNU1" s="179"/>
      <c r="MNV1" s="179"/>
      <c r="MNW1" s="179"/>
      <c r="MNX1" s="179"/>
      <c r="MNY1" s="179"/>
      <c r="MNZ1" s="179"/>
      <c r="MOA1" s="179"/>
      <c r="MOB1" s="179"/>
      <c r="MOC1" s="179"/>
      <c r="MOD1" s="179"/>
      <c r="MOE1" s="179"/>
      <c r="MOF1" s="179"/>
      <c r="MOG1" s="179"/>
      <c r="MOH1" s="179"/>
      <c r="MOI1" s="179"/>
      <c r="MOJ1" s="179"/>
      <c r="MOK1" s="179"/>
      <c r="MOL1" s="179"/>
      <c r="MOM1" s="179"/>
      <c r="MON1" s="179"/>
      <c r="MOO1" s="179"/>
      <c r="MOP1" s="179"/>
      <c r="MOQ1" s="179"/>
      <c r="MOR1" s="179"/>
      <c r="MOS1" s="179"/>
      <c r="MOT1" s="179"/>
      <c r="MOU1" s="179"/>
      <c r="MOV1" s="179"/>
      <c r="MOW1" s="179"/>
      <c r="MOX1" s="179"/>
      <c r="MOY1" s="179"/>
      <c r="MOZ1" s="179"/>
      <c r="MPA1" s="179"/>
      <c r="MPB1" s="179"/>
      <c r="MPC1" s="179"/>
      <c r="MPD1" s="179"/>
      <c r="MPE1" s="179"/>
      <c r="MPF1" s="179"/>
      <c r="MPG1" s="179"/>
      <c r="MPH1" s="179"/>
      <c r="MPI1" s="179"/>
      <c r="MPJ1" s="179"/>
      <c r="MPK1" s="179"/>
      <c r="MPL1" s="179"/>
      <c r="MPM1" s="179"/>
      <c r="MPN1" s="179"/>
      <c r="MPO1" s="179"/>
      <c r="MPP1" s="179"/>
      <c r="MPQ1" s="179"/>
      <c r="MPR1" s="179"/>
      <c r="MPS1" s="179"/>
      <c r="MPT1" s="179"/>
      <c r="MPU1" s="179"/>
      <c r="MPV1" s="179"/>
      <c r="MPW1" s="179"/>
      <c r="MPX1" s="179"/>
      <c r="MPY1" s="179"/>
      <c r="MPZ1" s="179"/>
      <c r="MQA1" s="179"/>
      <c r="MQB1" s="179"/>
      <c r="MQC1" s="179"/>
      <c r="MQD1" s="179"/>
      <c r="MQE1" s="179"/>
      <c r="MQF1" s="179"/>
      <c r="MQG1" s="179"/>
      <c r="MQH1" s="179"/>
      <c r="MQI1" s="179"/>
      <c r="MQJ1" s="179"/>
      <c r="MQK1" s="179"/>
      <c r="MQL1" s="179"/>
      <c r="MQM1" s="179"/>
      <c r="MQN1" s="179"/>
      <c r="MQO1" s="179"/>
      <c r="MQP1" s="179"/>
      <c r="MQQ1" s="179"/>
      <c r="MQR1" s="179"/>
      <c r="MQS1" s="179"/>
      <c r="MQT1" s="179"/>
      <c r="MQU1" s="179"/>
      <c r="MQV1" s="179"/>
      <c r="MQW1" s="179"/>
      <c r="MQX1" s="179"/>
      <c r="MQY1" s="179"/>
      <c r="MQZ1" s="179"/>
      <c r="MRA1" s="179"/>
      <c r="MRB1" s="179"/>
      <c r="MRC1" s="179"/>
      <c r="MRD1" s="179"/>
      <c r="MRE1" s="179"/>
      <c r="MRF1" s="179"/>
      <c r="MRG1" s="179"/>
      <c r="MRH1" s="179"/>
      <c r="MRI1" s="179"/>
      <c r="MRJ1" s="179"/>
      <c r="MRK1" s="179"/>
      <c r="MRL1" s="179"/>
      <c r="MRM1" s="179"/>
      <c r="MRN1" s="179"/>
      <c r="MRO1" s="179"/>
      <c r="MRP1" s="179"/>
      <c r="MRQ1" s="179"/>
      <c r="MRR1" s="179"/>
      <c r="MRS1" s="179"/>
      <c r="MRT1" s="179"/>
      <c r="MRU1" s="179"/>
      <c r="MRV1" s="179"/>
      <c r="MRW1" s="179"/>
      <c r="MRX1" s="179"/>
      <c r="MRY1" s="179"/>
      <c r="MRZ1" s="179"/>
      <c r="MSA1" s="179"/>
      <c r="MSB1" s="179"/>
      <c r="MSC1" s="179"/>
      <c r="MSD1" s="179"/>
      <c r="MSE1" s="179"/>
      <c r="MSF1" s="179"/>
      <c r="MSG1" s="179"/>
      <c r="MSH1" s="179"/>
      <c r="MSI1" s="179"/>
      <c r="MSJ1" s="179"/>
      <c r="MSK1" s="179"/>
      <c r="MSL1" s="179"/>
      <c r="MSM1" s="179"/>
      <c r="MSN1" s="179"/>
      <c r="MSO1" s="179"/>
      <c r="MSP1" s="179"/>
      <c r="MSQ1" s="179"/>
      <c r="MSR1" s="179"/>
      <c r="MSS1" s="179"/>
      <c r="MST1" s="179"/>
      <c r="MSU1" s="179"/>
      <c r="MSV1" s="179"/>
      <c r="MSW1" s="179"/>
      <c r="MSX1" s="179"/>
      <c r="MSY1" s="179"/>
      <c r="MSZ1" s="179"/>
      <c r="MTA1" s="179"/>
      <c r="MTB1" s="179"/>
      <c r="MTC1" s="179"/>
      <c r="MTD1" s="179"/>
      <c r="MTE1" s="179"/>
      <c r="MTF1" s="179"/>
      <c r="MTG1" s="179"/>
      <c r="MTH1" s="179"/>
      <c r="MTI1" s="179"/>
      <c r="MTJ1" s="179"/>
      <c r="MTK1" s="179"/>
      <c r="MTL1" s="179"/>
      <c r="MTM1" s="179"/>
      <c r="MTN1" s="179"/>
      <c r="MTO1" s="179"/>
      <c r="MTP1" s="179"/>
      <c r="MTQ1" s="179"/>
      <c r="MTR1" s="179"/>
      <c r="MTS1" s="179"/>
      <c r="MTT1" s="179"/>
      <c r="MTU1" s="179"/>
      <c r="MTV1" s="179"/>
      <c r="MTW1" s="179"/>
      <c r="MTX1" s="179"/>
      <c r="MTY1" s="179"/>
      <c r="MTZ1" s="179"/>
      <c r="MUA1" s="179"/>
      <c r="MUB1" s="179"/>
      <c r="MUC1" s="179"/>
      <c r="MUD1" s="179"/>
      <c r="MUE1" s="179"/>
      <c r="MUF1" s="179"/>
      <c r="MUG1" s="179"/>
      <c r="MUH1" s="179"/>
      <c r="MUI1" s="179"/>
      <c r="MUJ1" s="179"/>
      <c r="MUK1" s="179"/>
      <c r="MUL1" s="179"/>
      <c r="MUM1" s="179"/>
      <c r="MUN1" s="179"/>
      <c r="MUO1" s="179"/>
      <c r="MUP1" s="179"/>
      <c r="MUQ1" s="179"/>
      <c r="MUR1" s="179"/>
      <c r="MUS1" s="179"/>
      <c r="MUT1" s="179"/>
      <c r="MUU1" s="179"/>
      <c r="MUV1" s="179"/>
      <c r="MUW1" s="179"/>
      <c r="MUX1" s="179"/>
      <c r="MUY1" s="179"/>
      <c r="MUZ1" s="179"/>
      <c r="MVA1" s="179"/>
      <c r="MVB1" s="179"/>
      <c r="MVC1" s="179"/>
      <c r="MVD1" s="179"/>
      <c r="MVE1" s="179"/>
      <c r="MVF1" s="179"/>
      <c r="MVG1" s="179"/>
      <c r="MVH1" s="179"/>
      <c r="MVI1" s="179"/>
      <c r="MVJ1" s="179"/>
      <c r="MVK1" s="179"/>
      <c r="MVL1" s="179"/>
      <c r="MVM1" s="179"/>
      <c r="MVN1" s="179"/>
      <c r="MVO1" s="179"/>
      <c r="MVP1" s="179"/>
      <c r="MVQ1" s="179"/>
      <c r="MVR1" s="179"/>
      <c r="MVS1" s="179"/>
      <c r="MVT1" s="179"/>
      <c r="MVU1" s="179"/>
      <c r="MVV1" s="179"/>
      <c r="MVW1" s="179"/>
      <c r="MVX1" s="179"/>
      <c r="MVY1" s="179"/>
      <c r="MVZ1" s="179"/>
      <c r="MWA1" s="179"/>
      <c r="MWB1" s="179"/>
      <c r="MWC1" s="179"/>
      <c r="MWD1" s="179"/>
      <c r="MWE1" s="179"/>
      <c r="MWF1" s="179"/>
      <c r="MWG1" s="179"/>
      <c r="MWH1" s="179"/>
      <c r="MWI1" s="179"/>
      <c r="MWJ1" s="179"/>
      <c r="MWK1" s="179"/>
      <c r="MWL1" s="179"/>
      <c r="MWM1" s="179"/>
      <c r="MWN1" s="179"/>
      <c r="MWO1" s="179"/>
      <c r="MWP1" s="179"/>
      <c r="MWQ1" s="179"/>
      <c r="MWR1" s="179"/>
      <c r="MWS1" s="179"/>
      <c r="MWT1" s="179"/>
      <c r="MWU1" s="179"/>
      <c r="MWV1" s="179"/>
      <c r="MWW1" s="179"/>
      <c r="MWX1" s="179"/>
      <c r="MWY1" s="179"/>
      <c r="MWZ1" s="179"/>
      <c r="MXA1" s="179"/>
      <c r="MXB1" s="179"/>
      <c r="MXC1" s="179"/>
      <c r="MXD1" s="179"/>
      <c r="MXE1" s="179"/>
      <c r="MXF1" s="179"/>
      <c r="MXG1" s="179"/>
      <c r="MXH1" s="179"/>
      <c r="MXI1" s="179"/>
      <c r="MXJ1" s="179"/>
      <c r="MXK1" s="179"/>
      <c r="MXL1" s="179"/>
      <c r="MXM1" s="179"/>
      <c r="MXN1" s="179"/>
      <c r="MXO1" s="179"/>
      <c r="MXP1" s="179"/>
      <c r="MXQ1" s="179"/>
      <c r="MXR1" s="179"/>
      <c r="MXS1" s="179"/>
      <c r="MXT1" s="179"/>
      <c r="MXU1" s="179"/>
      <c r="MXV1" s="179"/>
      <c r="MXW1" s="179"/>
      <c r="MXX1" s="179"/>
      <c r="MXY1" s="179"/>
      <c r="MXZ1" s="179"/>
      <c r="MYA1" s="179"/>
      <c r="MYB1" s="179"/>
      <c r="MYC1" s="179"/>
      <c r="MYD1" s="179"/>
      <c r="MYE1" s="179"/>
      <c r="MYF1" s="179"/>
      <c r="MYG1" s="179"/>
      <c r="MYH1" s="179"/>
      <c r="MYI1" s="179"/>
      <c r="MYJ1" s="179"/>
      <c r="MYK1" s="179"/>
      <c r="MYL1" s="179"/>
      <c r="MYM1" s="179"/>
      <c r="MYN1" s="179"/>
      <c r="MYO1" s="179"/>
      <c r="MYP1" s="179"/>
      <c r="MYQ1" s="179"/>
      <c r="MYR1" s="179"/>
      <c r="MYS1" s="179"/>
      <c r="MYT1" s="179"/>
      <c r="MYU1" s="179"/>
      <c r="MYV1" s="179"/>
      <c r="MYW1" s="179"/>
      <c r="MYX1" s="179"/>
      <c r="MYY1" s="179"/>
      <c r="MYZ1" s="179"/>
      <c r="MZA1" s="179"/>
      <c r="MZB1" s="179"/>
      <c r="MZC1" s="179"/>
      <c r="MZD1" s="179"/>
      <c r="MZE1" s="179"/>
      <c r="MZF1" s="179"/>
      <c r="MZG1" s="179"/>
      <c r="MZH1" s="179"/>
      <c r="MZI1" s="179"/>
      <c r="MZJ1" s="179"/>
      <c r="MZK1" s="179"/>
      <c r="MZL1" s="179"/>
      <c r="MZM1" s="179"/>
      <c r="MZN1" s="179"/>
      <c r="MZO1" s="179"/>
      <c r="MZP1" s="179"/>
      <c r="MZQ1" s="179"/>
      <c r="MZR1" s="179"/>
      <c r="MZS1" s="179"/>
      <c r="MZT1" s="179"/>
      <c r="MZU1" s="179"/>
      <c r="MZV1" s="179"/>
      <c r="MZW1" s="179"/>
      <c r="MZX1" s="179"/>
      <c r="MZY1" s="179"/>
      <c r="MZZ1" s="179"/>
      <c r="NAA1" s="179"/>
      <c r="NAB1" s="179"/>
      <c r="NAC1" s="179"/>
      <c r="NAD1" s="179"/>
      <c r="NAE1" s="179"/>
      <c r="NAF1" s="179"/>
      <c r="NAG1" s="179"/>
      <c r="NAH1" s="179"/>
      <c r="NAI1" s="179"/>
      <c r="NAJ1" s="179"/>
      <c r="NAK1" s="179"/>
      <c r="NAL1" s="179"/>
      <c r="NAM1" s="179"/>
      <c r="NAN1" s="179"/>
      <c r="NAO1" s="179"/>
      <c r="NAP1" s="179"/>
      <c r="NAQ1" s="179"/>
      <c r="NAR1" s="179"/>
      <c r="NAS1" s="179"/>
      <c r="NAT1" s="179"/>
      <c r="NAU1" s="179"/>
      <c r="NAV1" s="179"/>
      <c r="NAW1" s="179"/>
      <c r="NAX1" s="179"/>
      <c r="NAY1" s="179"/>
      <c r="NAZ1" s="179"/>
      <c r="NBA1" s="179"/>
      <c r="NBB1" s="179"/>
      <c r="NBC1" s="179"/>
      <c r="NBD1" s="179"/>
      <c r="NBE1" s="179"/>
      <c r="NBF1" s="179"/>
      <c r="NBG1" s="179"/>
      <c r="NBH1" s="179"/>
      <c r="NBI1" s="179"/>
      <c r="NBJ1" s="179"/>
      <c r="NBK1" s="179"/>
      <c r="NBL1" s="179"/>
      <c r="NBM1" s="179"/>
      <c r="NBN1" s="179"/>
      <c r="NBO1" s="179"/>
      <c r="NBP1" s="179"/>
      <c r="NBQ1" s="179"/>
      <c r="NBR1" s="179"/>
      <c r="NBS1" s="179"/>
      <c r="NBT1" s="179"/>
      <c r="NBU1" s="179"/>
      <c r="NBV1" s="179"/>
      <c r="NBW1" s="179"/>
      <c r="NBX1" s="179"/>
      <c r="NBY1" s="179"/>
      <c r="NBZ1" s="179"/>
      <c r="NCA1" s="179"/>
      <c r="NCB1" s="179"/>
      <c r="NCC1" s="179"/>
      <c r="NCD1" s="179"/>
      <c r="NCE1" s="179"/>
      <c r="NCF1" s="179"/>
      <c r="NCG1" s="179"/>
      <c r="NCH1" s="179"/>
      <c r="NCI1" s="179"/>
      <c r="NCJ1" s="179"/>
      <c r="NCK1" s="179"/>
      <c r="NCL1" s="179"/>
      <c r="NCM1" s="179"/>
      <c r="NCN1" s="179"/>
      <c r="NCO1" s="179"/>
      <c r="NCP1" s="179"/>
      <c r="NCQ1" s="179"/>
      <c r="NCR1" s="179"/>
      <c r="NCS1" s="179"/>
      <c r="NCT1" s="179"/>
      <c r="NCU1" s="179"/>
      <c r="NCV1" s="179"/>
      <c r="NCW1" s="179"/>
      <c r="NCX1" s="179"/>
      <c r="NCY1" s="179"/>
      <c r="NCZ1" s="179"/>
      <c r="NDA1" s="179"/>
      <c r="NDB1" s="179"/>
      <c r="NDC1" s="179"/>
      <c r="NDD1" s="179"/>
      <c r="NDE1" s="179"/>
      <c r="NDF1" s="179"/>
      <c r="NDG1" s="179"/>
      <c r="NDH1" s="179"/>
      <c r="NDI1" s="179"/>
      <c r="NDJ1" s="179"/>
      <c r="NDK1" s="179"/>
      <c r="NDL1" s="179"/>
      <c r="NDM1" s="179"/>
      <c r="NDN1" s="179"/>
      <c r="NDO1" s="179"/>
      <c r="NDP1" s="179"/>
      <c r="NDQ1" s="179"/>
      <c r="NDR1" s="179"/>
      <c r="NDS1" s="179"/>
      <c r="NDT1" s="179"/>
      <c r="NDU1" s="179"/>
      <c r="NDV1" s="179"/>
      <c r="NDW1" s="179"/>
      <c r="NDX1" s="179"/>
      <c r="NDY1" s="179"/>
      <c r="NDZ1" s="179"/>
      <c r="NEA1" s="179"/>
      <c r="NEB1" s="179"/>
      <c r="NEC1" s="179"/>
      <c r="NED1" s="179"/>
      <c r="NEE1" s="179"/>
      <c r="NEF1" s="179"/>
      <c r="NEG1" s="179"/>
      <c r="NEH1" s="179"/>
      <c r="NEI1" s="179"/>
      <c r="NEJ1" s="179"/>
      <c r="NEK1" s="179"/>
      <c r="NEL1" s="179"/>
      <c r="NEM1" s="179"/>
      <c r="NEN1" s="179"/>
      <c r="NEO1" s="179"/>
      <c r="NEP1" s="179"/>
      <c r="NEQ1" s="179"/>
      <c r="NER1" s="179"/>
      <c r="NES1" s="179"/>
      <c r="NET1" s="179"/>
      <c r="NEU1" s="179"/>
      <c r="NEV1" s="179"/>
      <c r="NEW1" s="179"/>
      <c r="NEX1" s="179"/>
      <c r="NEY1" s="179"/>
      <c r="NEZ1" s="179"/>
      <c r="NFA1" s="179"/>
      <c r="NFB1" s="179"/>
      <c r="NFC1" s="179"/>
      <c r="NFD1" s="179"/>
      <c r="NFE1" s="179"/>
      <c r="NFF1" s="179"/>
      <c r="NFG1" s="179"/>
      <c r="NFH1" s="179"/>
      <c r="NFI1" s="179"/>
      <c r="NFJ1" s="179"/>
      <c r="NFK1" s="179"/>
      <c r="NFL1" s="179"/>
      <c r="NFM1" s="179"/>
      <c r="NFN1" s="179"/>
      <c r="NFO1" s="179"/>
      <c r="NFP1" s="179"/>
      <c r="NFQ1" s="179"/>
      <c r="NFR1" s="179"/>
      <c r="NFS1" s="179"/>
      <c r="NFT1" s="179"/>
      <c r="NFU1" s="179"/>
      <c r="NFV1" s="179"/>
      <c r="NFW1" s="179"/>
      <c r="NFX1" s="179"/>
      <c r="NFY1" s="179"/>
      <c r="NFZ1" s="179"/>
      <c r="NGA1" s="179"/>
      <c r="NGB1" s="179"/>
      <c r="NGC1" s="179"/>
      <c r="NGD1" s="179"/>
      <c r="NGE1" s="179"/>
      <c r="NGF1" s="179"/>
      <c r="NGG1" s="179"/>
      <c r="NGH1" s="179"/>
      <c r="NGI1" s="179"/>
      <c r="NGJ1" s="179"/>
      <c r="NGK1" s="179"/>
      <c r="NGL1" s="179"/>
      <c r="NGM1" s="179"/>
      <c r="NGN1" s="179"/>
      <c r="NGO1" s="179"/>
      <c r="NGP1" s="179"/>
      <c r="NGQ1" s="179"/>
      <c r="NGR1" s="179"/>
      <c r="NGS1" s="179"/>
      <c r="NGT1" s="179"/>
      <c r="NGU1" s="179"/>
      <c r="NGV1" s="179"/>
      <c r="NGW1" s="179"/>
      <c r="NGX1" s="179"/>
      <c r="NGY1" s="179"/>
      <c r="NGZ1" s="179"/>
      <c r="NHA1" s="179"/>
      <c r="NHB1" s="179"/>
      <c r="NHC1" s="179"/>
      <c r="NHD1" s="179"/>
      <c r="NHE1" s="179"/>
      <c r="NHF1" s="179"/>
      <c r="NHG1" s="179"/>
      <c r="NHH1" s="179"/>
      <c r="NHI1" s="179"/>
      <c r="NHJ1" s="179"/>
      <c r="NHK1" s="179"/>
      <c r="NHL1" s="179"/>
      <c r="NHM1" s="179"/>
      <c r="NHN1" s="179"/>
      <c r="NHO1" s="179"/>
      <c r="NHP1" s="179"/>
      <c r="NHQ1" s="179"/>
      <c r="NHR1" s="179"/>
      <c r="NHS1" s="179"/>
      <c r="NHT1" s="179"/>
      <c r="NHU1" s="179"/>
      <c r="NHV1" s="179"/>
      <c r="NHW1" s="179"/>
      <c r="NHX1" s="179"/>
      <c r="NHY1" s="179"/>
      <c r="NHZ1" s="179"/>
      <c r="NIA1" s="179"/>
      <c r="NIB1" s="179"/>
      <c r="NIC1" s="179"/>
      <c r="NID1" s="179"/>
      <c r="NIE1" s="179"/>
      <c r="NIF1" s="179"/>
      <c r="NIG1" s="179"/>
      <c r="NIH1" s="179"/>
      <c r="NII1" s="179"/>
      <c r="NIJ1" s="179"/>
      <c r="NIK1" s="179"/>
      <c r="NIL1" s="179"/>
      <c r="NIM1" s="179"/>
      <c r="NIN1" s="179"/>
      <c r="NIO1" s="179"/>
      <c r="NIP1" s="179"/>
      <c r="NIQ1" s="179"/>
      <c r="NIR1" s="179"/>
      <c r="NIS1" s="179"/>
      <c r="NIT1" s="179"/>
      <c r="NIU1" s="179"/>
      <c r="NIV1" s="179"/>
      <c r="NIW1" s="179"/>
      <c r="NIX1" s="179"/>
      <c r="NIY1" s="179"/>
      <c r="NIZ1" s="179"/>
      <c r="NJA1" s="179"/>
      <c r="NJB1" s="179"/>
      <c r="NJC1" s="179"/>
      <c r="NJD1" s="179"/>
      <c r="NJE1" s="179"/>
      <c r="NJF1" s="179"/>
      <c r="NJG1" s="179"/>
      <c r="NJH1" s="179"/>
      <c r="NJI1" s="179"/>
      <c r="NJJ1" s="179"/>
      <c r="NJK1" s="179"/>
      <c r="NJL1" s="179"/>
      <c r="NJM1" s="179"/>
      <c r="NJN1" s="179"/>
      <c r="NJO1" s="179"/>
      <c r="NJP1" s="179"/>
      <c r="NJQ1" s="179"/>
      <c r="NJR1" s="179"/>
      <c r="NJS1" s="179"/>
      <c r="NJT1" s="179"/>
      <c r="NJU1" s="179"/>
      <c r="NJV1" s="179"/>
      <c r="NJW1" s="179"/>
      <c r="NJX1" s="179"/>
      <c r="NJY1" s="179"/>
      <c r="NJZ1" s="179"/>
      <c r="NKA1" s="179"/>
      <c r="NKB1" s="179"/>
      <c r="NKC1" s="179"/>
      <c r="NKD1" s="179"/>
      <c r="NKE1" s="179"/>
      <c r="NKF1" s="179"/>
      <c r="NKG1" s="179"/>
      <c r="NKH1" s="179"/>
      <c r="NKI1" s="179"/>
      <c r="NKJ1" s="179"/>
      <c r="NKK1" s="179"/>
      <c r="NKL1" s="179"/>
      <c r="NKM1" s="179"/>
      <c r="NKN1" s="179"/>
      <c r="NKO1" s="179"/>
      <c r="NKP1" s="179"/>
      <c r="NKQ1" s="179"/>
      <c r="NKR1" s="179"/>
      <c r="NKS1" s="179"/>
      <c r="NKT1" s="179"/>
      <c r="NKU1" s="179"/>
      <c r="NKV1" s="179"/>
      <c r="NKW1" s="179"/>
      <c r="NKX1" s="179"/>
      <c r="NKY1" s="179"/>
      <c r="NKZ1" s="179"/>
      <c r="NLA1" s="179"/>
      <c r="NLB1" s="179"/>
      <c r="NLC1" s="179"/>
      <c r="NLD1" s="179"/>
      <c r="NLE1" s="179"/>
      <c r="NLF1" s="179"/>
      <c r="NLG1" s="179"/>
      <c r="NLH1" s="179"/>
      <c r="NLI1" s="179"/>
      <c r="NLJ1" s="179"/>
      <c r="NLK1" s="179"/>
      <c r="NLL1" s="179"/>
      <c r="NLM1" s="179"/>
      <c r="NLN1" s="179"/>
      <c r="NLO1" s="179"/>
      <c r="NLP1" s="179"/>
      <c r="NLQ1" s="179"/>
      <c r="NLR1" s="179"/>
      <c r="NLS1" s="179"/>
      <c r="NLT1" s="179"/>
      <c r="NLU1" s="179"/>
      <c r="NLV1" s="179"/>
      <c r="NLW1" s="179"/>
      <c r="NLX1" s="179"/>
      <c r="NLY1" s="179"/>
      <c r="NLZ1" s="179"/>
      <c r="NMA1" s="179"/>
      <c r="NMB1" s="179"/>
      <c r="NMC1" s="179"/>
      <c r="NMD1" s="179"/>
      <c r="NME1" s="179"/>
      <c r="NMF1" s="179"/>
      <c r="NMG1" s="179"/>
      <c r="NMH1" s="179"/>
      <c r="NMI1" s="179"/>
      <c r="NMJ1" s="179"/>
      <c r="NMK1" s="179"/>
      <c r="NML1" s="179"/>
      <c r="NMM1" s="179"/>
      <c r="NMN1" s="179"/>
      <c r="NMO1" s="179"/>
      <c r="NMP1" s="179"/>
      <c r="NMQ1" s="179"/>
      <c r="NMR1" s="179"/>
      <c r="NMS1" s="179"/>
      <c r="NMT1" s="179"/>
      <c r="NMU1" s="179"/>
      <c r="NMV1" s="179"/>
      <c r="NMW1" s="179"/>
      <c r="NMX1" s="179"/>
      <c r="NMY1" s="179"/>
      <c r="NMZ1" s="179"/>
      <c r="NNA1" s="179"/>
      <c r="NNB1" s="179"/>
      <c r="NNC1" s="179"/>
      <c r="NND1" s="179"/>
      <c r="NNE1" s="179"/>
      <c r="NNF1" s="179"/>
      <c r="NNG1" s="179"/>
      <c r="NNH1" s="179"/>
      <c r="NNI1" s="179"/>
      <c r="NNJ1" s="179"/>
      <c r="NNK1" s="179"/>
      <c r="NNL1" s="179"/>
      <c r="NNM1" s="179"/>
      <c r="NNN1" s="179"/>
      <c r="NNO1" s="179"/>
      <c r="NNP1" s="179"/>
      <c r="NNQ1" s="179"/>
      <c r="NNR1" s="179"/>
      <c r="NNS1" s="179"/>
      <c r="NNT1" s="179"/>
      <c r="NNU1" s="179"/>
      <c r="NNV1" s="179"/>
      <c r="NNW1" s="179"/>
      <c r="NNX1" s="179"/>
      <c r="NNY1" s="179"/>
      <c r="NNZ1" s="179"/>
      <c r="NOA1" s="179"/>
      <c r="NOB1" s="179"/>
      <c r="NOC1" s="179"/>
      <c r="NOD1" s="179"/>
      <c r="NOE1" s="179"/>
      <c r="NOF1" s="179"/>
      <c r="NOG1" s="179"/>
      <c r="NOH1" s="179"/>
      <c r="NOI1" s="179"/>
      <c r="NOJ1" s="179"/>
      <c r="NOK1" s="179"/>
      <c r="NOL1" s="179"/>
      <c r="NOM1" s="179"/>
      <c r="NON1" s="179"/>
      <c r="NOO1" s="179"/>
      <c r="NOP1" s="179"/>
      <c r="NOQ1" s="179"/>
      <c r="NOR1" s="179"/>
      <c r="NOS1" s="179"/>
      <c r="NOT1" s="179"/>
      <c r="NOU1" s="179"/>
      <c r="NOV1" s="179"/>
      <c r="NOW1" s="179"/>
      <c r="NOX1" s="179"/>
      <c r="NOY1" s="179"/>
      <c r="NOZ1" s="179"/>
      <c r="NPA1" s="179"/>
      <c r="NPB1" s="179"/>
      <c r="NPC1" s="179"/>
      <c r="NPD1" s="179"/>
      <c r="NPE1" s="179"/>
      <c r="NPF1" s="179"/>
      <c r="NPG1" s="179"/>
      <c r="NPH1" s="179"/>
      <c r="NPI1" s="179"/>
      <c r="NPJ1" s="179"/>
      <c r="NPK1" s="179"/>
      <c r="NPL1" s="179"/>
      <c r="NPM1" s="179"/>
      <c r="NPN1" s="179"/>
      <c r="NPO1" s="179"/>
      <c r="NPP1" s="179"/>
      <c r="NPQ1" s="179"/>
      <c r="NPR1" s="179"/>
      <c r="NPS1" s="179"/>
      <c r="NPT1" s="179"/>
      <c r="NPU1" s="179"/>
      <c r="NPV1" s="179"/>
      <c r="NPW1" s="179"/>
      <c r="NPX1" s="179"/>
      <c r="NPY1" s="179"/>
      <c r="NPZ1" s="179"/>
      <c r="NQA1" s="179"/>
      <c r="NQB1" s="179"/>
      <c r="NQC1" s="179"/>
      <c r="NQD1" s="179"/>
      <c r="NQE1" s="179"/>
      <c r="NQF1" s="179"/>
      <c r="NQG1" s="179"/>
      <c r="NQH1" s="179"/>
      <c r="NQI1" s="179"/>
      <c r="NQJ1" s="179"/>
      <c r="NQK1" s="179"/>
      <c r="NQL1" s="179"/>
      <c r="NQM1" s="179"/>
      <c r="NQN1" s="179"/>
      <c r="NQO1" s="179"/>
      <c r="NQP1" s="179"/>
      <c r="NQQ1" s="179"/>
      <c r="NQR1" s="179"/>
      <c r="NQS1" s="179"/>
      <c r="NQT1" s="179"/>
      <c r="NQU1" s="179"/>
      <c r="NQV1" s="179"/>
      <c r="NQW1" s="179"/>
      <c r="NQX1" s="179"/>
      <c r="NQY1" s="179"/>
      <c r="NQZ1" s="179"/>
      <c r="NRA1" s="179"/>
      <c r="NRB1" s="179"/>
      <c r="NRC1" s="179"/>
      <c r="NRD1" s="179"/>
      <c r="NRE1" s="179"/>
      <c r="NRF1" s="179"/>
      <c r="NRG1" s="179"/>
      <c r="NRH1" s="179"/>
      <c r="NRI1" s="179"/>
      <c r="NRJ1" s="179"/>
      <c r="NRK1" s="179"/>
      <c r="NRL1" s="179"/>
      <c r="NRM1" s="179"/>
      <c r="NRN1" s="179"/>
      <c r="NRO1" s="179"/>
      <c r="NRP1" s="179"/>
      <c r="NRQ1" s="179"/>
      <c r="NRR1" s="179"/>
      <c r="NRS1" s="179"/>
      <c r="NRT1" s="179"/>
      <c r="NRU1" s="179"/>
      <c r="NRV1" s="179"/>
      <c r="NRW1" s="179"/>
      <c r="NRX1" s="179"/>
      <c r="NRY1" s="179"/>
      <c r="NRZ1" s="179"/>
      <c r="NSA1" s="179"/>
      <c r="NSB1" s="179"/>
      <c r="NSC1" s="179"/>
      <c r="NSD1" s="179"/>
      <c r="NSE1" s="179"/>
      <c r="NSF1" s="179"/>
      <c r="NSG1" s="179"/>
      <c r="NSH1" s="179"/>
      <c r="NSI1" s="179"/>
      <c r="NSJ1" s="179"/>
      <c r="NSK1" s="179"/>
      <c r="NSL1" s="179"/>
      <c r="NSM1" s="179"/>
      <c r="NSN1" s="179"/>
      <c r="NSO1" s="179"/>
      <c r="NSP1" s="179"/>
      <c r="NSQ1" s="179"/>
      <c r="NSR1" s="179"/>
      <c r="NSS1" s="179"/>
      <c r="NST1" s="179"/>
      <c r="NSU1" s="179"/>
      <c r="NSV1" s="179"/>
      <c r="NSW1" s="179"/>
      <c r="NSX1" s="179"/>
      <c r="NSY1" s="179"/>
      <c r="NSZ1" s="179"/>
      <c r="NTA1" s="179"/>
      <c r="NTB1" s="179"/>
      <c r="NTC1" s="179"/>
      <c r="NTD1" s="179"/>
      <c r="NTE1" s="179"/>
      <c r="NTF1" s="179"/>
      <c r="NTG1" s="179"/>
      <c r="NTH1" s="179"/>
      <c r="NTI1" s="179"/>
      <c r="NTJ1" s="179"/>
      <c r="NTK1" s="179"/>
      <c r="NTL1" s="179"/>
      <c r="NTM1" s="179"/>
      <c r="NTN1" s="179"/>
      <c r="NTO1" s="179"/>
      <c r="NTP1" s="179"/>
      <c r="NTQ1" s="179"/>
      <c r="NTR1" s="179"/>
      <c r="NTS1" s="179"/>
      <c r="NTT1" s="179"/>
      <c r="NTU1" s="179"/>
      <c r="NTV1" s="179"/>
      <c r="NTW1" s="179"/>
      <c r="NTX1" s="179"/>
      <c r="NTY1" s="179"/>
      <c r="NTZ1" s="179"/>
      <c r="NUA1" s="179"/>
      <c r="NUB1" s="179"/>
      <c r="NUC1" s="179"/>
      <c r="NUD1" s="179"/>
      <c r="NUE1" s="179"/>
      <c r="NUF1" s="179"/>
      <c r="NUG1" s="179"/>
      <c r="NUH1" s="179"/>
      <c r="NUI1" s="179"/>
      <c r="NUJ1" s="179"/>
      <c r="NUK1" s="179"/>
      <c r="NUL1" s="179"/>
      <c r="NUM1" s="179"/>
      <c r="NUN1" s="179"/>
      <c r="NUO1" s="179"/>
      <c r="NUP1" s="179"/>
      <c r="NUQ1" s="179"/>
      <c r="NUR1" s="179"/>
      <c r="NUS1" s="179"/>
      <c r="NUT1" s="179"/>
      <c r="NUU1" s="179"/>
      <c r="NUV1" s="179"/>
      <c r="NUW1" s="179"/>
      <c r="NUX1" s="179"/>
      <c r="NUY1" s="179"/>
      <c r="NUZ1" s="179"/>
      <c r="NVA1" s="179"/>
      <c r="NVB1" s="179"/>
      <c r="NVC1" s="179"/>
      <c r="NVD1" s="179"/>
      <c r="NVE1" s="179"/>
      <c r="NVF1" s="179"/>
      <c r="NVG1" s="179"/>
      <c r="NVH1" s="179"/>
      <c r="NVI1" s="179"/>
      <c r="NVJ1" s="179"/>
      <c r="NVK1" s="179"/>
      <c r="NVL1" s="179"/>
      <c r="NVM1" s="179"/>
      <c r="NVN1" s="179"/>
      <c r="NVO1" s="179"/>
      <c r="NVP1" s="179"/>
      <c r="NVQ1" s="179"/>
      <c r="NVR1" s="179"/>
      <c r="NVS1" s="179"/>
      <c r="NVT1" s="179"/>
      <c r="NVU1" s="179"/>
      <c r="NVV1" s="179"/>
      <c r="NVW1" s="179"/>
      <c r="NVX1" s="179"/>
      <c r="NVY1" s="179"/>
      <c r="NVZ1" s="179"/>
      <c r="NWA1" s="179"/>
      <c r="NWB1" s="179"/>
      <c r="NWC1" s="179"/>
      <c r="NWD1" s="179"/>
      <c r="NWE1" s="179"/>
      <c r="NWF1" s="179"/>
      <c r="NWG1" s="179"/>
      <c r="NWH1" s="179"/>
      <c r="NWI1" s="179"/>
      <c r="NWJ1" s="179"/>
      <c r="NWK1" s="179"/>
      <c r="NWL1" s="179"/>
      <c r="NWM1" s="179"/>
      <c r="NWN1" s="179"/>
      <c r="NWO1" s="179"/>
      <c r="NWP1" s="179"/>
      <c r="NWQ1" s="179"/>
      <c r="NWR1" s="179"/>
      <c r="NWS1" s="179"/>
      <c r="NWT1" s="179"/>
      <c r="NWU1" s="179"/>
      <c r="NWV1" s="179"/>
      <c r="NWW1" s="179"/>
      <c r="NWX1" s="179"/>
      <c r="NWY1" s="179"/>
      <c r="NWZ1" s="179"/>
      <c r="NXA1" s="179"/>
      <c r="NXB1" s="179"/>
      <c r="NXC1" s="179"/>
      <c r="NXD1" s="179"/>
      <c r="NXE1" s="179"/>
      <c r="NXF1" s="179"/>
      <c r="NXG1" s="179"/>
      <c r="NXH1" s="179"/>
      <c r="NXI1" s="179"/>
      <c r="NXJ1" s="179"/>
      <c r="NXK1" s="179"/>
      <c r="NXL1" s="179"/>
      <c r="NXM1" s="179"/>
      <c r="NXN1" s="179"/>
      <c r="NXO1" s="179"/>
      <c r="NXP1" s="179"/>
      <c r="NXQ1" s="179"/>
      <c r="NXR1" s="179"/>
      <c r="NXS1" s="179"/>
      <c r="NXT1" s="179"/>
      <c r="NXU1" s="179"/>
      <c r="NXV1" s="179"/>
      <c r="NXW1" s="179"/>
      <c r="NXX1" s="179"/>
      <c r="NXY1" s="179"/>
      <c r="NXZ1" s="179"/>
      <c r="NYA1" s="179"/>
      <c r="NYB1" s="179"/>
      <c r="NYC1" s="179"/>
      <c r="NYD1" s="179"/>
      <c r="NYE1" s="179"/>
      <c r="NYF1" s="179"/>
      <c r="NYG1" s="179"/>
      <c r="NYH1" s="179"/>
      <c r="NYI1" s="179"/>
      <c r="NYJ1" s="179"/>
      <c r="NYK1" s="179"/>
      <c r="NYL1" s="179"/>
      <c r="NYM1" s="179"/>
      <c r="NYN1" s="179"/>
      <c r="NYO1" s="179"/>
      <c r="NYP1" s="179"/>
      <c r="NYQ1" s="179"/>
      <c r="NYR1" s="179"/>
      <c r="NYS1" s="179"/>
      <c r="NYT1" s="179"/>
      <c r="NYU1" s="179"/>
      <c r="NYV1" s="179"/>
      <c r="NYW1" s="179"/>
      <c r="NYX1" s="179"/>
      <c r="NYY1" s="179"/>
      <c r="NYZ1" s="179"/>
      <c r="NZA1" s="179"/>
      <c r="NZB1" s="179"/>
      <c r="NZC1" s="179"/>
      <c r="NZD1" s="179"/>
      <c r="NZE1" s="179"/>
      <c r="NZF1" s="179"/>
      <c r="NZG1" s="179"/>
      <c r="NZH1" s="179"/>
      <c r="NZI1" s="179"/>
      <c r="NZJ1" s="179"/>
      <c r="NZK1" s="179"/>
      <c r="NZL1" s="179"/>
      <c r="NZM1" s="179"/>
      <c r="NZN1" s="179"/>
      <c r="NZO1" s="179"/>
      <c r="NZP1" s="179"/>
      <c r="NZQ1" s="179"/>
      <c r="NZR1" s="179"/>
      <c r="NZS1" s="179"/>
      <c r="NZT1" s="179"/>
      <c r="NZU1" s="179"/>
      <c r="NZV1" s="179"/>
      <c r="NZW1" s="179"/>
      <c r="NZX1" s="179"/>
      <c r="NZY1" s="179"/>
      <c r="NZZ1" s="179"/>
      <c r="OAA1" s="179"/>
      <c r="OAB1" s="179"/>
      <c r="OAC1" s="179"/>
      <c r="OAD1" s="179"/>
      <c r="OAE1" s="179"/>
      <c r="OAF1" s="179"/>
      <c r="OAG1" s="179"/>
      <c r="OAH1" s="179"/>
      <c r="OAI1" s="179"/>
      <c r="OAJ1" s="179"/>
      <c r="OAK1" s="179"/>
      <c r="OAL1" s="179"/>
      <c r="OAM1" s="179"/>
      <c r="OAN1" s="179"/>
      <c r="OAO1" s="179"/>
      <c r="OAP1" s="179"/>
      <c r="OAQ1" s="179"/>
      <c r="OAR1" s="179"/>
      <c r="OAS1" s="179"/>
      <c r="OAT1" s="179"/>
      <c r="OAU1" s="179"/>
      <c r="OAV1" s="179"/>
      <c r="OAW1" s="179"/>
      <c r="OAX1" s="179"/>
      <c r="OAY1" s="179"/>
      <c r="OAZ1" s="179"/>
      <c r="OBA1" s="179"/>
      <c r="OBB1" s="179"/>
      <c r="OBC1" s="179"/>
      <c r="OBD1" s="179"/>
      <c r="OBE1" s="179"/>
      <c r="OBF1" s="179"/>
      <c r="OBG1" s="179"/>
      <c r="OBH1" s="179"/>
      <c r="OBI1" s="179"/>
      <c r="OBJ1" s="179"/>
      <c r="OBK1" s="179"/>
      <c r="OBL1" s="179"/>
      <c r="OBM1" s="179"/>
      <c r="OBN1" s="179"/>
      <c r="OBO1" s="179"/>
      <c r="OBP1" s="179"/>
      <c r="OBQ1" s="179"/>
      <c r="OBR1" s="179"/>
      <c r="OBS1" s="179"/>
      <c r="OBT1" s="179"/>
      <c r="OBU1" s="179"/>
      <c r="OBV1" s="179"/>
      <c r="OBW1" s="179"/>
      <c r="OBX1" s="179"/>
      <c r="OBY1" s="179"/>
      <c r="OBZ1" s="179"/>
      <c r="OCA1" s="179"/>
      <c r="OCB1" s="179"/>
      <c r="OCC1" s="179"/>
      <c r="OCD1" s="179"/>
      <c r="OCE1" s="179"/>
      <c r="OCF1" s="179"/>
      <c r="OCG1" s="179"/>
      <c r="OCH1" s="179"/>
      <c r="OCI1" s="179"/>
      <c r="OCJ1" s="179"/>
      <c r="OCK1" s="179"/>
      <c r="OCL1" s="179"/>
      <c r="OCM1" s="179"/>
      <c r="OCN1" s="179"/>
      <c r="OCO1" s="179"/>
      <c r="OCP1" s="179"/>
      <c r="OCQ1" s="179"/>
      <c r="OCR1" s="179"/>
      <c r="OCS1" s="179"/>
      <c r="OCT1" s="179"/>
      <c r="OCU1" s="179"/>
      <c r="OCV1" s="179"/>
      <c r="OCW1" s="179"/>
      <c r="OCX1" s="179"/>
      <c r="OCY1" s="179"/>
      <c r="OCZ1" s="179"/>
      <c r="ODA1" s="179"/>
      <c r="ODB1" s="179"/>
      <c r="ODC1" s="179"/>
      <c r="ODD1" s="179"/>
      <c r="ODE1" s="179"/>
      <c r="ODF1" s="179"/>
      <c r="ODG1" s="179"/>
      <c r="ODH1" s="179"/>
      <c r="ODI1" s="179"/>
      <c r="ODJ1" s="179"/>
      <c r="ODK1" s="179"/>
      <c r="ODL1" s="179"/>
      <c r="ODM1" s="179"/>
      <c r="ODN1" s="179"/>
      <c r="ODO1" s="179"/>
      <c r="ODP1" s="179"/>
      <c r="ODQ1" s="179"/>
      <c r="ODR1" s="179"/>
      <c r="ODS1" s="179"/>
      <c r="ODT1" s="179"/>
      <c r="ODU1" s="179"/>
      <c r="ODV1" s="179"/>
      <c r="ODW1" s="179"/>
      <c r="ODX1" s="179"/>
      <c r="ODY1" s="179"/>
      <c r="ODZ1" s="179"/>
      <c r="OEA1" s="179"/>
      <c r="OEB1" s="179"/>
      <c r="OEC1" s="179"/>
      <c r="OED1" s="179"/>
      <c r="OEE1" s="179"/>
      <c r="OEF1" s="179"/>
      <c r="OEG1" s="179"/>
      <c r="OEH1" s="179"/>
      <c r="OEI1" s="179"/>
      <c r="OEJ1" s="179"/>
      <c r="OEK1" s="179"/>
      <c r="OEL1" s="179"/>
      <c r="OEM1" s="179"/>
      <c r="OEN1" s="179"/>
      <c r="OEO1" s="179"/>
      <c r="OEP1" s="179"/>
      <c r="OEQ1" s="179"/>
      <c r="OER1" s="179"/>
      <c r="OES1" s="179"/>
      <c r="OET1" s="179"/>
      <c r="OEU1" s="179"/>
      <c r="OEV1" s="179"/>
      <c r="OEW1" s="179"/>
      <c r="OEX1" s="179"/>
      <c r="OEY1" s="179"/>
      <c r="OEZ1" s="179"/>
      <c r="OFA1" s="179"/>
      <c r="OFB1" s="179"/>
      <c r="OFC1" s="179"/>
      <c r="OFD1" s="179"/>
      <c r="OFE1" s="179"/>
      <c r="OFF1" s="179"/>
      <c r="OFG1" s="179"/>
      <c r="OFH1" s="179"/>
      <c r="OFI1" s="179"/>
      <c r="OFJ1" s="179"/>
      <c r="OFK1" s="179"/>
      <c r="OFL1" s="179"/>
      <c r="OFM1" s="179"/>
      <c r="OFN1" s="179"/>
      <c r="OFO1" s="179"/>
      <c r="OFP1" s="179"/>
      <c r="OFQ1" s="179"/>
      <c r="OFR1" s="179"/>
      <c r="OFS1" s="179"/>
      <c r="OFT1" s="179"/>
      <c r="OFU1" s="179"/>
      <c r="OFV1" s="179"/>
      <c r="OFW1" s="179"/>
      <c r="OFX1" s="179"/>
      <c r="OFY1" s="179"/>
      <c r="OFZ1" s="179"/>
      <c r="OGA1" s="179"/>
      <c r="OGB1" s="179"/>
      <c r="OGC1" s="179"/>
      <c r="OGD1" s="179"/>
      <c r="OGE1" s="179"/>
      <c r="OGF1" s="179"/>
      <c r="OGG1" s="179"/>
      <c r="OGH1" s="179"/>
      <c r="OGI1" s="179"/>
      <c r="OGJ1" s="179"/>
      <c r="OGK1" s="179"/>
      <c r="OGL1" s="179"/>
      <c r="OGM1" s="179"/>
      <c r="OGN1" s="179"/>
      <c r="OGO1" s="179"/>
      <c r="OGP1" s="179"/>
      <c r="OGQ1" s="179"/>
      <c r="OGR1" s="179"/>
      <c r="OGS1" s="179"/>
      <c r="OGT1" s="179"/>
      <c r="OGU1" s="179"/>
      <c r="OGV1" s="179"/>
      <c r="OGW1" s="179"/>
      <c r="OGX1" s="179"/>
      <c r="OGY1" s="179"/>
      <c r="OGZ1" s="179"/>
      <c r="OHA1" s="179"/>
      <c r="OHB1" s="179"/>
      <c r="OHC1" s="179"/>
      <c r="OHD1" s="179"/>
      <c r="OHE1" s="179"/>
      <c r="OHF1" s="179"/>
      <c r="OHG1" s="179"/>
      <c r="OHH1" s="179"/>
      <c r="OHI1" s="179"/>
      <c r="OHJ1" s="179"/>
      <c r="OHK1" s="179"/>
      <c r="OHL1" s="179"/>
      <c r="OHM1" s="179"/>
      <c r="OHN1" s="179"/>
      <c r="OHO1" s="179"/>
      <c r="OHP1" s="179"/>
      <c r="OHQ1" s="179"/>
      <c r="OHR1" s="179"/>
      <c r="OHS1" s="179"/>
      <c r="OHT1" s="179"/>
      <c r="OHU1" s="179"/>
      <c r="OHV1" s="179"/>
      <c r="OHW1" s="179"/>
      <c r="OHX1" s="179"/>
      <c r="OHY1" s="179"/>
      <c r="OHZ1" s="179"/>
      <c r="OIA1" s="179"/>
      <c r="OIB1" s="179"/>
      <c r="OIC1" s="179"/>
      <c r="OID1" s="179"/>
      <c r="OIE1" s="179"/>
      <c r="OIF1" s="179"/>
      <c r="OIG1" s="179"/>
      <c r="OIH1" s="179"/>
      <c r="OII1" s="179"/>
      <c r="OIJ1" s="179"/>
      <c r="OIK1" s="179"/>
      <c r="OIL1" s="179"/>
      <c r="OIM1" s="179"/>
      <c r="OIN1" s="179"/>
      <c r="OIO1" s="179"/>
      <c r="OIP1" s="179"/>
      <c r="OIQ1" s="179"/>
      <c r="OIR1" s="179"/>
      <c r="OIS1" s="179"/>
      <c r="OIT1" s="179"/>
      <c r="OIU1" s="179"/>
      <c r="OIV1" s="179"/>
      <c r="OIW1" s="179"/>
      <c r="OIX1" s="179"/>
      <c r="OIY1" s="179"/>
      <c r="OIZ1" s="179"/>
      <c r="OJA1" s="179"/>
      <c r="OJB1" s="179"/>
      <c r="OJC1" s="179"/>
      <c r="OJD1" s="179"/>
      <c r="OJE1" s="179"/>
      <c r="OJF1" s="179"/>
      <c r="OJG1" s="179"/>
      <c r="OJH1" s="179"/>
      <c r="OJI1" s="179"/>
      <c r="OJJ1" s="179"/>
      <c r="OJK1" s="179"/>
      <c r="OJL1" s="179"/>
      <c r="OJM1" s="179"/>
      <c r="OJN1" s="179"/>
      <c r="OJO1" s="179"/>
      <c r="OJP1" s="179"/>
      <c r="OJQ1" s="179"/>
      <c r="OJR1" s="179"/>
      <c r="OJS1" s="179"/>
      <c r="OJT1" s="179"/>
      <c r="OJU1" s="179"/>
      <c r="OJV1" s="179"/>
      <c r="OJW1" s="179"/>
      <c r="OJX1" s="179"/>
      <c r="OJY1" s="179"/>
      <c r="OJZ1" s="179"/>
      <c r="OKA1" s="179"/>
      <c r="OKB1" s="179"/>
      <c r="OKC1" s="179"/>
      <c r="OKD1" s="179"/>
      <c r="OKE1" s="179"/>
      <c r="OKF1" s="179"/>
      <c r="OKG1" s="179"/>
      <c r="OKH1" s="179"/>
      <c r="OKI1" s="179"/>
      <c r="OKJ1" s="179"/>
      <c r="OKK1" s="179"/>
      <c r="OKL1" s="179"/>
      <c r="OKM1" s="179"/>
      <c r="OKN1" s="179"/>
      <c r="OKO1" s="179"/>
      <c r="OKP1" s="179"/>
      <c r="OKQ1" s="179"/>
      <c r="OKR1" s="179"/>
      <c r="OKS1" s="179"/>
      <c r="OKT1" s="179"/>
      <c r="OKU1" s="179"/>
      <c r="OKV1" s="179"/>
      <c r="OKW1" s="179"/>
      <c r="OKX1" s="179"/>
      <c r="OKY1" s="179"/>
      <c r="OKZ1" s="179"/>
      <c r="OLA1" s="179"/>
      <c r="OLB1" s="179"/>
      <c r="OLC1" s="179"/>
      <c r="OLD1" s="179"/>
      <c r="OLE1" s="179"/>
      <c r="OLF1" s="179"/>
      <c r="OLG1" s="179"/>
      <c r="OLH1" s="179"/>
      <c r="OLI1" s="179"/>
      <c r="OLJ1" s="179"/>
      <c r="OLK1" s="179"/>
      <c r="OLL1" s="179"/>
      <c r="OLM1" s="179"/>
      <c r="OLN1" s="179"/>
      <c r="OLO1" s="179"/>
      <c r="OLP1" s="179"/>
      <c r="OLQ1" s="179"/>
      <c r="OLR1" s="179"/>
      <c r="OLS1" s="179"/>
      <c r="OLT1" s="179"/>
      <c r="OLU1" s="179"/>
      <c r="OLV1" s="179"/>
      <c r="OLW1" s="179"/>
      <c r="OLX1" s="179"/>
      <c r="OLY1" s="179"/>
      <c r="OLZ1" s="179"/>
      <c r="OMA1" s="179"/>
      <c r="OMB1" s="179"/>
      <c r="OMC1" s="179"/>
      <c r="OMD1" s="179"/>
      <c r="OME1" s="179"/>
      <c r="OMF1" s="179"/>
      <c r="OMG1" s="179"/>
      <c r="OMH1" s="179"/>
      <c r="OMI1" s="179"/>
      <c r="OMJ1" s="179"/>
      <c r="OMK1" s="179"/>
      <c r="OML1" s="179"/>
      <c r="OMM1" s="179"/>
      <c r="OMN1" s="179"/>
      <c r="OMO1" s="179"/>
      <c r="OMP1" s="179"/>
      <c r="OMQ1" s="179"/>
      <c r="OMR1" s="179"/>
      <c r="OMS1" s="179"/>
      <c r="OMT1" s="179"/>
      <c r="OMU1" s="179"/>
      <c r="OMV1" s="179"/>
      <c r="OMW1" s="179"/>
      <c r="OMX1" s="179"/>
      <c r="OMY1" s="179"/>
      <c r="OMZ1" s="179"/>
      <c r="ONA1" s="179"/>
      <c r="ONB1" s="179"/>
      <c r="ONC1" s="179"/>
      <c r="OND1" s="179"/>
      <c r="ONE1" s="179"/>
      <c r="ONF1" s="179"/>
      <c r="ONG1" s="179"/>
      <c r="ONH1" s="179"/>
      <c r="ONI1" s="179"/>
      <c r="ONJ1" s="179"/>
      <c r="ONK1" s="179"/>
      <c r="ONL1" s="179"/>
      <c r="ONM1" s="179"/>
      <c r="ONN1" s="179"/>
      <c r="ONO1" s="179"/>
      <c r="ONP1" s="179"/>
      <c r="ONQ1" s="179"/>
      <c r="ONR1" s="179"/>
      <c r="ONS1" s="179"/>
      <c r="ONT1" s="179"/>
      <c r="ONU1" s="179"/>
      <c r="ONV1" s="179"/>
      <c r="ONW1" s="179"/>
      <c r="ONX1" s="179"/>
      <c r="ONY1" s="179"/>
      <c r="ONZ1" s="179"/>
      <c r="OOA1" s="179"/>
      <c r="OOB1" s="179"/>
      <c r="OOC1" s="179"/>
      <c r="OOD1" s="179"/>
      <c r="OOE1" s="179"/>
      <c r="OOF1" s="179"/>
      <c r="OOG1" s="179"/>
      <c r="OOH1" s="179"/>
      <c r="OOI1" s="179"/>
      <c r="OOJ1" s="179"/>
      <c r="OOK1" s="179"/>
      <c r="OOL1" s="179"/>
      <c r="OOM1" s="179"/>
      <c r="OON1" s="179"/>
      <c r="OOO1" s="179"/>
      <c r="OOP1" s="179"/>
      <c r="OOQ1" s="179"/>
      <c r="OOR1" s="179"/>
      <c r="OOS1" s="179"/>
      <c r="OOT1" s="179"/>
      <c r="OOU1" s="179"/>
      <c r="OOV1" s="179"/>
      <c r="OOW1" s="179"/>
      <c r="OOX1" s="179"/>
      <c r="OOY1" s="179"/>
      <c r="OOZ1" s="179"/>
      <c r="OPA1" s="179"/>
      <c r="OPB1" s="179"/>
      <c r="OPC1" s="179"/>
      <c r="OPD1" s="179"/>
      <c r="OPE1" s="179"/>
      <c r="OPF1" s="179"/>
      <c r="OPG1" s="179"/>
      <c r="OPH1" s="179"/>
      <c r="OPI1" s="179"/>
      <c r="OPJ1" s="179"/>
      <c r="OPK1" s="179"/>
      <c r="OPL1" s="179"/>
      <c r="OPM1" s="179"/>
      <c r="OPN1" s="179"/>
      <c r="OPO1" s="179"/>
      <c r="OPP1" s="179"/>
      <c r="OPQ1" s="179"/>
      <c r="OPR1" s="179"/>
      <c r="OPS1" s="179"/>
      <c r="OPT1" s="179"/>
      <c r="OPU1" s="179"/>
      <c r="OPV1" s="179"/>
      <c r="OPW1" s="179"/>
      <c r="OPX1" s="179"/>
      <c r="OPY1" s="179"/>
      <c r="OPZ1" s="179"/>
      <c r="OQA1" s="179"/>
      <c r="OQB1" s="179"/>
      <c r="OQC1" s="179"/>
      <c r="OQD1" s="179"/>
      <c r="OQE1" s="179"/>
      <c r="OQF1" s="179"/>
      <c r="OQG1" s="179"/>
      <c r="OQH1" s="179"/>
      <c r="OQI1" s="179"/>
      <c r="OQJ1" s="179"/>
      <c r="OQK1" s="179"/>
      <c r="OQL1" s="179"/>
      <c r="OQM1" s="179"/>
      <c r="OQN1" s="179"/>
      <c r="OQO1" s="179"/>
      <c r="OQP1" s="179"/>
      <c r="OQQ1" s="179"/>
      <c r="OQR1" s="179"/>
      <c r="OQS1" s="179"/>
      <c r="OQT1" s="179"/>
      <c r="OQU1" s="179"/>
      <c r="OQV1" s="179"/>
      <c r="OQW1" s="179"/>
      <c r="OQX1" s="179"/>
      <c r="OQY1" s="179"/>
      <c r="OQZ1" s="179"/>
      <c r="ORA1" s="179"/>
      <c r="ORB1" s="179"/>
      <c r="ORC1" s="179"/>
      <c r="ORD1" s="179"/>
      <c r="ORE1" s="179"/>
      <c r="ORF1" s="179"/>
      <c r="ORG1" s="179"/>
      <c r="ORH1" s="179"/>
      <c r="ORI1" s="179"/>
      <c r="ORJ1" s="179"/>
      <c r="ORK1" s="179"/>
      <c r="ORL1" s="179"/>
      <c r="ORM1" s="179"/>
      <c r="ORN1" s="179"/>
      <c r="ORO1" s="179"/>
      <c r="ORP1" s="179"/>
      <c r="ORQ1" s="179"/>
      <c r="ORR1" s="179"/>
      <c r="ORS1" s="179"/>
      <c r="ORT1" s="179"/>
      <c r="ORU1" s="179"/>
      <c r="ORV1" s="179"/>
      <c r="ORW1" s="179"/>
      <c r="ORX1" s="179"/>
      <c r="ORY1" s="179"/>
      <c r="ORZ1" s="179"/>
      <c r="OSA1" s="179"/>
      <c r="OSB1" s="179"/>
      <c r="OSC1" s="179"/>
      <c r="OSD1" s="179"/>
      <c r="OSE1" s="179"/>
      <c r="OSF1" s="179"/>
      <c r="OSG1" s="179"/>
      <c r="OSH1" s="179"/>
      <c r="OSI1" s="179"/>
      <c r="OSJ1" s="179"/>
      <c r="OSK1" s="179"/>
      <c r="OSL1" s="179"/>
      <c r="OSM1" s="179"/>
      <c r="OSN1" s="179"/>
      <c r="OSO1" s="179"/>
      <c r="OSP1" s="179"/>
      <c r="OSQ1" s="179"/>
      <c r="OSR1" s="179"/>
      <c r="OSS1" s="179"/>
      <c r="OST1" s="179"/>
      <c r="OSU1" s="179"/>
      <c r="OSV1" s="179"/>
      <c r="OSW1" s="179"/>
      <c r="OSX1" s="179"/>
      <c r="OSY1" s="179"/>
      <c r="OSZ1" s="179"/>
      <c r="OTA1" s="179"/>
      <c r="OTB1" s="179"/>
      <c r="OTC1" s="179"/>
      <c r="OTD1" s="179"/>
      <c r="OTE1" s="179"/>
      <c r="OTF1" s="179"/>
      <c r="OTG1" s="179"/>
      <c r="OTH1" s="179"/>
      <c r="OTI1" s="179"/>
      <c r="OTJ1" s="179"/>
      <c r="OTK1" s="179"/>
      <c r="OTL1" s="179"/>
      <c r="OTM1" s="179"/>
      <c r="OTN1" s="179"/>
      <c r="OTO1" s="179"/>
      <c r="OTP1" s="179"/>
      <c r="OTQ1" s="179"/>
      <c r="OTR1" s="179"/>
      <c r="OTS1" s="179"/>
      <c r="OTT1" s="179"/>
      <c r="OTU1" s="179"/>
      <c r="OTV1" s="179"/>
      <c r="OTW1" s="179"/>
      <c r="OTX1" s="179"/>
      <c r="OTY1" s="179"/>
      <c r="OTZ1" s="179"/>
      <c r="OUA1" s="179"/>
      <c r="OUB1" s="179"/>
      <c r="OUC1" s="179"/>
      <c r="OUD1" s="179"/>
      <c r="OUE1" s="179"/>
      <c r="OUF1" s="179"/>
      <c r="OUG1" s="179"/>
      <c r="OUH1" s="179"/>
      <c r="OUI1" s="179"/>
      <c r="OUJ1" s="179"/>
      <c r="OUK1" s="179"/>
      <c r="OUL1" s="179"/>
      <c r="OUM1" s="179"/>
      <c r="OUN1" s="179"/>
      <c r="OUO1" s="179"/>
      <c r="OUP1" s="179"/>
      <c r="OUQ1" s="179"/>
      <c r="OUR1" s="179"/>
      <c r="OUS1" s="179"/>
      <c r="OUT1" s="179"/>
      <c r="OUU1" s="179"/>
      <c r="OUV1" s="179"/>
      <c r="OUW1" s="179"/>
      <c r="OUX1" s="179"/>
      <c r="OUY1" s="179"/>
      <c r="OUZ1" s="179"/>
      <c r="OVA1" s="179"/>
      <c r="OVB1" s="179"/>
      <c r="OVC1" s="179"/>
      <c r="OVD1" s="179"/>
      <c r="OVE1" s="179"/>
      <c r="OVF1" s="179"/>
      <c r="OVG1" s="179"/>
      <c r="OVH1" s="179"/>
      <c r="OVI1" s="179"/>
      <c r="OVJ1" s="179"/>
      <c r="OVK1" s="179"/>
      <c r="OVL1" s="179"/>
      <c r="OVM1" s="179"/>
      <c r="OVN1" s="179"/>
      <c r="OVO1" s="179"/>
      <c r="OVP1" s="179"/>
      <c r="OVQ1" s="179"/>
      <c r="OVR1" s="179"/>
      <c r="OVS1" s="179"/>
      <c r="OVT1" s="179"/>
      <c r="OVU1" s="179"/>
      <c r="OVV1" s="179"/>
      <c r="OVW1" s="179"/>
      <c r="OVX1" s="179"/>
      <c r="OVY1" s="179"/>
      <c r="OVZ1" s="179"/>
      <c r="OWA1" s="179"/>
      <c r="OWB1" s="179"/>
      <c r="OWC1" s="179"/>
      <c r="OWD1" s="179"/>
      <c r="OWE1" s="179"/>
      <c r="OWF1" s="179"/>
      <c r="OWG1" s="179"/>
      <c r="OWH1" s="179"/>
      <c r="OWI1" s="179"/>
      <c r="OWJ1" s="179"/>
      <c r="OWK1" s="179"/>
      <c r="OWL1" s="179"/>
      <c r="OWM1" s="179"/>
      <c r="OWN1" s="179"/>
      <c r="OWO1" s="179"/>
      <c r="OWP1" s="179"/>
      <c r="OWQ1" s="179"/>
      <c r="OWR1" s="179"/>
      <c r="OWS1" s="179"/>
      <c r="OWT1" s="179"/>
      <c r="OWU1" s="179"/>
      <c r="OWV1" s="179"/>
      <c r="OWW1" s="179"/>
      <c r="OWX1" s="179"/>
      <c r="OWY1" s="179"/>
      <c r="OWZ1" s="179"/>
      <c r="OXA1" s="179"/>
      <c r="OXB1" s="179"/>
      <c r="OXC1" s="179"/>
      <c r="OXD1" s="179"/>
      <c r="OXE1" s="179"/>
      <c r="OXF1" s="179"/>
      <c r="OXG1" s="179"/>
      <c r="OXH1" s="179"/>
      <c r="OXI1" s="179"/>
      <c r="OXJ1" s="179"/>
      <c r="OXK1" s="179"/>
      <c r="OXL1" s="179"/>
      <c r="OXM1" s="179"/>
      <c r="OXN1" s="179"/>
      <c r="OXO1" s="179"/>
      <c r="OXP1" s="179"/>
      <c r="OXQ1" s="179"/>
      <c r="OXR1" s="179"/>
      <c r="OXS1" s="179"/>
      <c r="OXT1" s="179"/>
      <c r="OXU1" s="179"/>
      <c r="OXV1" s="179"/>
      <c r="OXW1" s="179"/>
      <c r="OXX1" s="179"/>
      <c r="OXY1" s="179"/>
      <c r="OXZ1" s="179"/>
      <c r="OYA1" s="179"/>
      <c r="OYB1" s="179"/>
      <c r="OYC1" s="179"/>
      <c r="OYD1" s="179"/>
      <c r="OYE1" s="179"/>
      <c r="OYF1" s="179"/>
      <c r="OYG1" s="179"/>
      <c r="OYH1" s="179"/>
      <c r="OYI1" s="179"/>
      <c r="OYJ1" s="179"/>
      <c r="OYK1" s="179"/>
      <c r="OYL1" s="179"/>
      <c r="OYM1" s="179"/>
      <c r="OYN1" s="179"/>
      <c r="OYO1" s="179"/>
      <c r="OYP1" s="179"/>
      <c r="OYQ1" s="179"/>
      <c r="OYR1" s="179"/>
      <c r="OYS1" s="179"/>
      <c r="OYT1" s="179"/>
      <c r="OYU1" s="179"/>
      <c r="OYV1" s="179"/>
      <c r="OYW1" s="179"/>
      <c r="OYX1" s="179"/>
      <c r="OYY1" s="179"/>
      <c r="OYZ1" s="179"/>
      <c r="OZA1" s="179"/>
      <c r="OZB1" s="179"/>
      <c r="OZC1" s="179"/>
      <c r="OZD1" s="179"/>
      <c r="OZE1" s="179"/>
      <c r="OZF1" s="179"/>
      <c r="OZG1" s="179"/>
      <c r="OZH1" s="179"/>
      <c r="OZI1" s="179"/>
      <c r="OZJ1" s="179"/>
      <c r="OZK1" s="179"/>
      <c r="OZL1" s="179"/>
      <c r="OZM1" s="179"/>
      <c r="OZN1" s="179"/>
      <c r="OZO1" s="179"/>
      <c r="OZP1" s="179"/>
      <c r="OZQ1" s="179"/>
      <c r="OZR1" s="179"/>
      <c r="OZS1" s="179"/>
      <c r="OZT1" s="179"/>
      <c r="OZU1" s="179"/>
      <c r="OZV1" s="179"/>
      <c r="OZW1" s="179"/>
      <c r="OZX1" s="179"/>
      <c r="OZY1" s="179"/>
      <c r="OZZ1" s="179"/>
      <c r="PAA1" s="179"/>
      <c r="PAB1" s="179"/>
      <c r="PAC1" s="179"/>
      <c r="PAD1" s="179"/>
      <c r="PAE1" s="179"/>
      <c r="PAF1" s="179"/>
      <c r="PAG1" s="179"/>
      <c r="PAH1" s="179"/>
      <c r="PAI1" s="179"/>
      <c r="PAJ1" s="179"/>
      <c r="PAK1" s="179"/>
      <c r="PAL1" s="179"/>
      <c r="PAM1" s="179"/>
      <c r="PAN1" s="179"/>
      <c r="PAO1" s="179"/>
      <c r="PAP1" s="179"/>
      <c r="PAQ1" s="179"/>
      <c r="PAR1" s="179"/>
      <c r="PAS1" s="179"/>
      <c r="PAT1" s="179"/>
      <c r="PAU1" s="179"/>
      <c r="PAV1" s="179"/>
      <c r="PAW1" s="179"/>
      <c r="PAX1" s="179"/>
      <c r="PAY1" s="179"/>
      <c r="PAZ1" s="179"/>
      <c r="PBA1" s="179"/>
      <c r="PBB1" s="179"/>
      <c r="PBC1" s="179"/>
      <c r="PBD1" s="179"/>
      <c r="PBE1" s="179"/>
      <c r="PBF1" s="179"/>
      <c r="PBG1" s="179"/>
      <c r="PBH1" s="179"/>
      <c r="PBI1" s="179"/>
      <c r="PBJ1" s="179"/>
      <c r="PBK1" s="179"/>
      <c r="PBL1" s="179"/>
      <c r="PBM1" s="179"/>
      <c r="PBN1" s="179"/>
      <c r="PBO1" s="179"/>
      <c r="PBP1" s="179"/>
      <c r="PBQ1" s="179"/>
      <c r="PBR1" s="179"/>
      <c r="PBS1" s="179"/>
      <c r="PBT1" s="179"/>
      <c r="PBU1" s="179"/>
      <c r="PBV1" s="179"/>
      <c r="PBW1" s="179"/>
      <c r="PBX1" s="179"/>
      <c r="PBY1" s="179"/>
      <c r="PBZ1" s="179"/>
      <c r="PCA1" s="179"/>
      <c r="PCB1" s="179"/>
      <c r="PCC1" s="179"/>
      <c r="PCD1" s="179"/>
      <c r="PCE1" s="179"/>
      <c r="PCF1" s="179"/>
      <c r="PCG1" s="179"/>
      <c r="PCH1" s="179"/>
      <c r="PCI1" s="179"/>
      <c r="PCJ1" s="179"/>
      <c r="PCK1" s="179"/>
      <c r="PCL1" s="179"/>
      <c r="PCM1" s="179"/>
      <c r="PCN1" s="179"/>
      <c r="PCO1" s="179"/>
      <c r="PCP1" s="179"/>
      <c r="PCQ1" s="179"/>
      <c r="PCR1" s="179"/>
      <c r="PCS1" s="179"/>
      <c r="PCT1" s="179"/>
      <c r="PCU1" s="179"/>
      <c r="PCV1" s="179"/>
      <c r="PCW1" s="179"/>
      <c r="PCX1" s="179"/>
      <c r="PCY1" s="179"/>
      <c r="PCZ1" s="179"/>
      <c r="PDA1" s="179"/>
      <c r="PDB1" s="179"/>
      <c r="PDC1" s="179"/>
      <c r="PDD1" s="179"/>
      <c r="PDE1" s="179"/>
      <c r="PDF1" s="179"/>
      <c r="PDG1" s="179"/>
      <c r="PDH1" s="179"/>
      <c r="PDI1" s="179"/>
      <c r="PDJ1" s="179"/>
      <c r="PDK1" s="179"/>
      <c r="PDL1" s="179"/>
      <c r="PDM1" s="179"/>
      <c r="PDN1" s="179"/>
      <c r="PDO1" s="179"/>
      <c r="PDP1" s="179"/>
      <c r="PDQ1" s="179"/>
      <c r="PDR1" s="179"/>
      <c r="PDS1" s="179"/>
      <c r="PDT1" s="179"/>
      <c r="PDU1" s="179"/>
      <c r="PDV1" s="179"/>
      <c r="PDW1" s="179"/>
      <c r="PDX1" s="179"/>
      <c r="PDY1" s="179"/>
      <c r="PDZ1" s="179"/>
      <c r="PEA1" s="179"/>
      <c r="PEB1" s="179"/>
      <c r="PEC1" s="179"/>
      <c r="PED1" s="179"/>
      <c r="PEE1" s="179"/>
      <c r="PEF1" s="179"/>
      <c r="PEG1" s="179"/>
      <c r="PEH1" s="179"/>
      <c r="PEI1" s="179"/>
      <c r="PEJ1" s="179"/>
      <c r="PEK1" s="179"/>
      <c r="PEL1" s="179"/>
      <c r="PEM1" s="179"/>
      <c r="PEN1" s="179"/>
      <c r="PEO1" s="179"/>
      <c r="PEP1" s="179"/>
      <c r="PEQ1" s="179"/>
      <c r="PER1" s="179"/>
      <c r="PES1" s="179"/>
      <c r="PET1" s="179"/>
      <c r="PEU1" s="179"/>
      <c r="PEV1" s="179"/>
      <c r="PEW1" s="179"/>
      <c r="PEX1" s="179"/>
      <c r="PEY1" s="179"/>
      <c r="PEZ1" s="179"/>
      <c r="PFA1" s="179"/>
      <c r="PFB1" s="179"/>
      <c r="PFC1" s="179"/>
      <c r="PFD1" s="179"/>
      <c r="PFE1" s="179"/>
      <c r="PFF1" s="179"/>
      <c r="PFG1" s="179"/>
      <c r="PFH1" s="179"/>
      <c r="PFI1" s="179"/>
      <c r="PFJ1" s="179"/>
      <c r="PFK1" s="179"/>
      <c r="PFL1" s="179"/>
      <c r="PFM1" s="179"/>
      <c r="PFN1" s="179"/>
      <c r="PFO1" s="179"/>
      <c r="PFP1" s="179"/>
      <c r="PFQ1" s="179"/>
      <c r="PFR1" s="179"/>
      <c r="PFS1" s="179"/>
      <c r="PFT1" s="179"/>
      <c r="PFU1" s="179"/>
      <c r="PFV1" s="179"/>
      <c r="PFW1" s="179"/>
      <c r="PFX1" s="179"/>
      <c r="PFY1" s="179"/>
      <c r="PFZ1" s="179"/>
      <c r="PGA1" s="179"/>
      <c r="PGB1" s="179"/>
      <c r="PGC1" s="179"/>
      <c r="PGD1" s="179"/>
      <c r="PGE1" s="179"/>
      <c r="PGF1" s="179"/>
      <c r="PGG1" s="179"/>
      <c r="PGH1" s="179"/>
      <c r="PGI1" s="179"/>
      <c r="PGJ1" s="179"/>
      <c r="PGK1" s="179"/>
      <c r="PGL1" s="179"/>
      <c r="PGM1" s="179"/>
      <c r="PGN1" s="179"/>
      <c r="PGO1" s="179"/>
      <c r="PGP1" s="179"/>
      <c r="PGQ1" s="179"/>
      <c r="PGR1" s="179"/>
      <c r="PGS1" s="179"/>
      <c r="PGT1" s="179"/>
      <c r="PGU1" s="179"/>
      <c r="PGV1" s="179"/>
      <c r="PGW1" s="179"/>
      <c r="PGX1" s="179"/>
      <c r="PGY1" s="179"/>
      <c r="PGZ1" s="179"/>
      <c r="PHA1" s="179"/>
      <c r="PHB1" s="179"/>
      <c r="PHC1" s="179"/>
      <c r="PHD1" s="179"/>
      <c r="PHE1" s="179"/>
      <c r="PHF1" s="179"/>
      <c r="PHG1" s="179"/>
      <c r="PHH1" s="179"/>
      <c r="PHI1" s="179"/>
      <c r="PHJ1" s="179"/>
      <c r="PHK1" s="179"/>
      <c r="PHL1" s="179"/>
      <c r="PHM1" s="179"/>
      <c r="PHN1" s="179"/>
      <c r="PHO1" s="179"/>
      <c r="PHP1" s="179"/>
      <c r="PHQ1" s="179"/>
      <c r="PHR1" s="179"/>
      <c r="PHS1" s="179"/>
      <c r="PHT1" s="179"/>
      <c r="PHU1" s="179"/>
      <c r="PHV1" s="179"/>
      <c r="PHW1" s="179"/>
      <c r="PHX1" s="179"/>
      <c r="PHY1" s="179"/>
      <c r="PHZ1" s="179"/>
      <c r="PIA1" s="179"/>
      <c r="PIB1" s="179"/>
      <c r="PIC1" s="179"/>
      <c r="PID1" s="179"/>
      <c r="PIE1" s="179"/>
      <c r="PIF1" s="179"/>
      <c r="PIG1" s="179"/>
      <c r="PIH1" s="179"/>
      <c r="PII1" s="179"/>
      <c r="PIJ1" s="179"/>
      <c r="PIK1" s="179"/>
      <c r="PIL1" s="179"/>
      <c r="PIM1" s="179"/>
      <c r="PIN1" s="179"/>
      <c r="PIO1" s="179"/>
      <c r="PIP1" s="179"/>
      <c r="PIQ1" s="179"/>
      <c r="PIR1" s="179"/>
      <c r="PIS1" s="179"/>
      <c r="PIT1" s="179"/>
      <c r="PIU1" s="179"/>
      <c r="PIV1" s="179"/>
      <c r="PIW1" s="179"/>
      <c r="PIX1" s="179"/>
      <c r="PIY1" s="179"/>
      <c r="PIZ1" s="179"/>
      <c r="PJA1" s="179"/>
      <c r="PJB1" s="179"/>
      <c r="PJC1" s="179"/>
      <c r="PJD1" s="179"/>
      <c r="PJE1" s="179"/>
      <c r="PJF1" s="179"/>
      <c r="PJG1" s="179"/>
      <c r="PJH1" s="179"/>
      <c r="PJI1" s="179"/>
      <c r="PJJ1" s="179"/>
      <c r="PJK1" s="179"/>
      <c r="PJL1" s="179"/>
      <c r="PJM1" s="179"/>
      <c r="PJN1" s="179"/>
      <c r="PJO1" s="179"/>
      <c r="PJP1" s="179"/>
      <c r="PJQ1" s="179"/>
      <c r="PJR1" s="179"/>
      <c r="PJS1" s="179"/>
      <c r="PJT1" s="179"/>
      <c r="PJU1" s="179"/>
      <c r="PJV1" s="179"/>
      <c r="PJW1" s="179"/>
      <c r="PJX1" s="179"/>
      <c r="PJY1" s="179"/>
      <c r="PJZ1" s="179"/>
      <c r="PKA1" s="179"/>
      <c r="PKB1" s="179"/>
      <c r="PKC1" s="179"/>
      <c r="PKD1" s="179"/>
      <c r="PKE1" s="179"/>
      <c r="PKF1" s="179"/>
      <c r="PKG1" s="179"/>
      <c r="PKH1" s="179"/>
      <c r="PKI1" s="179"/>
      <c r="PKJ1" s="179"/>
      <c r="PKK1" s="179"/>
      <c r="PKL1" s="179"/>
      <c r="PKM1" s="179"/>
      <c r="PKN1" s="179"/>
      <c r="PKO1" s="179"/>
      <c r="PKP1" s="179"/>
      <c r="PKQ1" s="179"/>
      <c r="PKR1" s="179"/>
      <c r="PKS1" s="179"/>
      <c r="PKT1" s="179"/>
      <c r="PKU1" s="179"/>
      <c r="PKV1" s="179"/>
      <c r="PKW1" s="179"/>
      <c r="PKX1" s="179"/>
      <c r="PKY1" s="179"/>
      <c r="PKZ1" s="179"/>
      <c r="PLA1" s="179"/>
      <c r="PLB1" s="179"/>
      <c r="PLC1" s="179"/>
      <c r="PLD1" s="179"/>
      <c r="PLE1" s="179"/>
      <c r="PLF1" s="179"/>
      <c r="PLG1" s="179"/>
      <c r="PLH1" s="179"/>
      <c r="PLI1" s="179"/>
      <c r="PLJ1" s="179"/>
      <c r="PLK1" s="179"/>
      <c r="PLL1" s="179"/>
      <c r="PLM1" s="179"/>
      <c r="PLN1" s="179"/>
      <c r="PLO1" s="179"/>
      <c r="PLP1" s="179"/>
      <c r="PLQ1" s="179"/>
      <c r="PLR1" s="179"/>
      <c r="PLS1" s="179"/>
      <c r="PLT1" s="179"/>
      <c r="PLU1" s="179"/>
      <c r="PLV1" s="179"/>
      <c r="PLW1" s="179"/>
      <c r="PLX1" s="179"/>
      <c r="PLY1" s="179"/>
      <c r="PLZ1" s="179"/>
      <c r="PMA1" s="179"/>
      <c r="PMB1" s="179"/>
      <c r="PMC1" s="179"/>
      <c r="PMD1" s="179"/>
      <c r="PME1" s="179"/>
      <c r="PMF1" s="179"/>
      <c r="PMG1" s="179"/>
      <c r="PMH1" s="179"/>
      <c r="PMI1" s="179"/>
      <c r="PMJ1" s="179"/>
      <c r="PMK1" s="179"/>
      <c r="PML1" s="179"/>
      <c r="PMM1" s="179"/>
      <c r="PMN1" s="179"/>
      <c r="PMO1" s="179"/>
      <c r="PMP1" s="179"/>
      <c r="PMQ1" s="179"/>
      <c r="PMR1" s="179"/>
      <c r="PMS1" s="179"/>
      <c r="PMT1" s="179"/>
      <c r="PMU1" s="179"/>
      <c r="PMV1" s="179"/>
      <c r="PMW1" s="179"/>
      <c r="PMX1" s="179"/>
      <c r="PMY1" s="179"/>
      <c r="PMZ1" s="179"/>
      <c r="PNA1" s="179"/>
      <c r="PNB1" s="179"/>
      <c r="PNC1" s="179"/>
      <c r="PND1" s="179"/>
      <c r="PNE1" s="179"/>
      <c r="PNF1" s="179"/>
      <c r="PNG1" s="179"/>
      <c r="PNH1" s="179"/>
      <c r="PNI1" s="179"/>
      <c r="PNJ1" s="179"/>
      <c r="PNK1" s="179"/>
      <c r="PNL1" s="179"/>
      <c r="PNM1" s="179"/>
      <c r="PNN1" s="179"/>
      <c r="PNO1" s="179"/>
      <c r="PNP1" s="179"/>
      <c r="PNQ1" s="179"/>
      <c r="PNR1" s="179"/>
      <c r="PNS1" s="179"/>
      <c r="PNT1" s="179"/>
      <c r="PNU1" s="179"/>
      <c r="PNV1" s="179"/>
      <c r="PNW1" s="179"/>
      <c r="PNX1" s="179"/>
      <c r="PNY1" s="179"/>
      <c r="PNZ1" s="179"/>
      <c r="POA1" s="179"/>
      <c r="POB1" s="179"/>
      <c r="POC1" s="179"/>
      <c r="POD1" s="179"/>
      <c r="POE1" s="179"/>
      <c r="POF1" s="179"/>
      <c r="POG1" s="179"/>
      <c r="POH1" s="179"/>
      <c r="POI1" s="179"/>
      <c r="POJ1" s="179"/>
      <c r="POK1" s="179"/>
      <c r="POL1" s="179"/>
      <c r="POM1" s="179"/>
      <c r="PON1" s="179"/>
      <c r="POO1" s="179"/>
      <c r="POP1" s="179"/>
      <c r="POQ1" s="179"/>
      <c r="POR1" s="179"/>
      <c r="POS1" s="179"/>
      <c r="POT1" s="179"/>
      <c r="POU1" s="179"/>
      <c r="POV1" s="179"/>
      <c r="POW1" s="179"/>
      <c r="POX1" s="179"/>
      <c r="POY1" s="179"/>
      <c r="POZ1" s="179"/>
      <c r="PPA1" s="179"/>
      <c r="PPB1" s="179"/>
      <c r="PPC1" s="179"/>
      <c r="PPD1" s="179"/>
      <c r="PPE1" s="179"/>
      <c r="PPF1" s="179"/>
      <c r="PPG1" s="179"/>
      <c r="PPH1" s="179"/>
      <c r="PPI1" s="179"/>
      <c r="PPJ1" s="179"/>
      <c r="PPK1" s="179"/>
      <c r="PPL1" s="179"/>
      <c r="PPM1" s="179"/>
      <c r="PPN1" s="179"/>
      <c r="PPO1" s="179"/>
      <c r="PPP1" s="179"/>
      <c r="PPQ1" s="179"/>
      <c r="PPR1" s="179"/>
      <c r="PPS1" s="179"/>
      <c r="PPT1" s="179"/>
      <c r="PPU1" s="179"/>
      <c r="PPV1" s="179"/>
      <c r="PPW1" s="179"/>
      <c r="PPX1" s="179"/>
      <c r="PPY1" s="179"/>
      <c r="PPZ1" s="179"/>
      <c r="PQA1" s="179"/>
      <c r="PQB1" s="179"/>
      <c r="PQC1" s="179"/>
      <c r="PQD1" s="179"/>
      <c r="PQE1" s="179"/>
      <c r="PQF1" s="179"/>
      <c r="PQG1" s="179"/>
      <c r="PQH1" s="179"/>
      <c r="PQI1" s="179"/>
      <c r="PQJ1" s="179"/>
      <c r="PQK1" s="179"/>
      <c r="PQL1" s="179"/>
      <c r="PQM1" s="179"/>
      <c r="PQN1" s="179"/>
      <c r="PQO1" s="179"/>
      <c r="PQP1" s="179"/>
      <c r="PQQ1" s="179"/>
      <c r="PQR1" s="179"/>
      <c r="PQS1" s="179"/>
      <c r="PQT1" s="179"/>
      <c r="PQU1" s="179"/>
      <c r="PQV1" s="179"/>
      <c r="PQW1" s="179"/>
      <c r="PQX1" s="179"/>
      <c r="PQY1" s="179"/>
      <c r="PQZ1" s="179"/>
      <c r="PRA1" s="179"/>
      <c r="PRB1" s="179"/>
      <c r="PRC1" s="179"/>
      <c r="PRD1" s="179"/>
      <c r="PRE1" s="179"/>
      <c r="PRF1" s="179"/>
      <c r="PRG1" s="179"/>
      <c r="PRH1" s="179"/>
      <c r="PRI1" s="179"/>
      <c r="PRJ1" s="179"/>
      <c r="PRK1" s="179"/>
      <c r="PRL1" s="179"/>
      <c r="PRM1" s="179"/>
      <c r="PRN1" s="179"/>
      <c r="PRO1" s="179"/>
      <c r="PRP1" s="179"/>
      <c r="PRQ1" s="179"/>
      <c r="PRR1" s="179"/>
      <c r="PRS1" s="179"/>
      <c r="PRT1" s="179"/>
      <c r="PRU1" s="179"/>
      <c r="PRV1" s="179"/>
      <c r="PRW1" s="179"/>
      <c r="PRX1" s="179"/>
      <c r="PRY1" s="179"/>
      <c r="PRZ1" s="179"/>
      <c r="PSA1" s="179"/>
      <c r="PSB1" s="179"/>
      <c r="PSC1" s="179"/>
      <c r="PSD1" s="179"/>
      <c r="PSE1" s="179"/>
      <c r="PSF1" s="179"/>
      <c r="PSG1" s="179"/>
      <c r="PSH1" s="179"/>
      <c r="PSI1" s="179"/>
      <c r="PSJ1" s="179"/>
      <c r="PSK1" s="179"/>
      <c r="PSL1" s="179"/>
      <c r="PSM1" s="179"/>
      <c r="PSN1" s="179"/>
      <c r="PSO1" s="179"/>
      <c r="PSP1" s="179"/>
      <c r="PSQ1" s="179"/>
      <c r="PSR1" s="179"/>
      <c r="PSS1" s="179"/>
      <c r="PST1" s="179"/>
      <c r="PSU1" s="179"/>
      <c r="PSV1" s="179"/>
      <c r="PSW1" s="179"/>
      <c r="PSX1" s="179"/>
      <c r="PSY1" s="179"/>
      <c r="PSZ1" s="179"/>
      <c r="PTA1" s="179"/>
      <c r="PTB1" s="179"/>
      <c r="PTC1" s="179"/>
      <c r="PTD1" s="179"/>
      <c r="PTE1" s="179"/>
      <c r="PTF1" s="179"/>
      <c r="PTG1" s="179"/>
      <c r="PTH1" s="179"/>
      <c r="PTI1" s="179"/>
      <c r="PTJ1" s="179"/>
      <c r="PTK1" s="179"/>
      <c r="PTL1" s="179"/>
      <c r="PTM1" s="179"/>
      <c r="PTN1" s="179"/>
      <c r="PTO1" s="179"/>
      <c r="PTP1" s="179"/>
      <c r="PTQ1" s="179"/>
      <c r="PTR1" s="179"/>
      <c r="PTS1" s="179"/>
      <c r="PTT1" s="179"/>
      <c r="PTU1" s="179"/>
      <c r="PTV1" s="179"/>
      <c r="PTW1" s="179"/>
      <c r="PTX1" s="179"/>
      <c r="PTY1" s="179"/>
      <c r="PTZ1" s="179"/>
      <c r="PUA1" s="179"/>
      <c r="PUB1" s="179"/>
      <c r="PUC1" s="179"/>
      <c r="PUD1" s="179"/>
      <c r="PUE1" s="179"/>
      <c r="PUF1" s="179"/>
      <c r="PUG1" s="179"/>
      <c r="PUH1" s="179"/>
      <c r="PUI1" s="179"/>
      <c r="PUJ1" s="179"/>
      <c r="PUK1" s="179"/>
      <c r="PUL1" s="179"/>
      <c r="PUM1" s="179"/>
      <c r="PUN1" s="179"/>
      <c r="PUO1" s="179"/>
      <c r="PUP1" s="179"/>
      <c r="PUQ1" s="179"/>
      <c r="PUR1" s="179"/>
      <c r="PUS1" s="179"/>
      <c r="PUT1" s="179"/>
      <c r="PUU1" s="179"/>
      <c r="PUV1" s="179"/>
      <c r="PUW1" s="179"/>
      <c r="PUX1" s="179"/>
      <c r="PUY1" s="179"/>
      <c r="PUZ1" s="179"/>
      <c r="PVA1" s="179"/>
      <c r="PVB1" s="179"/>
      <c r="PVC1" s="179"/>
      <c r="PVD1" s="179"/>
      <c r="PVE1" s="179"/>
      <c r="PVF1" s="179"/>
      <c r="PVG1" s="179"/>
      <c r="PVH1" s="179"/>
      <c r="PVI1" s="179"/>
      <c r="PVJ1" s="179"/>
      <c r="PVK1" s="179"/>
      <c r="PVL1" s="179"/>
      <c r="PVM1" s="179"/>
      <c r="PVN1" s="179"/>
      <c r="PVO1" s="179"/>
      <c r="PVP1" s="179"/>
      <c r="PVQ1" s="179"/>
      <c r="PVR1" s="179"/>
      <c r="PVS1" s="179"/>
      <c r="PVT1" s="179"/>
      <c r="PVU1" s="179"/>
      <c r="PVV1" s="179"/>
      <c r="PVW1" s="179"/>
      <c r="PVX1" s="179"/>
      <c r="PVY1" s="179"/>
      <c r="PVZ1" s="179"/>
      <c r="PWA1" s="179"/>
      <c r="PWB1" s="179"/>
      <c r="PWC1" s="179"/>
      <c r="PWD1" s="179"/>
      <c r="PWE1" s="179"/>
      <c r="PWF1" s="179"/>
      <c r="PWG1" s="179"/>
      <c r="PWH1" s="179"/>
      <c r="PWI1" s="179"/>
      <c r="PWJ1" s="179"/>
      <c r="PWK1" s="179"/>
      <c r="PWL1" s="179"/>
      <c r="PWM1" s="179"/>
      <c r="PWN1" s="179"/>
      <c r="PWO1" s="179"/>
      <c r="PWP1" s="179"/>
      <c r="PWQ1" s="179"/>
      <c r="PWR1" s="179"/>
      <c r="PWS1" s="179"/>
      <c r="PWT1" s="179"/>
      <c r="PWU1" s="179"/>
      <c r="PWV1" s="179"/>
      <c r="PWW1" s="179"/>
      <c r="PWX1" s="179"/>
      <c r="PWY1" s="179"/>
      <c r="PWZ1" s="179"/>
      <c r="PXA1" s="179"/>
      <c r="PXB1" s="179"/>
      <c r="PXC1" s="179"/>
      <c r="PXD1" s="179"/>
      <c r="PXE1" s="179"/>
      <c r="PXF1" s="179"/>
      <c r="PXG1" s="179"/>
      <c r="PXH1" s="179"/>
      <c r="PXI1" s="179"/>
      <c r="PXJ1" s="179"/>
      <c r="PXK1" s="179"/>
      <c r="PXL1" s="179"/>
      <c r="PXM1" s="179"/>
      <c r="PXN1" s="179"/>
      <c r="PXO1" s="179"/>
      <c r="PXP1" s="179"/>
      <c r="PXQ1" s="179"/>
      <c r="PXR1" s="179"/>
      <c r="PXS1" s="179"/>
      <c r="PXT1" s="179"/>
      <c r="PXU1" s="179"/>
      <c r="PXV1" s="179"/>
      <c r="PXW1" s="179"/>
      <c r="PXX1" s="179"/>
      <c r="PXY1" s="179"/>
      <c r="PXZ1" s="179"/>
      <c r="PYA1" s="179"/>
      <c r="PYB1" s="179"/>
      <c r="PYC1" s="179"/>
      <c r="PYD1" s="179"/>
      <c r="PYE1" s="179"/>
      <c r="PYF1" s="179"/>
      <c r="PYG1" s="179"/>
      <c r="PYH1" s="179"/>
      <c r="PYI1" s="179"/>
      <c r="PYJ1" s="179"/>
      <c r="PYK1" s="179"/>
      <c r="PYL1" s="179"/>
      <c r="PYM1" s="179"/>
      <c r="PYN1" s="179"/>
      <c r="PYO1" s="179"/>
      <c r="PYP1" s="179"/>
      <c r="PYQ1" s="179"/>
      <c r="PYR1" s="179"/>
      <c r="PYS1" s="179"/>
      <c r="PYT1" s="179"/>
      <c r="PYU1" s="179"/>
      <c r="PYV1" s="179"/>
      <c r="PYW1" s="179"/>
      <c r="PYX1" s="179"/>
      <c r="PYY1" s="179"/>
      <c r="PYZ1" s="179"/>
      <c r="PZA1" s="179"/>
      <c r="PZB1" s="179"/>
      <c r="PZC1" s="179"/>
      <c r="PZD1" s="179"/>
      <c r="PZE1" s="179"/>
      <c r="PZF1" s="179"/>
      <c r="PZG1" s="179"/>
      <c r="PZH1" s="179"/>
      <c r="PZI1" s="179"/>
      <c r="PZJ1" s="179"/>
      <c r="PZK1" s="179"/>
      <c r="PZL1" s="179"/>
      <c r="PZM1" s="179"/>
      <c r="PZN1" s="179"/>
      <c r="PZO1" s="179"/>
      <c r="PZP1" s="179"/>
      <c r="PZQ1" s="179"/>
      <c r="PZR1" s="179"/>
      <c r="PZS1" s="179"/>
      <c r="PZT1" s="179"/>
      <c r="PZU1" s="179"/>
      <c r="PZV1" s="179"/>
      <c r="PZW1" s="179"/>
      <c r="PZX1" s="179"/>
      <c r="PZY1" s="179"/>
      <c r="PZZ1" s="179"/>
      <c r="QAA1" s="179"/>
      <c r="QAB1" s="179"/>
      <c r="QAC1" s="179"/>
      <c r="QAD1" s="179"/>
      <c r="QAE1" s="179"/>
      <c r="QAF1" s="179"/>
      <c r="QAG1" s="179"/>
      <c r="QAH1" s="179"/>
      <c r="QAI1" s="179"/>
      <c r="QAJ1" s="179"/>
      <c r="QAK1" s="179"/>
      <c r="QAL1" s="179"/>
      <c r="QAM1" s="179"/>
      <c r="QAN1" s="179"/>
      <c r="QAO1" s="179"/>
      <c r="QAP1" s="179"/>
      <c r="QAQ1" s="179"/>
      <c r="QAR1" s="179"/>
      <c r="QAS1" s="179"/>
      <c r="QAT1" s="179"/>
      <c r="QAU1" s="179"/>
      <c r="QAV1" s="179"/>
      <c r="QAW1" s="179"/>
      <c r="QAX1" s="179"/>
      <c r="QAY1" s="179"/>
      <c r="QAZ1" s="179"/>
      <c r="QBA1" s="179"/>
      <c r="QBB1" s="179"/>
      <c r="QBC1" s="179"/>
      <c r="QBD1" s="179"/>
      <c r="QBE1" s="179"/>
      <c r="QBF1" s="179"/>
      <c r="QBG1" s="179"/>
      <c r="QBH1" s="179"/>
      <c r="QBI1" s="179"/>
      <c r="QBJ1" s="179"/>
      <c r="QBK1" s="179"/>
      <c r="QBL1" s="179"/>
      <c r="QBM1" s="179"/>
      <c r="QBN1" s="179"/>
      <c r="QBO1" s="179"/>
      <c r="QBP1" s="179"/>
      <c r="QBQ1" s="179"/>
      <c r="QBR1" s="179"/>
      <c r="QBS1" s="179"/>
      <c r="QBT1" s="179"/>
      <c r="QBU1" s="179"/>
      <c r="QBV1" s="179"/>
      <c r="QBW1" s="179"/>
      <c r="QBX1" s="179"/>
      <c r="QBY1" s="179"/>
      <c r="QBZ1" s="179"/>
      <c r="QCA1" s="179"/>
      <c r="QCB1" s="179"/>
      <c r="QCC1" s="179"/>
      <c r="QCD1" s="179"/>
      <c r="QCE1" s="179"/>
      <c r="QCF1" s="179"/>
      <c r="QCG1" s="179"/>
      <c r="QCH1" s="179"/>
      <c r="QCI1" s="179"/>
      <c r="QCJ1" s="179"/>
      <c r="QCK1" s="179"/>
      <c r="QCL1" s="179"/>
      <c r="QCM1" s="179"/>
      <c r="QCN1" s="179"/>
      <c r="QCO1" s="179"/>
      <c r="QCP1" s="179"/>
      <c r="QCQ1" s="179"/>
      <c r="QCR1" s="179"/>
      <c r="QCS1" s="179"/>
      <c r="QCT1" s="179"/>
      <c r="QCU1" s="179"/>
      <c r="QCV1" s="179"/>
      <c r="QCW1" s="179"/>
      <c r="QCX1" s="179"/>
      <c r="QCY1" s="179"/>
      <c r="QCZ1" s="179"/>
      <c r="QDA1" s="179"/>
      <c r="QDB1" s="179"/>
      <c r="QDC1" s="179"/>
      <c r="QDD1" s="179"/>
      <c r="QDE1" s="179"/>
      <c r="QDF1" s="179"/>
      <c r="QDG1" s="179"/>
      <c r="QDH1" s="179"/>
      <c r="QDI1" s="179"/>
      <c r="QDJ1" s="179"/>
      <c r="QDK1" s="179"/>
      <c r="QDL1" s="179"/>
      <c r="QDM1" s="179"/>
      <c r="QDN1" s="179"/>
      <c r="QDO1" s="179"/>
      <c r="QDP1" s="179"/>
      <c r="QDQ1" s="179"/>
      <c r="QDR1" s="179"/>
      <c r="QDS1" s="179"/>
      <c r="QDT1" s="179"/>
      <c r="QDU1" s="179"/>
      <c r="QDV1" s="179"/>
      <c r="QDW1" s="179"/>
      <c r="QDX1" s="179"/>
      <c r="QDY1" s="179"/>
      <c r="QDZ1" s="179"/>
      <c r="QEA1" s="179"/>
      <c r="QEB1" s="179"/>
      <c r="QEC1" s="179"/>
      <c r="QED1" s="179"/>
      <c r="QEE1" s="179"/>
      <c r="QEF1" s="179"/>
      <c r="QEG1" s="179"/>
      <c r="QEH1" s="179"/>
      <c r="QEI1" s="179"/>
      <c r="QEJ1" s="179"/>
      <c r="QEK1" s="179"/>
      <c r="QEL1" s="179"/>
      <c r="QEM1" s="179"/>
      <c r="QEN1" s="179"/>
      <c r="QEO1" s="179"/>
      <c r="QEP1" s="179"/>
      <c r="QEQ1" s="179"/>
      <c r="QER1" s="179"/>
      <c r="QES1" s="179"/>
      <c r="QET1" s="179"/>
      <c r="QEU1" s="179"/>
      <c r="QEV1" s="179"/>
      <c r="QEW1" s="179"/>
      <c r="QEX1" s="179"/>
      <c r="QEY1" s="179"/>
      <c r="QEZ1" s="179"/>
      <c r="QFA1" s="179"/>
      <c r="QFB1" s="179"/>
      <c r="QFC1" s="179"/>
      <c r="QFD1" s="179"/>
      <c r="QFE1" s="179"/>
      <c r="QFF1" s="179"/>
      <c r="QFG1" s="179"/>
      <c r="QFH1" s="179"/>
      <c r="QFI1" s="179"/>
      <c r="QFJ1" s="179"/>
      <c r="QFK1" s="179"/>
      <c r="QFL1" s="179"/>
      <c r="QFM1" s="179"/>
      <c r="QFN1" s="179"/>
      <c r="QFO1" s="179"/>
      <c r="QFP1" s="179"/>
      <c r="QFQ1" s="179"/>
      <c r="QFR1" s="179"/>
      <c r="QFS1" s="179"/>
      <c r="QFT1" s="179"/>
      <c r="QFU1" s="179"/>
      <c r="QFV1" s="179"/>
      <c r="QFW1" s="179"/>
      <c r="QFX1" s="179"/>
      <c r="QFY1" s="179"/>
      <c r="QFZ1" s="179"/>
      <c r="QGA1" s="179"/>
      <c r="QGB1" s="179"/>
      <c r="QGC1" s="179"/>
      <c r="QGD1" s="179"/>
      <c r="QGE1" s="179"/>
      <c r="QGF1" s="179"/>
      <c r="QGG1" s="179"/>
      <c r="QGH1" s="179"/>
      <c r="QGI1" s="179"/>
      <c r="QGJ1" s="179"/>
      <c r="QGK1" s="179"/>
      <c r="QGL1" s="179"/>
      <c r="QGM1" s="179"/>
      <c r="QGN1" s="179"/>
      <c r="QGO1" s="179"/>
      <c r="QGP1" s="179"/>
      <c r="QGQ1" s="179"/>
      <c r="QGR1" s="179"/>
      <c r="QGS1" s="179"/>
      <c r="QGT1" s="179"/>
      <c r="QGU1" s="179"/>
      <c r="QGV1" s="179"/>
      <c r="QGW1" s="179"/>
      <c r="QGX1" s="179"/>
      <c r="QGY1" s="179"/>
      <c r="QGZ1" s="179"/>
      <c r="QHA1" s="179"/>
      <c r="QHB1" s="179"/>
      <c r="QHC1" s="179"/>
      <c r="QHD1" s="179"/>
      <c r="QHE1" s="179"/>
      <c r="QHF1" s="179"/>
      <c r="QHG1" s="179"/>
      <c r="QHH1" s="179"/>
      <c r="QHI1" s="179"/>
      <c r="QHJ1" s="179"/>
      <c r="QHK1" s="179"/>
      <c r="QHL1" s="179"/>
      <c r="QHM1" s="179"/>
      <c r="QHN1" s="179"/>
      <c r="QHO1" s="179"/>
      <c r="QHP1" s="179"/>
      <c r="QHQ1" s="179"/>
      <c r="QHR1" s="179"/>
      <c r="QHS1" s="179"/>
      <c r="QHT1" s="179"/>
      <c r="QHU1" s="179"/>
      <c r="QHV1" s="179"/>
      <c r="QHW1" s="179"/>
      <c r="QHX1" s="179"/>
      <c r="QHY1" s="179"/>
      <c r="QHZ1" s="179"/>
      <c r="QIA1" s="179"/>
      <c r="QIB1" s="179"/>
      <c r="QIC1" s="179"/>
      <c r="QID1" s="179"/>
      <c r="QIE1" s="179"/>
      <c r="QIF1" s="179"/>
      <c r="QIG1" s="179"/>
      <c r="QIH1" s="179"/>
      <c r="QII1" s="179"/>
      <c r="QIJ1" s="179"/>
      <c r="QIK1" s="179"/>
      <c r="QIL1" s="179"/>
      <c r="QIM1" s="179"/>
      <c r="QIN1" s="179"/>
      <c r="QIO1" s="179"/>
      <c r="QIP1" s="179"/>
      <c r="QIQ1" s="179"/>
      <c r="QIR1" s="179"/>
      <c r="QIS1" s="179"/>
      <c r="QIT1" s="179"/>
      <c r="QIU1" s="179"/>
      <c r="QIV1" s="179"/>
      <c r="QIW1" s="179"/>
      <c r="QIX1" s="179"/>
      <c r="QIY1" s="179"/>
      <c r="QIZ1" s="179"/>
      <c r="QJA1" s="179"/>
      <c r="QJB1" s="179"/>
      <c r="QJC1" s="179"/>
      <c r="QJD1" s="179"/>
      <c r="QJE1" s="179"/>
      <c r="QJF1" s="179"/>
      <c r="QJG1" s="179"/>
      <c r="QJH1" s="179"/>
      <c r="QJI1" s="179"/>
      <c r="QJJ1" s="179"/>
      <c r="QJK1" s="179"/>
      <c r="QJL1" s="179"/>
      <c r="QJM1" s="179"/>
      <c r="QJN1" s="179"/>
      <c r="QJO1" s="179"/>
      <c r="QJP1" s="179"/>
      <c r="QJQ1" s="179"/>
      <c r="QJR1" s="179"/>
      <c r="QJS1" s="179"/>
      <c r="QJT1" s="179"/>
      <c r="QJU1" s="179"/>
      <c r="QJV1" s="179"/>
      <c r="QJW1" s="179"/>
      <c r="QJX1" s="179"/>
      <c r="QJY1" s="179"/>
      <c r="QJZ1" s="179"/>
      <c r="QKA1" s="179"/>
      <c r="QKB1" s="179"/>
      <c r="QKC1" s="179"/>
      <c r="QKD1" s="179"/>
      <c r="QKE1" s="179"/>
      <c r="QKF1" s="179"/>
      <c r="QKG1" s="179"/>
      <c r="QKH1" s="179"/>
      <c r="QKI1" s="179"/>
      <c r="QKJ1" s="179"/>
      <c r="QKK1" s="179"/>
      <c r="QKL1" s="179"/>
      <c r="QKM1" s="179"/>
      <c r="QKN1" s="179"/>
      <c r="QKO1" s="179"/>
      <c r="QKP1" s="179"/>
      <c r="QKQ1" s="179"/>
      <c r="QKR1" s="179"/>
      <c r="QKS1" s="179"/>
      <c r="QKT1" s="179"/>
      <c r="QKU1" s="179"/>
      <c r="QKV1" s="179"/>
      <c r="QKW1" s="179"/>
      <c r="QKX1" s="179"/>
      <c r="QKY1" s="179"/>
      <c r="QKZ1" s="179"/>
      <c r="QLA1" s="179"/>
      <c r="QLB1" s="179"/>
      <c r="QLC1" s="179"/>
      <c r="QLD1" s="179"/>
      <c r="QLE1" s="179"/>
      <c r="QLF1" s="179"/>
      <c r="QLG1" s="179"/>
      <c r="QLH1" s="179"/>
      <c r="QLI1" s="179"/>
      <c r="QLJ1" s="179"/>
      <c r="QLK1" s="179"/>
      <c r="QLL1" s="179"/>
      <c r="QLM1" s="179"/>
      <c r="QLN1" s="179"/>
      <c r="QLO1" s="179"/>
      <c r="QLP1" s="179"/>
      <c r="QLQ1" s="179"/>
      <c r="QLR1" s="179"/>
      <c r="QLS1" s="179"/>
      <c r="QLT1" s="179"/>
      <c r="QLU1" s="179"/>
      <c r="QLV1" s="179"/>
      <c r="QLW1" s="179"/>
      <c r="QLX1" s="179"/>
      <c r="QLY1" s="179"/>
      <c r="QLZ1" s="179"/>
      <c r="QMA1" s="179"/>
      <c r="QMB1" s="179"/>
      <c r="QMC1" s="179"/>
      <c r="QMD1" s="179"/>
      <c r="QME1" s="179"/>
      <c r="QMF1" s="179"/>
      <c r="QMG1" s="179"/>
      <c r="QMH1" s="179"/>
      <c r="QMI1" s="179"/>
      <c r="QMJ1" s="179"/>
      <c r="QMK1" s="179"/>
      <c r="QML1" s="179"/>
      <c r="QMM1" s="179"/>
      <c r="QMN1" s="179"/>
      <c r="QMO1" s="179"/>
      <c r="QMP1" s="179"/>
      <c r="QMQ1" s="179"/>
      <c r="QMR1" s="179"/>
      <c r="QMS1" s="179"/>
      <c r="QMT1" s="179"/>
      <c r="QMU1" s="179"/>
      <c r="QMV1" s="179"/>
      <c r="QMW1" s="179"/>
      <c r="QMX1" s="179"/>
      <c r="QMY1" s="179"/>
      <c r="QMZ1" s="179"/>
      <c r="QNA1" s="179"/>
      <c r="QNB1" s="179"/>
      <c r="QNC1" s="179"/>
      <c r="QND1" s="179"/>
      <c r="QNE1" s="179"/>
      <c r="QNF1" s="179"/>
      <c r="QNG1" s="179"/>
      <c r="QNH1" s="179"/>
      <c r="QNI1" s="179"/>
      <c r="QNJ1" s="179"/>
      <c r="QNK1" s="179"/>
      <c r="QNL1" s="179"/>
      <c r="QNM1" s="179"/>
      <c r="QNN1" s="179"/>
      <c r="QNO1" s="179"/>
      <c r="QNP1" s="179"/>
      <c r="QNQ1" s="179"/>
      <c r="QNR1" s="179"/>
      <c r="QNS1" s="179"/>
      <c r="QNT1" s="179"/>
      <c r="QNU1" s="179"/>
      <c r="QNV1" s="179"/>
      <c r="QNW1" s="179"/>
      <c r="QNX1" s="179"/>
      <c r="QNY1" s="179"/>
      <c r="QNZ1" s="179"/>
      <c r="QOA1" s="179"/>
      <c r="QOB1" s="179"/>
      <c r="QOC1" s="179"/>
      <c r="QOD1" s="179"/>
      <c r="QOE1" s="179"/>
      <c r="QOF1" s="179"/>
      <c r="QOG1" s="179"/>
      <c r="QOH1" s="179"/>
      <c r="QOI1" s="179"/>
      <c r="QOJ1" s="179"/>
      <c r="QOK1" s="179"/>
      <c r="QOL1" s="179"/>
      <c r="QOM1" s="179"/>
      <c r="QON1" s="179"/>
      <c r="QOO1" s="179"/>
      <c r="QOP1" s="179"/>
      <c r="QOQ1" s="179"/>
      <c r="QOR1" s="179"/>
      <c r="QOS1" s="179"/>
      <c r="QOT1" s="179"/>
      <c r="QOU1" s="179"/>
      <c r="QOV1" s="179"/>
      <c r="QOW1" s="179"/>
      <c r="QOX1" s="179"/>
      <c r="QOY1" s="179"/>
      <c r="QOZ1" s="179"/>
      <c r="QPA1" s="179"/>
      <c r="QPB1" s="179"/>
      <c r="QPC1" s="179"/>
      <c r="QPD1" s="179"/>
      <c r="QPE1" s="179"/>
      <c r="QPF1" s="179"/>
      <c r="QPG1" s="179"/>
      <c r="QPH1" s="179"/>
      <c r="QPI1" s="179"/>
      <c r="QPJ1" s="179"/>
      <c r="QPK1" s="179"/>
      <c r="QPL1" s="179"/>
      <c r="QPM1" s="179"/>
      <c r="QPN1" s="179"/>
      <c r="QPO1" s="179"/>
      <c r="QPP1" s="179"/>
      <c r="QPQ1" s="179"/>
      <c r="QPR1" s="179"/>
      <c r="QPS1" s="179"/>
      <c r="QPT1" s="179"/>
      <c r="QPU1" s="179"/>
      <c r="QPV1" s="179"/>
      <c r="QPW1" s="179"/>
      <c r="QPX1" s="179"/>
      <c r="QPY1" s="179"/>
      <c r="QPZ1" s="179"/>
      <c r="QQA1" s="179"/>
      <c r="QQB1" s="179"/>
      <c r="QQC1" s="179"/>
      <c r="QQD1" s="179"/>
      <c r="QQE1" s="179"/>
      <c r="QQF1" s="179"/>
      <c r="QQG1" s="179"/>
      <c r="QQH1" s="179"/>
      <c r="QQI1" s="179"/>
      <c r="QQJ1" s="179"/>
      <c r="QQK1" s="179"/>
      <c r="QQL1" s="179"/>
      <c r="QQM1" s="179"/>
      <c r="QQN1" s="179"/>
      <c r="QQO1" s="179"/>
      <c r="QQP1" s="179"/>
      <c r="QQQ1" s="179"/>
      <c r="QQR1" s="179"/>
      <c r="QQS1" s="179"/>
      <c r="QQT1" s="179"/>
      <c r="QQU1" s="179"/>
      <c r="QQV1" s="179"/>
      <c r="QQW1" s="179"/>
      <c r="QQX1" s="179"/>
      <c r="QQY1" s="179"/>
      <c r="QQZ1" s="179"/>
      <c r="QRA1" s="179"/>
      <c r="QRB1" s="179"/>
      <c r="QRC1" s="179"/>
      <c r="QRD1" s="179"/>
      <c r="QRE1" s="179"/>
      <c r="QRF1" s="179"/>
      <c r="QRG1" s="179"/>
      <c r="QRH1" s="179"/>
      <c r="QRI1" s="179"/>
      <c r="QRJ1" s="179"/>
      <c r="QRK1" s="179"/>
      <c r="QRL1" s="179"/>
      <c r="QRM1" s="179"/>
      <c r="QRN1" s="179"/>
      <c r="QRO1" s="179"/>
      <c r="QRP1" s="179"/>
      <c r="QRQ1" s="179"/>
      <c r="QRR1" s="179"/>
      <c r="QRS1" s="179"/>
      <c r="QRT1" s="179"/>
      <c r="QRU1" s="179"/>
      <c r="QRV1" s="179"/>
      <c r="QRW1" s="179"/>
      <c r="QRX1" s="179"/>
      <c r="QRY1" s="179"/>
      <c r="QRZ1" s="179"/>
      <c r="QSA1" s="179"/>
      <c r="QSB1" s="179"/>
      <c r="QSC1" s="179"/>
      <c r="QSD1" s="179"/>
      <c r="QSE1" s="179"/>
      <c r="QSF1" s="179"/>
      <c r="QSG1" s="179"/>
      <c r="QSH1" s="179"/>
      <c r="QSI1" s="179"/>
      <c r="QSJ1" s="179"/>
      <c r="QSK1" s="179"/>
      <c r="QSL1" s="179"/>
      <c r="QSM1" s="179"/>
      <c r="QSN1" s="179"/>
      <c r="QSO1" s="179"/>
      <c r="QSP1" s="179"/>
      <c r="QSQ1" s="179"/>
      <c r="QSR1" s="179"/>
      <c r="QSS1" s="179"/>
      <c r="QST1" s="179"/>
      <c r="QSU1" s="179"/>
      <c r="QSV1" s="179"/>
      <c r="QSW1" s="179"/>
      <c r="QSX1" s="179"/>
      <c r="QSY1" s="179"/>
      <c r="QSZ1" s="179"/>
      <c r="QTA1" s="179"/>
      <c r="QTB1" s="179"/>
      <c r="QTC1" s="179"/>
      <c r="QTD1" s="179"/>
      <c r="QTE1" s="179"/>
      <c r="QTF1" s="179"/>
      <c r="QTG1" s="179"/>
      <c r="QTH1" s="179"/>
      <c r="QTI1" s="179"/>
      <c r="QTJ1" s="179"/>
      <c r="QTK1" s="179"/>
      <c r="QTL1" s="179"/>
      <c r="QTM1" s="179"/>
      <c r="QTN1" s="179"/>
      <c r="QTO1" s="179"/>
      <c r="QTP1" s="179"/>
      <c r="QTQ1" s="179"/>
      <c r="QTR1" s="179"/>
      <c r="QTS1" s="179"/>
      <c r="QTT1" s="179"/>
      <c r="QTU1" s="179"/>
      <c r="QTV1" s="179"/>
      <c r="QTW1" s="179"/>
      <c r="QTX1" s="179"/>
      <c r="QTY1" s="179"/>
      <c r="QTZ1" s="179"/>
      <c r="QUA1" s="179"/>
      <c r="QUB1" s="179"/>
      <c r="QUC1" s="179"/>
      <c r="QUD1" s="179"/>
      <c r="QUE1" s="179"/>
      <c r="QUF1" s="179"/>
      <c r="QUG1" s="179"/>
      <c r="QUH1" s="179"/>
      <c r="QUI1" s="179"/>
      <c r="QUJ1" s="179"/>
      <c r="QUK1" s="179"/>
      <c r="QUL1" s="179"/>
      <c r="QUM1" s="179"/>
      <c r="QUN1" s="179"/>
      <c r="QUO1" s="179"/>
      <c r="QUP1" s="179"/>
      <c r="QUQ1" s="179"/>
      <c r="QUR1" s="179"/>
      <c r="QUS1" s="179"/>
      <c r="QUT1" s="179"/>
      <c r="QUU1" s="179"/>
      <c r="QUV1" s="179"/>
      <c r="QUW1" s="179"/>
      <c r="QUX1" s="179"/>
      <c r="QUY1" s="179"/>
      <c r="QUZ1" s="179"/>
      <c r="QVA1" s="179"/>
      <c r="QVB1" s="179"/>
      <c r="QVC1" s="179"/>
      <c r="QVD1" s="179"/>
      <c r="QVE1" s="179"/>
      <c r="QVF1" s="179"/>
      <c r="QVG1" s="179"/>
      <c r="QVH1" s="179"/>
      <c r="QVI1" s="179"/>
      <c r="QVJ1" s="179"/>
      <c r="QVK1" s="179"/>
      <c r="QVL1" s="179"/>
      <c r="QVM1" s="179"/>
      <c r="QVN1" s="179"/>
      <c r="QVO1" s="179"/>
      <c r="QVP1" s="179"/>
      <c r="QVQ1" s="179"/>
      <c r="QVR1" s="179"/>
      <c r="QVS1" s="179"/>
      <c r="QVT1" s="179"/>
      <c r="QVU1" s="179"/>
      <c r="QVV1" s="179"/>
      <c r="QVW1" s="179"/>
      <c r="QVX1" s="179"/>
      <c r="QVY1" s="179"/>
      <c r="QVZ1" s="179"/>
      <c r="QWA1" s="179"/>
      <c r="QWB1" s="179"/>
      <c r="QWC1" s="179"/>
      <c r="QWD1" s="179"/>
      <c r="QWE1" s="179"/>
      <c r="QWF1" s="179"/>
      <c r="QWG1" s="179"/>
      <c r="QWH1" s="179"/>
      <c r="QWI1" s="179"/>
      <c r="QWJ1" s="179"/>
      <c r="QWK1" s="179"/>
      <c r="QWL1" s="179"/>
      <c r="QWM1" s="179"/>
      <c r="QWN1" s="179"/>
      <c r="QWO1" s="179"/>
      <c r="QWP1" s="179"/>
      <c r="QWQ1" s="179"/>
      <c r="QWR1" s="179"/>
      <c r="QWS1" s="179"/>
      <c r="QWT1" s="179"/>
      <c r="QWU1" s="179"/>
      <c r="QWV1" s="179"/>
      <c r="QWW1" s="179"/>
      <c r="QWX1" s="179"/>
      <c r="QWY1" s="179"/>
      <c r="QWZ1" s="179"/>
      <c r="QXA1" s="179"/>
      <c r="QXB1" s="179"/>
      <c r="QXC1" s="179"/>
      <c r="QXD1" s="179"/>
      <c r="QXE1" s="179"/>
      <c r="QXF1" s="179"/>
      <c r="QXG1" s="179"/>
      <c r="QXH1" s="179"/>
      <c r="QXI1" s="179"/>
      <c r="QXJ1" s="179"/>
      <c r="QXK1" s="179"/>
      <c r="QXL1" s="179"/>
      <c r="QXM1" s="179"/>
      <c r="QXN1" s="179"/>
      <c r="QXO1" s="179"/>
      <c r="QXP1" s="179"/>
      <c r="QXQ1" s="179"/>
      <c r="QXR1" s="179"/>
      <c r="QXS1" s="179"/>
      <c r="QXT1" s="179"/>
      <c r="QXU1" s="179"/>
      <c r="QXV1" s="179"/>
      <c r="QXW1" s="179"/>
      <c r="QXX1" s="179"/>
      <c r="QXY1" s="179"/>
      <c r="QXZ1" s="179"/>
      <c r="QYA1" s="179"/>
      <c r="QYB1" s="179"/>
      <c r="QYC1" s="179"/>
      <c r="QYD1" s="179"/>
      <c r="QYE1" s="179"/>
      <c r="QYF1" s="179"/>
      <c r="QYG1" s="179"/>
      <c r="QYH1" s="179"/>
      <c r="QYI1" s="179"/>
      <c r="QYJ1" s="179"/>
      <c r="QYK1" s="179"/>
      <c r="QYL1" s="179"/>
      <c r="QYM1" s="179"/>
      <c r="QYN1" s="179"/>
      <c r="QYO1" s="179"/>
      <c r="QYP1" s="179"/>
      <c r="QYQ1" s="179"/>
      <c r="QYR1" s="179"/>
      <c r="QYS1" s="179"/>
      <c r="QYT1" s="179"/>
      <c r="QYU1" s="179"/>
      <c r="QYV1" s="179"/>
      <c r="QYW1" s="179"/>
      <c r="QYX1" s="179"/>
      <c r="QYY1" s="179"/>
      <c r="QYZ1" s="179"/>
      <c r="QZA1" s="179"/>
      <c r="QZB1" s="179"/>
      <c r="QZC1" s="179"/>
      <c r="QZD1" s="179"/>
      <c r="QZE1" s="179"/>
      <c r="QZF1" s="179"/>
      <c r="QZG1" s="179"/>
      <c r="QZH1" s="179"/>
      <c r="QZI1" s="179"/>
      <c r="QZJ1" s="179"/>
      <c r="QZK1" s="179"/>
      <c r="QZL1" s="179"/>
      <c r="QZM1" s="179"/>
      <c r="QZN1" s="179"/>
      <c r="QZO1" s="179"/>
      <c r="QZP1" s="179"/>
      <c r="QZQ1" s="179"/>
      <c r="QZR1" s="179"/>
      <c r="QZS1" s="179"/>
      <c r="QZT1" s="179"/>
      <c r="QZU1" s="179"/>
      <c r="QZV1" s="179"/>
      <c r="QZW1" s="179"/>
      <c r="QZX1" s="179"/>
      <c r="QZY1" s="179"/>
      <c r="QZZ1" s="179"/>
      <c r="RAA1" s="179"/>
      <c r="RAB1" s="179"/>
      <c r="RAC1" s="179"/>
      <c r="RAD1" s="179"/>
      <c r="RAE1" s="179"/>
      <c r="RAF1" s="179"/>
      <c r="RAG1" s="179"/>
      <c r="RAH1" s="179"/>
      <c r="RAI1" s="179"/>
      <c r="RAJ1" s="179"/>
      <c r="RAK1" s="179"/>
      <c r="RAL1" s="179"/>
      <c r="RAM1" s="179"/>
      <c r="RAN1" s="179"/>
      <c r="RAO1" s="179"/>
      <c r="RAP1" s="179"/>
      <c r="RAQ1" s="179"/>
      <c r="RAR1" s="179"/>
      <c r="RAS1" s="179"/>
      <c r="RAT1" s="179"/>
      <c r="RAU1" s="179"/>
      <c r="RAV1" s="179"/>
      <c r="RAW1" s="179"/>
      <c r="RAX1" s="179"/>
      <c r="RAY1" s="179"/>
      <c r="RAZ1" s="179"/>
      <c r="RBA1" s="179"/>
      <c r="RBB1" s="179"/>
      <c r="RBC1" s="179"/>
      <c r="RBD1" s="179"/>
      <c r="RBE1" s="179"/>
      <c r="RBF1" s="179"/>
      <c r="RBG1" s="179"/>
      <c r="RBH1" s="179"/>
      <c r="RBI1" s="179"/>
      <c r="RBJ1" s="179"/>
      <c r="RBK1" s="179"/>
      <c r="RBL1" s="179"/>
      <c r="RBM1" s="179"/>
      <c r="RBN1" s="179"/>
      <c r="RBO1" s="179"/>
      <c r="RBP1" s="179"/>
      <c r="RBQ1" s="179"/>
      <c r="RBR1" s="179"/>
      <c r="RBS1" s="179"/>
      <c r="RBT1" s="179"/>
      <c r="RBU1" s="179"/>
      <c r="RBV1" s="179"/>
      <c r="RBW1" s="179"/>
      <c r="RBX1" s="179"/>
      <c r="RBY1" s="179"/>
      <c r="RBZ1" s="179"/>
      <c r="RCA1" s="179"/>
      <c r="RCB1" s="179"/>
      <c r="RCC1" s="179"/>
      <c r="RCD1" s="179"/>
      <c r="RCE1" s="179"/>
      <c r="RCF1" s="179"/>
      <c r="RCG1" s="179"/>
      <c r="RCH1" s="179"/>
      <c r="RCI1" s="179"/>
      <c r="RCJ1" s="179"/>
      <c r="RCK1" s="179"/>
      <c r="RCL1" s="179"/>
      <c r="RCM1" s="179"/>
      <c r="RCN1" s="179"/>
      <c r="RCO1" s="179"/>
      <c r="RCP1" s="179"/>
      <c r="RCQ1" s="179"/>
      <c r="RCR1" s="179"/>
      <c r="RCS1" s="179"/>
      <c r="RCT1" s="179"/>
      <c r="RCU1" s="179"/>
      <c r="RCV1" s="179"/>
      <c r="RCW1" s="179"/>
      <c r="RCX1" s="179"/>
      <c r="RCY1" s="179"/>
      <c r="RCZ1" s="179"/>
      <c r="RDA1" s="179"/>
      <c r="RDB1" s="179"/>
      <c r="RDC1" s="179"/>
      <c r="RDD1" s="179"/>
      <c r="RDE1" s="179"/>
      <c r="RDF1" s="179"/>
      <c r="RDG1" s="179"/>
      <c r="RDH1" s="179"/>
      <c r="RDI1" s="179"/>
      <c r="RDJ1" s="179"/>
      <c r="RDK1" s="179"/>
      <c r="RDL1" s="179"/>
      <c r="RDM1" s="179"/>
      <c r="RDN1" s="179"/>
      <c r="RDO1" s="179"/>
      <c r="RDP1" s="179"/>
      <c r="RDQ1" s="179"/>
      <c r="RDR1" s="179"/>
      <c r="RDS1" s="179"/>
      <c r="RDT1" s="179"/>
      <c r="RDU1" s="179"/>
      <c r="RDV1" s="179"/>
      <c r="RDW1" s="179"/>
      <c r="RDX1" s="179"/>
      <c r="RDY1" s="179"/>
      <c r="RDZ1" s="179"/>
      <c r="REA1" s="179"/>
      <c r="REB1" s="179"/>
      <c r="REC1" s="179"/>
      <c r="RED1" s="179"/>
      <c r="REE1" s="179"/>
      <c r="REF1" s="179"/>
      <c r="REG1" s="179"/>
      <c r="REH1" s="179"/>
      <c r="REI1" s="179"/>
      <c r="REJ1" s="179"/>
      <c r="REK1" s="179"/>
      <c r="REL1" s="179"/>
      <c r="REM1" s="179"/>
      <c r="REN1" s="179"/>
      <c r="REO1" s="179"/>
      <c r="REP1" s="179"/>
      <c r="REQ1" s="179"/>
      <c r="RER1" s="179"/>
      <c r="RES1" s="179"/>
      <c r="RET1" s="179"/>
      <c r="REU1" s="179"/>
      <c r="REV1" s="179"/>
      <c r="REW1" s="179"/>
      <c r="REX1" s="179"/>
      <c r="REY1" s="179"/>
      <c r="REZ1" s="179"/>
      <c r="RFA1" s="179"/>
      <c r="RFB1" s="179"/>
      <c r="RFC1" s="179"/>
      <c r="RFD1" s="179"/>
      <c r="RFE1" s="179"/>
      <c r="RFF1" s="179"/>
      <c r="RFG1" s="179"/>
      <c r="RFH1" s="179"/>
      <c r="RFI1" s="179"/>
      <c r="RFJ1" s="179"/>
      <c r="RFK1" s="179"/>
      <c r="RFL1" s="179"/>
      <c r="RFM1" s="179"/>
      <c r="RFN1" s="179"/>
      <c r="RFO1" s="179"/>
      <c r="RFP1" s="179"/>
      <c r="RFQ1" s="179"/>
      <c r="RFR1" s="179"/>
      <c r="RFS1" s="179"/>
      <c r="RFT1" s="179"/>
      <c r="RFU1" s="179"/>
      <c r="RFV1" s="179"/>
      <c r="RFW1" s="179"/>
      <c r="RFX1" s="179"/>
      <c r="RFY1" s="179"/>
      <c r="RFZ1" s="179"/>
      <c r="RGA1" s="179"/>
      <c r="RGB1" s="179"/>
      <c r="RGC1" s="179"/>
      <c r="RGD1" s="179"/>
      <c r="RGE1" s="179"/>
      <c r="RGF1" s="179"/>
      <c r="RGG1" s="179"/>
      <c r="RGH1" s="179"/>
      <c r="RGI1" s="179"/>
      <c r="RGJ1" s="179"/>
      <c r="RGK1" s="179"/>
      <c r="RGL1" s="179"/>
      <c r="RGM1" s="179"/>
      <c r="RGN1" s="179"/>
      <c r="RGO1" s="179"/>
      <c r="RGP1" s="179"/>
      <c r="RGQ1" s="179"/>
      <c r="RGR1" s="179"/>
      <c r="RGS1" s="179"/>
      <c r="RGT1" s="179"/>
      <c r="RGU1" s="179"/>
      <c r="RGV1" s="179"/>
      <c r="RGW1" s="179"/>
      <c r="RGX1" s="179"/>
      <c r="RGY1" s="179"/>
      <c r="RGZ1" s="179"/>
      <c r="RHA1" s="179"/>
      <c r="RHB1" s="179"/>
      <c r="RHC1" s="179"/>
      <c r="RHD1" s="179"/>
      <c r="RHE1" s="179"/>
      <c r="RHF1" s="179"/>
      <c r="RHG1" s="179"/>
      <c r="RHH1" s="179"/>
      <c r="RHI1" s="179"/>
      <c r="RHJ1" s="179"/>
      <c r="RHK1" s="179"/>
      <c r="RHL1" s="179"/>
      <c r="RHM1" s="179"/>
      <c r="RHN1" s="179"/>
      <c r="RHO1" s="179"/>
      <c r="RHP1" s="179"/>
      <c r="RHQ1" s="179"/>
      <c r="RHR1" s="179"/>
      <c r="RHS1" s="179"/>
      <c r="RHT1" s="179"/>
      <c r="RHU1" s="179"/>
      <c r="RHV1" s="179"/>
      <c r="RHW1" s="179"/>
      <c r="RHX1" s="179"/>
      <c r="RHY1" s="179"/>
      <c r="RHZ1" s="179"/>
      <c r="RIA1" s="179"/>
      <c r="RIB1" s="179"/>
      <c r="RIC1" s="179"/>
      <c r="RID1" s="179"/>
      <c r="RIE1" s="179"/>
      <c r="RIF1" s="179"/>
      <c r="RIG1" s="179"/>
      <c r="RIH1" s="179"/>
      <c r="RII1" s="179"/>
      <c r="RIJ1" s="179"/>
      <c r="RIK1" s="179"/>
      <c r="RIL1" s="179"/>
      <c r="RIM1" s="179"/>
      <c r="RIN1" s="179"/>
      <c r="RIO1" s="179"/>
      <c r="RIP1" s="179"/>
      <c r="RIQ1" s="179"/>
      <c r="RIR1" s="179"/>
      <c r="RIS1" s="179"/>
      <c r="RIT1" s="179"/>
      <c r="RIU1" s="179"/>
      <c r="RIV1" s="179"/>
      <c r="RIW1" s="179"/>
      <c r="RIX1" s="179"/>
      <c r="RIY1" s="179"/>
      <c r="RIZ1" s="179"/>
      <c r="RJA1" s="179"/>
      <c r="RJB1" s="179"/>
      <c r="RJC1" s="179"/>
      <c r="RJD1" s="179"/>
      <c r="RJE1" s="179"/>
      <c r="RJF1" s="179"/>
      <c r="RJG1" s="179"/>
      <c r="RJH1" s="179"/>
      <c r="RJI1" s="179"/>
      <c r="RJJ1" s="179"/>
      <c r="RJK1" s="179"/>
      <c r="RJL1" s="179"/>
      <c r="RJM1" s="179"/>
      <c r="RJN1" s="179"/>
      <c r="RJO1" s="179"/>
      <c r="RJP1" s="179"/>
      <c r="RJQ1" s="179"/>
      <c r="RJR1" s="179"/>
      <c r="RJS1" s="179"/>
      <c r="RJT1" s="179"/>
      <c r="RJU1" s="179"/>
      <c r="RJV1" s="179"/>
      <c r="RJW1" s="179"/>
      <c r="RJX1" s="179"/>
      <c r="RJY1" s="179"/>
      <c r="RJZ1" s="179"/>
      <c r="RKA1" s="179"/>
      <c r="RKB1" s="179"/>
      <c r="RKC1" s="179"/>
      <c r="RKD1" s="179"/>
      <c r="RKE1" s="179"/>
      <c r="RKF1" s="179"/>
      <c r="RKG1" s="179"/>
      <c r="RKH1" s="179"/>
      <c r="RKI1" s="179"/>
      <c r="RKJ1" s="179"/>
      <c r="RKK1" s="179"/>
      <c r="RKL1" s="179"/>
      <c r="RKM1" s="179"/>
      <c r="RKN1" s="179"/>
      <c r="RKO1" s="179"/>
      <c r="RKP1" s="179"/>
      <c r="RKQ1" s="179"/>
      <c r="RKR1" s="179"/>
      <c r="RKS1" s="179"/>
      <c r="RKT1" s="179"/>
      <c r="RKU1" s="179"/>
      <c r="RKV1" s="179"/>
      <c r="RKW1" s="179"/>
      <c r="RKX1" s="179"/>
      <c r="RKY1" s="179"/>
      <c r="RKZ1" s="179"/>
      <c r="RLA1" s="179"/>
      <c r="RLB1" s="179"/>
      <c r="RLC1" s="179"/>
      <c r="RLD1" s="179"/>
      <c r="RLE1" s="179"/>
      <c r="RLF1" s="179"/>
      <c r="RLG1" s="179"/>
      <c r="RLH1" s="179"/>
      <c r="RLI1" s="179"/>
      <c r="RLJ1" s="179"/>
      <c r="RLK1" s="179"/>
      <c r="RLL1" s="179"/>
      <c r="RLM1" s="179"/>
      <c r="RLN1" s="179"/>
      <c r="RLO1" s="179"/>
      <c r="RLP1" s="179"/>
      <c r="RLQ1" s="179"/>
      <c r="RLR1" s="179"/>
      <c r="RLS1" s="179"/>
      <c r="RLT1" s="179"/>
      <c r="RLU1" s="179"/>
      <c r="RLV1" s="179"/>
      <c r="RLW1" s="179"/>
      <c r="RLX1" s="179"/>
      <c r="RLY1" s="179"/>
      <c r="RLZ1" s="179"/>
      <c r="RMA1" s="179"/>
      <c r="RMB1" s="179"/>
      <c r="RMC1" s="179"/>
      <c r="RMD1" s="179"/>
      <c r="RME1" s="179"/>
      <c r="RMF1" s="179"/>
      <c r="RMG1" s="179"/>
      <c r="RMH1" s="179"/>
      <c r="RMI1" s="179"/>
      <c r="RMJ1" s="179"/>
      <c r="RMK1" s="179"/>
      <c r="RML1" s="179"/>
      <c r="RMM1" s="179"/>
      <c r="RMN1" s="179"/>
      <c r="RMO1" s="179"/>
      <c r="RMP1" s="179"/>
      <c r="RMQ1" s="179"/>
      <c r="RMR1" s="179"/>
      <c r="RMS1" s="179"/>
      <c r="RMT1" s="179"/>
      <c r="RMU1" s="179"/>
      <c r="RMV1" s="179"/>
      <c r="RMW1" s="179"/>
      <c r="RMX1" s="179"/>
      <c r="RMY1" s="179"/>
      <c r="RMZ1" s="179"/>
      <c r="RNA1" s="179"/>
      <c r="RNB1" s="179"/>
      <c r="RNC1" s="179"/>
      <c r="RND1" s="179"/>
      <c r="RNE1" s="179"/>
      <c r="RNF1" s="179"/>
      <c r="RNG1" s="179"/>
      <c r="RNH1" s="179"/>
      <c r="RNI1" s="179"/>
      <c r="RNJ1" s="179"/>
      <c r="RNK1" s="179"/>
      <c r="RNL1" s="179"/>
      <c r="RNM1" s="179"/>
      <c r="RNN1" s="179"/>
      <c r="RNO1" s="179"/>
      <c r="RNP1" s="179"/>
      <c r="RNQ1" s="179"/>
      <c r="RNR1" s="179"/>
      <c r="RNS1" s="179"/>
      <c r="RNT1" s="179"/>
      <c r="RNU1" s="179"/>
      <c r="RNV1" s="179"/>
      <c r="RNW1" s="179"/>
      <c r="RNX1" s="179"/>
      <c r="RNY1" s="179"/>
      <c r="RNZ1" s="179"/>
      <c r="ROA1" s="179"/>
      <c r="ROB1" s="179"/>
      <c r="ROC1" s="179"/>
      <c r="ROD1" s="179"/>
      <c r="ROE1" s="179"/>
      <c r="ROF1" s="179"/>
      <c r="ROG1" s="179"/>
      <c r="ROH1" s="179"/>
      <c r="ROI1" s="179"/>
      <c r="ROJ1" s="179"/>
      <c r="ROK1" s="179"/>
      <c r="ROL1" s="179"/>
      <c r="ROM1" s="179"/>
      <c r="RON1" s="179"/>
      <c r="ROO1" s="179"/>
      <c r="ROP1" s="179"/>
      <c r="ROQ1" s="179"/>
      <c r="ROR1" s="179"/>
      <c r="ROS1" s="179"/>
      <c r="ROT1" s="179"/>
      <c r="ROU1" s="179"/>
      <c r="ROV1" s="179"/>
      <c r="ROW1" s="179"/>
      <c r="ROX1" s="179"/>
      <c r="ROY1" s="179"/>
      <c r="ROZ1" s="179"/>
      <c r="RPA1" s="179"/>
      <c r="RPB1" s="179"/>
      <c r="RPC1" s="179"/>
      <c r="RPD1" s="179"/>
      <c r="RPE1" s="179"/>
      <c r="RPF1" s="179"/>
      <c r="RPG1" s="179"/>
      <c r="RPH1" s="179"/>
      <c r="RPI1" s="179"/>
      <c r="RPJ1" s="179"/>
      <c r="RPK1" s="179"/>
      <c r="RPL1" s="179"/>
      <c r="RPM1" s="179"/>
      <c r="RPN1" s="179"/>
      <c r="RPO1" s="179"/>
      <c r="RPP1" s="179"/>
      <c r="RPQ1" s="179"/>
      <c r="RPR1" s="179"/>
      <c r="RPS1" s="179"/>
      <c r="RPT1" s="179"/>
      <c r="RPU1" s="179"/>
      <c r="RPV1" s="179"/>
      <c r="RPW1" s="179"/>
      <c r="RPX1" s="179"/>
      <c r="RPY1" s="179"/>
      <c r="RPZ1" s="179"/>
      <c r="RQA1" s="179"/>
      <c r="RQB1" s="179"/>
      <c r="RQC1" s="179"/>
      <c r="RQD1" s="179"/>
      <c r="RQE1" s="179"/>
      <c r="RQF1" s="179"/>
      <c r="RQG1" s="179"/>
      <c r="RQH1" s="179"/>
      <c r="RQI1" s="179"/>
      <c r="RQJ1" s="179"/>
      <c r="RQK1" s="179"/>
      <c r="RQL1" s="179"/>
      <c r="RQM1" s="179"/>
      <c r="RQN1" s="179"/>
      <c r="RQO1" s="179"/>
      <c r="RQP1" s="179"/>
      <c r="RQQ1" s="179"/>
      <c r="RQR1" s="179"/>
      <c r="RQS1" s="179"/>
      <c r="RQT1" s="179"/>
      <c r="RQU1" s="179"/>
      <c r="RQV1" s="179"/>
      <c r="RQW1" s="179"/>
      <c r="RQX1" s="179"/>
      <c r="RQY1" s="179"/>
      <c r="RQZ1" s="179"/>
      <c r="RRA1" s="179"/>
      <c r="RRB1" s="179"/>
      <c r="RRC1" s="179"/>
      <c r="RRD1" s="179"/>
      <c r="RRE1" s="179"/>
      <c r="RRF1" s="179"/>
      <c r="RRG1" s="179"/>
      <c r="RRH1" s="179"/>
      <c r="RRI1" s="179"/>
      <c r="RRJ1" s="179"/>
      <c r="RRK1" s="179"/>
      <c r="RRL1" s="179"/>
      <c r="RRM1" s="179"/>
      <c r="RRN1" s="179"/>
      <c r="RRO1" s="179"/>
      <c r="RRP1" s="179"/>
      <c r="RRQ1" s="179"/>
      <c r="RRR1" s="179"/>
      <c r="RRS1" s="179"/>
      <c r="RRT1" s="179"/>
      <c r="RRU1" s="179"/>
      <c r="RRV1" s="179"/>
      <c r="RRW1" s="179"/>
      <c r="RRX1" s="179"/>
      <c r="RRY1" s="179"/>
      <c r="RRZ1" s="179"/>
      <c r="RSA1" s="179"/>
      <c r="RSB1" s="179"/>
      <c r="RSC1" s="179"/>
      <c r="RSD1" s="179"/>
      <c r="RSE1" s="179"/>
      <c r="RSF1" s="179"/>
      <c r="RSG1" s="179"/>
      <c r="RSH1" s="179"/>
      <c r="RSI1" s="179"/>
      <c r="RSJ1" s="179"/>
      <c r="RSK1" s="179"/>
      <c r="RSL1" s="179"/>
      <c r="RSM1" s="179"/>
      <c r="RSN1" s="179"/>
      <c r="RSO1" s="179"/>
      <c r="RSP1" s="179"/>
      <c r="RSQ1" s="179"/>
      <c r="RSR1" s="179"/>
      <c r="RSS1" s="179"/>
      <c r="RST1" s="179"/>
      <c r="RSU1" s="179"/>
      <c r="RSV1" s="179"/>
      <c r="RSW1" s="179"/>
      <c r="RSX1" s="179"/>
      <c r="RSY1" s="179"/>
      <c r="RSZ1" s="179"/>
      <c r="RTA1" s="179"/>
      <c r="RTB1" s="179"/>
      <c r="RTC1" s="179"/>
      <c r="RTD1" s="179"/>
      <c r="RTE1" s="179"/>
      <c r="RTF1" s="179"/>
      <c r="RTG1" s="179"/>
      <c r="RTH1" s="179"/>
      <c r="RTI1" s="179"/>
      <c r="RTJ1" s="179"/>
      <c r="RTK1" s="179"/>
      <c r="RTL1" s="179"/>
      <c r="RTM1" s="179"/>
      <c r="RTN1" s="179"/>
      <c r="RTO1" s="179"/>
      <c r="RTP1" s="179"/>
      <c r="RTQ1" s="179"/>
      <c r="RTR1" s="179"/>
      <c r="RTS1" s="179"/>
      <c r="RTT1" s="179"/>
      <c r="RTU1" s="179"/>
      <c r="RTV1" s="179"/>
      <c r="RTW1" s="179"/>
      <c r="RTX1" s="179"/>
      <c r="RTY1" s="179"/>
      <c r="RTZ1" s="179"/>
      <c r="RUA1" s="179"/>
      <c r="RUB1" s="179"/>
      <c r="RUC1" s="179"/>
      <c r="RUD1" s="179"/>
      <c r="RUE1" s="179"/>
      <c r="RUF1" s="179"/>
      <c r="RUG1" s="179"/>
      <c r="RUH1" s="179"/>
      <c r="RUI1" s="179"/>
      <c r="RUJ1" s="179"/>
      <c r="RUK1" s="179"/>
      <c r="RUL1" s="179"/>
      <c r="RUM1" s="179"/>
      <c r="RUN1" s="179"/>
      <c r="RUO1" s="179"/>
      <c r="RUP1" s="179"/>
      <c r="RUQ1" s="179"/>
      <c r="RUR1" s="179"/>
      <c r="RUS1" s="179"/>
      <c r="RUT1" s="179"/>
      <c r="RUU1" s="179"/>
      <c r="RUV1" s="179"/>
      <c r="RUW1" s="179"/>
      <c r="RUX1" s="179"/>
      <c r="RUY1" s="179"/>
      <c r="RUZ1" s="179"/>
      <c r="RVA1" s="179"/>
      <c r="RVB1" s="179"/>
      <c r="RVC1" s="179"/>
      <c r="RVD1" s="179"/>
      <c r="RVE1" s="179"/>
      <c r="RVF1" s="179"/>
      <c r="RVG1" s="179"/>
      <c r="RVH1" s="179"/>
      <c r="RVI1" s="179"/>
      <c r="RVJ1" s="179"/>
      <c r="RVK1" s="179"/>
      <c r="RVL1" s="179"/>
      <c r="RVM1" s="179"/>
      <c r="RVN1" s="179"/>
      <c r="RVO1" s="179"/>
      <c r="RVP1" s="179"/>
      <c r="RVQ1" s="179"/>
      <c r="RVR1" s="179"/>
      <c r="RVS1" s="179"/>
      <c r="RVT1" s="179"/>
      <c r="RVU1" s="179"/>
      <c r="RVV1" s="179"/>
      <c r="RVW1" s="179"/>
      <c r="RVX1" s="179"/>
      <c r="RVY1" s="179"/>
      <c r="RVZ1" s="179"/>
      <c r="RWA1" s="179"/>
      <c r="RWB1" s="179"/>
      <c r="RWC1" s="179"/>
      <c r="RWD1" s="179"/>
      <c r="RWE1" s="179"/>
      <c r="RWF1" s="179"/>
      <c r="RWG1" s="179"/>
      <c r="RWH1" s="179"/>
      <c r="RWI1" s="179"/>
      <c r="RWJ1" s="179"/>
      <c r="RWK1" s="179"/>
      <c r="RWL1" s="179"/>
      <c r="RWM1" s="179"/>
      <c r="RWN1" s="179"/>
      <c r="RWO1" s="179"/>
      <c r="RWP1" s="179"/>
      <c r="RWQ1" s="179"/>
      <c r="RWR1" s="179"/>
      <c r="RWS1" s="179"/>
      <c r="RWT1" s="179"/>
      <c r="RWU1" s="179"/>
      <c r="RWV1" s="179"/>
      <c r="RWW1" s="179"/>
      <c r="RWX1" s="179"/>
      <c r="RWY1" s="179"/>
      <c r="RWZ1" s="179"/>
      <c r="RXA1" s="179"/>
      <c r="RXB1" s="179"/>
      <c r="RXC1" s="179"/>
      <c r="RXD1" s="179"/>
      <c r="RXE1" s="179"/>
      <c r="RXF1" s="179"/>
      <c r="RXG1" s="179"/>
      <c r="RXH1" s="179"/>
      <c r="RXI1" s="179"/>
      <c r="RXJ1" s="179"/>
      <c r="RXK1" s="179"/>
      <c r="RXL1" s="179"/>
      <c r="RXM1" s="179"/>
      <c r="RXN1" s="179"/>
      <c r="RXO1" s="179"/>
      <c r="RXP1" s="179"/>
      <c r="RXQ1" s="179"/>
      <c r="RXR1" s="179"/>
      <c r="RXS1" s="179"/>
      <c r="RXT1" s="179"/>
      <c r="RXU1" s="179"/>
      <c r="RXV1" s="179"/>
      <c r="RXW1" s="179"/>
      <c r="RXX1" s="179"/>
      <c r="RXY1" s="179"/>
      <c r="RXZ1" s="179"/>
      <c r="RYA1" s="179"/>
      <c r="RYB1" s="179"/>
      <c r="RYC1" s="179"/>
      <c r="RYD1" s="179"/>
      <c r="RYE1" s="179"/>
      <c r="RYF1" s="179"/>
      <c r="RYG1" s="179"/>
      <c r="RYH1" s="179"/>
      <c r="RYI1" s="179"/>
      <c r="RYJ1" s="179"/>
      <c r="RYK1" s="179"/>
      <c r="RYL1" s="179"/>
      <c r="RYM1" s="179"/>
      <c r="RYN1" s="179"/>
      <c r="RYO1" s="179"/>
      <c r="RYP1" s="179"/>
      <c r="RYQ1" s="179"/>
      <c r="RYR1" s="179"/>
      <c r="RYS1" s="179"/>
      <c r="RYT1" s="179"/>
      <c r="RYU1" s="179"/>
      <c r="RYV1" s="179"/>
      <c r="RYW1" s="179"/>
      <c r="RYX1" s="179"/>
      <c r="RYY1" s="179"/>
      <c r="RYZ1" s="179"/>
      <c r="RZA1" s="179"/>
      <c r="RZB1" s="179"/>
      <c r="RZC1" s="179"/>
      <c r="RZD1" s="179"/>
      <c r="RZE1" s="179"/>
      <c r="RZF1" s="179"/>
      <c r="RZG1" s="179"/>
      <c r="RZH1" s="179"/>
      <c r="RZI1" s="179"/>
      <c r="RZJ1" s="179"/>
      <c r="RZK1" s="179"/>
      <c r="RZL1" s="179"/>
      <c r="RZM1" s="179"/>
      <c r="RZN1" s="179"/>
      <c r="RZO1" s="179"/>
      <c r="RZP1" s="179"/>
      <c r="RZQ1" s="179"/>
      <c r="RZR1" s="179"/>
      <c r="RZS1" s="179"/>
      <c r="RZT1" s="179"/>
      <c r="RZU1" s="179"/>
      <c r="RZV1" s="179"/>
      <c r="RZW1" s="179"/>
      <c r="RZX1" s="179"/>
      <c r="RZY1" s="179"/>
      <c r="RZZ1" s="179"/>
      <c r="SAA1" s="179"/>
      <c r="SAB1" s="179"/>
      <c r="SAC1" s="179"/>
      <c r="SAD1" s="179"/>
      <c r="SAE1" s="179"/>
      <c r="SAF1" s="179"/>
      <c r="SAG1" s="179"/>
      <c r="SAH1" s="179"/>
      <c r="SAI1" s="179"/>
      <c r="SAJ1" s="179"/>
      <c r="SAK1" s="179"/>
      <c r="SAL1" s="179"/>
      <c r="SAM1" s="179"/>
      <c r="SAN1" s="179"/>
      <c r="SAO1" s="179"/>
      <c r="SAP1" s="179"/>
      <c r="SAQ1" s="179"/>
      <c r="SAR1" s="179"/>
      <c r="SAS1" s="179"/>
      <c r="SAT1" s="179"/>
      <c r="SAU1" s="179"/>
      <c r="SAV1" s="179"/>
      <c r="SAW1" s="179"/>
      <c r="SAX1" s="179"/>
      <c r="SAY1" s="179"/>
      <c r="SAZ1" s="179"/>
      <c r="SBA1" s="179"/>
      <c r="SBB1" s="179"/>
      <c r="SBC1" s="179"/>
      <c r="SBD1" s="179"/>
      <c r="SBE1" s="179"/>
      <c r="SBF1" s="179"/>
      <c r="SBG1" s="179"/>
      <c r="SBH1" s="179"/>
      <c r="SBI1" s="179"/>
      <c r="SBJ1" s="179"/>
      <c r="SBK1" s="179"/>
      <c r="SBL1" s="179"/>
      <c r="SBM1" s="179"/>
      <c r="SBN1" s="179"/>
      <c r="SBO1" s="179"/>
      <c r="SBP1" s="179"/>
      <c r="SBQ1" s="179"/>
      <c r="SBR1" s="179"/>
      <c r="SBS1" s="179"/>
      <c r="SBT1" s="179"/>
      <c r="SBU1" s="179"/>
      <c r="SBV1" s="179"/>
      <c r="SBW1" s="179"/>
      <c r="SBX1" s="179"/>
      <c r="SBY1" s="179"/>
      <c r="SBZ1" s="179"/>
      <c r="SCA1" s="179"/>
      <c r="SCB1" s="179"/>
      <c r="SCC1" s="179"/>
      <c r="SCD1" s="179"/>
      <c r="SCE1" s="179"/>
      <c r="SCF1" s="179"/>
      <c r="SCG1" s="179"/>
      <c r="SCH1" s="179"/>
      <c r="SCI1" s="179"/>
      <c r="SCJ1" s="179"/>
      <c r="SCK1" s="179"/>
      <c r="SCL1" s="179"/>
      <c r="SCM1" s="179"/>
      <c r="SCN1" s="179"/>
      <c r="SCO1" s="179"/>
      <c r="SCP1" s="179"/>
      <c r="SCQ1" s="179"/>
      <c r="SCR1" s="179"/>
      <c r="SCS1" s="179"/>
      <c r="SCT1" s="179"/>
      <c r="SCU1" s="179"/>
      <c r="SCV1" s="179"/>
      <c r="SCW1" s="179"/>
      <c r="SCX1" s="179"/>
      <c r="SCY1" s="179"/>
      <c r="SCZ1" s="179"/>
      <c r="SDA1" s="179"/>
      <c r="SDB1" s="179"/>
      <c r="SDC1" s="179"/>
      <c r="SDD1" s="179"/>
      <c r="SDE1" s="179"/>
      <c r="SDF1" s="179"/>
      <c r="SDG1" s="179"/>
      <c r="SDH1" s="179"/>
      <c r="SDI1" s="179"/>
      <c r="SDJ1" s="179"/>
      <c r="SDK1" s="179"/>
      <c r="SDL1" s="179"/>
      <c r="SDM1" s="179"/>
      <c r="SDN1" s="179"/>
      <c r="SDO1" s="179"/>
      <c r="SDP1" s="179"/>
      <c r="SDQ1" s="179"/>
      <c r="SDR1" s="179"/>
      <c r="SDS1" s="179"/>
      <c r="SDT1" s="179"/>
      <c r="SDU1" s="179"/>
      <c r="SDV1" s="179"/>
      <c r="SDW1" s="179"/>
      <c r="SDX1" s="179"/>
      <c r="SDY1" s="179"/>
      <c r="SDZ1" s="179"/>
      <c r="SEA1" s="179"/>
      <c r="SEB1" s="179"/>
      <c r="SEC1" s="179"/>
      <c r="SED1" s="179"/>
      <c r="SEE1" s="179"/>
      <c r="SEF1" s="179"/>
      <c r="SEG1" s="179"/>
      <c r="SEH1" s="179"/>
      <c r="SEI1" s="179"/>
      <c r="SEJ1" s="179"/>
      <c r="SEK1" s="179"/>
      <c r="SEL1" s="179"/>
      <c r="SEM1" s="179"/>
      <c r="SEN1" s="179"/>
      <c r="SEO1" s="179"/>
      <c r="SEP1" s="179"/>
      <c r="SEQ1" s="179"/>
      <c r="SER1" s="179"/>
      <c r="SES1" s="179"/>
      <c r="SET1" s="179"/>
      <c r="SEU1" s="179"/>
      <c r="SEV1" s="179"/>
      <c r="SEW1" s="179"/>
      <c r="SEX1" s="179"/>
      <c r="SEY1" s="179"/>
      <c r="SEZ1" s="179"/>
      <c r="SFA1" s="179"/>
      <c r="SFB1" s="179"/>
      <c r="SFC1" s="179"/>
      <c r="SFD1" s="179"/>
      <c r="SFE1" s="179"/>
      <c r="SFF1" s="179"/>
      <c r="SFG1" s="179"/>
      <c r="SFH1" s="179"/>
      <c r="SFI1" s="179"/>
      <c r="SFJ1" s="179"/>
      <c r="SFK1" s="179"/>
      <c r="SFL1" s="179"/>
      <c r="SFM1" s="179"/>
      <c r="SFN1" s="179"/>
      <c r="SFO1" s="179"/>
      <c r="SFP1" s="179"/>
      <c r="SFQ1" s="179"/>
      <c r="SFR1" s="179"/>
      <c r="SFS1" s="179"/>
      <c r="SFT1" s="179"/>
      <c r="SFU1" s="179"/>
      <c r="SFV1" s="179"/>
      <c r="SFW1" s="179"/>
      <c r="SFX1" s="179"/>
      <c r="SFY1" s="179"/>
      <c r="SFZ1" s="179"/>
      <c r="SGA1" s="179"/>
      <c r="SGB1" s="179"/>
      <c r="SGC1" s="179"/>
      <c r="SGD1" s="179"/>
      <c r="SGE1" s="179"/>
      <c r="SGF1" s="179"/>
      <c r="SGG1" s="179"/>
      <c r="SGH1" s="179"/>
      <c r="SGI1" s="179"/>
      <c r="SGJ1" s="179"/>
      <c r="SGK1" s="179"/>
      <c r="SGL1" s="179"/>
      <c r="SGM1" s="179"/>
      <c r="SGN1" s="179"/>
      <c r="SGO1" s="179"/>
      <c r="SGP1" s="179"/>
      <c r="SGQ1" s="179"/>
      <c r="SGR1" s="179"/>
      <c r="SGS1" s="179"/>
      <c r="SGT1" s="179"/>
      <c r="SGU1" s="179"/>
      <c r="SGV1" s="179"/>
      <c r="SGW1" s="179"/>
      <c r="SGX1" s="179"/>
      <c r="SGY1" s="179"/>
      <c r="SGZ1" s="179"/>
      <c r="SHA1" s="179"/>
      <c r="SHB1" s="179"/>
      <c r="SHC1" s="179"/>
      <c r="SHD1" s="179"/>
      <c r="SHE1" s="179"/>
      <c r="SHF1" s="179"/>
      <c r="SHG1" s="179"/>
      <c r="SHH1" s="179"/>
      <c r="SHI1" s="179"/>
      <c r="SHJ1" s="179"/>
      <c r="SHK1" s="179"/>
      <c r="SHL1" s="179"/>
      <c r="SHM1" s="179"/>
      <c r="SHN1" s="179"/>
      <c r="SHO1" s="179"/>
      <c r="SHP1" s="179"/>
      <c r="SHQ1" s="179"/>
      <c r="SHR1" s="179"/>
      <c r="SHS1" s="179"/>
      <c r="SHT1" s="179"/>
      <c r="SHU1" s="179"/>
      <c r="SHV1" s="179"/>
      <c r="SHW1" s="179"/>
      <c r="SHX1" s="179"/>
      <c r="SHY1" s="179"/>
      <c r="SHZ1" s="179"/>
      <c r="SIA1" s="179"/>
      <c r="SIB1" s="179"/>
      <c r="SIC1" s="179"/>
      <c r="SID1" s="179"/>
      <c r="SIE1" s="179"/>
      <c r="SIF1" s="179"/>
      <c r="SIG1" s="179"/>
      <c r="SIH1" s="179"/>
      <c r="SII1" s="179"/>
      <c r="SIJ1" s="179"/>
      <c r="SIK1" s="179"/>
      <c r="SIL1" s="179"/>
      <c r="SIM1" s="179"/>
      <c r="SIN1" s="179"/>
      <c r="SIO1" s="179"/>
      <c r="SIP1" s="179"/>
      <c r="SIQ1" s="179"/>
      <c r="SIR1" s="179"/>
      <c r="SIS1" s="179"/>
      <c r="SIT1" s="179"/>
      <c r="SIU1" s="179"/>
      <c r="SIV1" s="179"/>
      <c r="SIW1" s="179"/>
      <c r="SIX1" s="179"/>
      <c r="SIY1" s="179"/>
      <c r="SIZ1" s="179"/>
      <c r="SJA1" s="179"/>
      <c r="SJB1" s="179"/>
      <c r="SJC1" s="179"/>
      <c r="SJD1" s="179"/>
      <c r="SJE1" s="179"/>
      <c r="SJF1" s="179"/>
      <c r="SJG1" s="179"/>
      <c r="SJH1" s="179"/>
      <c r="SJI1" s="179"/>
      <c r="SJJ1" s="179"/>
      <c r="SJK1" s="179"/>
      <c r="SJL1" s="179"/>
      <c r="SJM1" s="179"/>
      <c r="SJN1" s="179"/>
      <c r="SJO1" s="179"/>
      <c r="SJP1" s="179"/>
      <c r="SJQ1" s="179"/>
      <c r="SJR1" s="179"/>
      <c r="SJS1" s="179"/>
      <c r="SJT1" s="179"/>
      <c r="SJU1" s="179"/>
      <c r="SJV1" s="179"/>
      <c r="SJW1" s="179"/>
      <c r="SJX1" s="179"/>
      <c r="SJY1" s="179"/>
      <c r="SJZ1" s="179"/>
      <c r="SKA1" s="179"/>
      <c r="SKB1" s="179"/>
      <c r="SKC1" s="179"/>
      <c r="SKD1" s="179"/>
      <c r="SKE1" s="179"/>
      <c r="SKF1" s="179"/>
      <c r="SKG1" s="179"/>
      <c r="SKH1" s="179"/>
      <c r="SKI1" s="179"/>
      <c r="SKJ1" s="179"/>
      <c r="SKK1" s="179"/>
      <c r="SKL1" s="179"/>
      <c r="SKM1" s="179"/>
      <c r="SKN1" s="179"/>
      <c r="SKO1" s="179"/>
      <c r="SKP1" s="179"/>
      <c r="SKQ1" s="179"/>
      <c r="SKR1" s="179"/>
      <c r="SKS1" s="179"/>
      <c r="SKT1" s="179"/>
      <c r="SKU1" s="179"/>
      <c r="SKV1" s="179"/>
      <c r="SKW1" s="179"/>
      <c r="SKX1" s="179"/>
      <c r="SKY1" s="179"/>
      <c r="SKZ1" s="179"/>
      <c r="SLA1" s="179"/>
      <c r="SLB1" s="179"/>
      <c r="SLC1" s="179"/>
      <c r="SLD1" s="179"/>
      <c r="SLE1" s="179"/>
      <c r="SLF1" s="179"/>
      <c r="SLG1" s="179"/>
      <c r="SLH1" s="179"/>
      <c r="SLI1" s="179"/>
      <c r="SLJ1" s="179"/>
      <c r="SLK1" s="179"/>
      <c r="SLL1" s="179"/>
      <c r="SLM1" s="179"/>
      <c r="SLN1" s="179"/>
      <c r="SLO1" s="179"/>
      <c r="SLP1" s="179"/>
      <c r="SLQ1" s="179"/>
      <c r="SLR1" s="179"/>
      <c r="SLS1" s="179"/>
      <c r="SLT1" s="179"/>
      <c r="SLU1" s="179"/>
      <c r="SLV1" s="179"/>
      <c r="SLW1" s="179"/>
      <c r="SLX1" s="179"/>
      <c r="SLY1" s="179"/>
      <c r="SLZ1" s="179"/>
      <c r="SMA1" s="179"/>
      <c r="SMB1" s="179"/>
      <c r="SMC1" s="179"/>
      <c r="SMD1" s="179"/>
      <c r="SME1" s="179"/>
      <c r="SMF1" s="179"/>
      <c r="SMG1" s="179"/>
      <c r="SMH1" s="179"/>
      <c r="SMI1" s="179"/>
      <c r="SMJ1" s="179"/>
      <c r="SMK1" s="179"/>
      <c r="SML1" s="179"/>
      <c r="SMM1" s="179"/>
      <c r="SMN1" s="179"/>
      <c r="SMO1" s="179"/>
      <c r="SMP1" s="179"/>
      <c r="SMQ1" s="179"/>
      <c r="SMR1" s="179"/>
      <c r="SMS1" s="179"/>
      <c r="SMT1" s="179"/>
      <c r="SMU1" s="179"/>
      <c r="SMV1" s="179"/>
      <c r="SMW1" s="179"/>
      <c r="SMX1" s="179"/>
      <c r="SMY1" s="179"/>
      <c r="SMZ1" s="179"/>
      <c r="SNA1" s="179"/>
      <c r="SNB1" s="179"/>
      <c r="SNC1" s="179"/>
      <c r="SND1" s="179"/>
      <c r="SNE1" s="179"/>
      <c r="SNF1" s="179"/>
      <c r="SNG1" s="179"/>
      <c r="SNH1" s="179"/>
      <c r="SNI1" s="179"/>
      <c r="SNJ1" s="179"/>
      <c r="SNK1" s="179"/>
      <c r="SNL1" s="179"/>
      <c r="SNM1" s="179"/>
      <c r="SNN1" s="179"/>
      <c r="SNO1" s="179"/>
      <c r="SNP1" s="179"/>
      <c r="SNQ1" s="179"/>
      <c r="SNR1" s="179"/>
      <c r="SNS1" s="179"/>
      <c r="SNT1" s="179"/>
      <c r="SNU1" s="179"/>
      <c r="SNV1" s="179"/>
      <c r="SNW1" s="179"/>
      <c r="SNX1" s="179"/>
      <c r="SNY1" s="179"/>
      <c r="SNZ1" s="179"/>
      <c r="SOA1" s="179"/>
      <c r="SOB1" s="179"/>
      <c r="SOC1" s="179"/>
      <c r="SOD1" s="179"/>
      <c r="SOE1" s="179"/>
      <c r="SOF1" s="179"/>
      <c r="SOG1" s="179"/>
      <c r="SOH1" s="179"/>
      <c r="SOI1" s="179"/>
      <c r="SOJ1" s="179"/>
      <c r="SOK1" s="179"/>
      <c r="SOL1" s="179"/>
      <c r="SOM1" s="179"/>
      <c r="SON1" s="179"/>
      <c r="SOO1" s="179"/>
      <c r="SOP1" s="179"/>
      <c r="SOQ1" s="179"/>
      <c r="SOR1" s="179"/>
      <c r="SOS1" s="179"/>
      <c r="SOT1" s="179"/>
      <c r="SOU1" s="179"/>
      <c r="SOV1" s="179"/>
      <c r="SOW1" s="179"/>
      <c r="SOX1" s="179"/>
      <c r="SOY1" s="179"/>
      <c r="SOZ1" s="179"/>
      <c r="SPA1" s="179"/>
      <c r="SPB1" s="179"/>
      <c r="SPC1" s="179"/>
      <c r="SPD1" s="179"/>
      <c r="SPE1" s="179"/>
      <c r="SPF1" s="179"/>
      <c r="SPG1" s="179"/>
      <c r="SPH1" s="179"/>
      <c r="SPI1" s="179"/>
      <c r="SPJ1" s="179"/>
      <c r="SPK1" s="179"/>
      <c r="SPL1" s="179"/>
      <c r="SPM1" s="179"/>
      <c r="SPN1" s="179"/>
      <c r="SPO1" s="179"/>
      <c r="SPP1" s="179"/>
      <c r="SPQ1" s="179"/>
      <c r="SPR1" s="179"/>
      <c r="SPS1" s="179"/>
      <c r="SPT1" s="179"/>
      <c r="SPU1" s="179"/>
      <c r="SPV1" s="179"/>
      <c r="SPW1" s="179"/>
      <c r="SPX1" s="179"/>
      <c r="SPY1" s="179"/>
      <c r="SPZ1" s="179"/>
      <c r="SQA1" s="179"/>
      <c r="SQB1" s="179"/>
      <c r="SQC1" s="179"/>
      <c r="SQD1" s="179"/>
      <c r="SQE1" s="179"/>
      <c r="SQF1" s="179"/>
      <c r="SQG1" s="179"/>
      <c r="SQH1" s="179"/>
      <c r="SQI1" s="179"/>
      <c r="SQJ1" s="179"/>
      <c r="SQK1" s="179"/>
      <c r="SQL1" s="179"/>
      <c r="SQM1" s="179"/>
      <c r="SQN1" s="179"/>
      <c r="SQO1" s="179"/>
      <c r="SQP1" s="179"/>
      <c r="SQQ1" s="179"/>
      <c r="SQR1" s="179"/>
      <c r="SQS1" s="179"/>
      <c r="SQT1" s="179"/>
      <c r="SQU1" s="179"/>
      <c r="SQV1" s="179"/>
      <c r="SQW1" s="179"/>
      <c r="SQX1" s="179"/>
      <c r="SQY1" s="179"/>
      <c r="SQZ1" s="179"/>
      <c r="SRA1" s="179"/>
      <c r="SRB1" s="179"/>
      <c r="SRC1" s="179"/>
      <c r="SRD1" s="179"/>
      <c r="SRE1" s="179"/>
      <c r="SRF1" s="179"/>
      <c r="SRG1" s="179"/>
      <c r="SRH1" s="179"/>
      <c r="SRI1" s="179"/>
      <c r="SRJ1" s="179"/>
      <c r="SRK1" s="179"/>
      <c r="SRL1" s="179"/>
      <c r="SRM1" s="179"/>
      <c r="SRN1" s="179"/>
      <c r="SRO1" s="179"/>
      <c r="SRP1" s="179"/>
      <c r="SRQ1" s="179"/>
      <c r="SRR1" s="179"/>
      <c r="SRS1" s="179"/>
      <c r="SRT1" s="179"/>
      <c r="SRU1" s="179"/>
      <c r="SRV1" s="179"/>
      <c r="SRW1" s="179"/>
      <c r="SRX1" s="179"/>
      <c r="SRY1" s="179"/>
      <c r="SRZ1" s="179"/>
      <c r="SSA1" s="179"/>
      <c r="SSB1" s="179"/>
      <c r="SSC1" s="179"/>
      <c r="SSD1" s="179"/>
      <c r="SSE1" s="179"/>
      <c r="SSF1" s="179"/>
      <c r="SSG1" s="179"/>
      <c r="SSH1" s="179"/>
      <c r="SSI1" s="179"/>
      <c r="SSJ1" s="179"/>
      <c r="SSK1" s="179"/>
      <c r="SSL1" s="179"/>
      <c r="SSM1" s="179"/>
      <c r="SSN1" s="179"/>
      <c r="SSO1" s="179"/>
      <c r="SSP1" s="179"/>
      <c r="SSQ1" s="179"/>
      <c r="SSR1" s="179"/>
      <c r="SSS1" s="179"/>
      <c r="SST1" s="179"/>
      <c r="SSU1" s="179"/>
      <c r="SSV1" s="179"/>
      <c r="SSW1" s="179"/>
      <c r="SSX1" s="179"/>
      <c r="SSY1" s="179"/>
      <c r="SSZ1" s="179"/>
      <c r="STA1" s="179"/>
      <c r="STB1" s="179"/>
      <c r="STC1" s="179"/>
      <c r="STD1" s="179"/>
      <c r="STE1" s="179"/>
      <c r="STF1" s="179"/>
      <c r="STG1" s="179"/>
      <c r="STH1" s="179"/>
      <c r="STI1" s="179"/>
      <c r="STJ1" s="179"/>
      <c r="STK1" s="179"/>
      <c r="STL1" s="179"/>
      <c r="STM1" s="179"/>
      <c r="STN1" s="179"/>
      <c r="STO1" s="179"/>
      <c r="STP1" s="179"/>
      <c r="STQ1" s="179"/>
      <c r="STR1" s="179"/>
      <c r="STS1" s="179"/>
      <c r="STT1" s="179"/>
      <c r="STU1" s="179"/>
      <c r="STV1" s="179"/>
      <c r="STW1" s="179"/>
      <c r="STX1" s="179"/>
      <c r="STY1" s="179"/>
      <c r="STZ1" s="179"/>
      <c r="SUA1" s="179"/>
      <c r="SUB1" s="179"/>
      <c r="SUC1" s="179"/>
      <c r="SUD1" s="179"/>
      <c r="SUE1" s="179"/>
      <c r="SUF1" s="179"/>
      <c r="SUG1" s="179"/>
      <c r="SUH1" s="179"/>
      <c r="SUI1" s="179"/>
      <c r="SUJ1" s="179"/>
      <c r="SUK1" s="179"/>
      <c r="SUL1" s="179"/>
      <c r="SUM1" s="179"/>
      <c r="SUN1" s="179"/>
      <c r="SUO1" s="179"/>
      <c r="SUP1" s="179"/>
      <c r="SUQ1" s="179"/>
      <c r="SUR1" s="179"/>
      <c r="SUS1" s="179"/>
      <c r="SUT1" s="179"/>
      <c r="SUU1" s="179"/>
      <c r="SUV1" s="179"/>
      <c r="SUW1" s="179"/>
      <c r="SUX1" s="179"/>
      <c r="SUY1" s="179"/>
      <c r="SUZ1" s="179"/>
      <c r="SVA1" s="179"/>
      <c r="SVB1" s="179"/>
      <c r="SVC1" s="179"/>
      <c r="SVD1" s="179"/>
      <c r="SVE1" s="179"/>
      <c r="SVF1" s="179"/>
      <c r="SVG1" s="179"/>
      <c r="SVH1" s="179"/>
      <c r="SVI1" s="179"/>
      <c r="SVJ1" s="179"/>
      <c r="SVK1" s="179"/>
      <c r="SVL1" s="179"/>
      <c r="SVM1" s="179"/>
      <c r="SVN1" s="179"/>
      <c r="SVO1" s="179"/>
      <c r="SVP1" s="179"/>
      <c r="SVQ1" s="179"/>
      <c r="SVR1" s="179"/>
      <c r="SVS1" s="179"/>
      <c r="SVT1" s="179"/>
      <c r="SVU1" s="179"/>
      <c r="SVV1" s="179"/>
      <c r="SVW1" s="179"/>
      <c r="SVX1" s="179"/>
      <c r="SVY1" s="179"/>
      <c r="SVZ1" s="179"/>
      <c r="SWA1" s="179"/>
      <c r="SWB1" s="179"/>
      <c r="SWC1" s="179"/>
      <c r="SWD1" s="179"/>
      <c r="SWE1" s="179"/>
      <c r="SWF1" s="179"/>
      <c r="SWG1" s="179"/>
      <c r="SWH1" s="179"/>
      <c r="SWI1" s="179"/>
      <c r="SWJ1" s="179"/>
      <c r="SWK1" s="179"/>
      <c r="SWL1" s="179"/>
      <c r="SWM1" s="179"/>
      <c r="SWN1" s="179"/>
      <c r="SWO1" s="179"/>
      <c r="SWP1" s="179"/>
      <c r="SWQ1" s="179"/>
      <c r="SWR1" s="179"/>
      <c r="SWS1" s="179"/>
      <c r="SWT1" s="179"/>
      <c r="SWU1" s="179"/>
      <c r="SWV1" s="179"/>
      <c r="SWW1" s="179"/>
      <c r="SWX1" s="179"/>
      <c r="SWY1" s="179"/>
      <c r="SWZ1" s="179"/>
      <c r="SXA1" s="179"/>
      <c r="SXB1" s="179"/>
      <c r="SXC1" s="179"/>
      <c r="SXD1" s="179"/>
      <c r="SXE1" s="179"/>
      <c r="SXF1" s="179"/>
      <c r="SXG1" s="179"/>
      <c r="SXH1" s="179"/>
      <c r="SXI1" s="179"/>
      <c r="SXJ1" s="179"/>
      <c r="SXK1" s="179"/>
      <c r="SXL1" s="179"/>
      <c r="SXM1" s="179"/>
      <c r="SXN1" s="179"/>
      <c r="SXO1" s="179"/>
      <c r="SXP1" s="179"/>
      <c r="SXQ1" s="179"/>
      <c r="SXR1" s="179"/>
      <c r="SXS1" s="179"/>
      <c r="SXT1" s="179"/>
      <c r="SXU1" s="179"/>
      <c r="SXV1" s="179"/>
      <c r="SXW1" s="179"/>
      <c r="SXX1" s="179"/>
      <c r="SXY1" s="179"/>
      <c r="SXZ1" s="179"/>
      <c r="SYA1" s="179"/>
      <c r="SYB1" s="179"/>
      <c r="SYC1" s="179"/>
      <c r="SYD1" s="179"/>
      <c r="SYE1" s="179"/>
      <c r="SYF1" s="179"/>
      <c r="SYG1" s="179"/>
      <c r="SYH1" s="179"/>
      <c r="SYI1" s="179"/>
      <c r="SYJ1" s="179"/>
      <c r="SYK1" s="179"/>
      <c r="SYL1" s="179"/>
      <c r="SYM1" s="179"/>
      <c r="SYN1" s="179"/>
      <c r="SYO1" s="179"/>
      <c r="SYP1" s="179"/>
      <c r="SYQ1" s="179"/>
      <c r="SYR1" s="179"/>
      <c r="SYS1" s="179"/>
      <c r="SYT1" s="179"/>
      <c r="SYU1" s="179"/>
      <c r="SYV1" s="179"/>
      <c r="SYW1" s="179"/>
      <c r="SYX1" s="179"/>
      <c r="SYY1" s="179"/>
      <c r="SYZ1" s="179"/>
      <c r="SZA1" s="179"/>
      <c r="SZB1" s="179"/>
      <c r="SZC1" s="179"/>
      <c r="SZD1" s="179"/>
      <c r="SZE1" s="179"/>
      <c r="SZF1" s="179"/>
      <c r="SZG1" s="179"/>
      <c r="SZH1" s="179"/>
      <c r="SZI1" s="179"/>
      <c r="SZJ1" s="179"/>
      <c r="SZK1" s="179"/>
      <c r="SZL1" s="179"/>
      <c r="SZM1" s="179"/>
      <c r="SZN1" s="179"/>
      <c r="SZO1" s="179"/>
      <c r="SZP1" s="179"/>
      <c r="SZQ1" s="179"/>
      <c r="SZR1" s="179"/>
      <c r="SZS1" s="179"/>
      <c r="SZT1" s="179"/>
      <c r="SZU1" s="179"/>
      <c r="SZV1" s="179"/>
      <c r="SZW1" s="179"/>
      <c r="SZX1" s="179"/>
      <c r="SZY1" s="179"/>
      <c r="SZZ1" s="179"/>
      <c r="TAA1" s="179"/>
      <c r="TAB1" s="179"/>
      <c r="TAC1" s="179"/>
      <c r="TAD1" s="179"/>
      <c r="TAE1" s="179"/>
      <c r="TAF1" s="179"/>
      <c r="TAG1" s="179"/>
      <c r="TAH1" s="179"/>
      <c r="TAI1" s="179"/>
      <c r="TAJ1" s="179"/>
      <c r="TAK1" s="179"/>
      <c r="TAL1" s="179"/>
      <c r="TAM1" s="179"/>
      <c r="TAN1" s="179"/>
      <c r="TAO1" s="179"/>
      <c r="TAP1" s="179"/>
      <c r="TAQ1" s="179"/>
      <c r="TAR1" s="179"/>
      <c r="TAS1" s="179"/>
      <c r="TAT1" s="179"/>
      <c r="TAU1" s="179"/>
      <c r="TAV1" s="179"/>
      <c r="TAW1" s="179"/>
      <c r="TAX1" s="179"/>
      <c r="TAY1" s="179"/>
      <c r="TAZ1" s="179"/>
      <c r="TBA1" s="179"/>
      <c r="TBB1" s="179"/>
      <c r="TBC1" s="179"/>
      <c r="TBD1" s="179"/>
      <c r="TBE1" s="179"/>
      <c r="TBF1" s="179"/>
      <c r="TBG1" s="179"/>
      <c r="TBH1" s="179"/>
      <c r="TBI1" s="179"/>
      <c r="TBJ1" s="179"/>
      <c r="TBK1" s="179"/>
      <c r="TBL1" s="179"/>
      <c r="TBM1" s="179"/>
      <c r="TBN1" s="179"/>
      <c r="TBO1" s="179"/>
      <c r="TBP1" s="179"/>
      <c r="TBQ1" s="179"/>
      <c r="TBR1" s="179"/>
      <c r="TBS1" s="179"/>
      <c r="TBT1" s="179"/>
      <c r="TBU1" s="179"/>
      <c r="TBV1" s="179"/>
      <c r="TBW1" s="179"/>
      <c r="TBX1" s="179"/>
      <c r="TBY1" s="179"/>
      <c r="TBZ1" s="179"/>
      <c r="TCA1" s="179"/>
      <c r="TCB1" s="179"/>
      <c r="TCC1" s="179"/>
      <c r="TCD1" s="179"/>
      <c r="TCE1" s="179"/>
      <c r="TCF1" s="179"/>
      <c r="TCG1" s="179"/>
      <c r="TCH1" s="179"/>
      <c r="TCI1" s="179"/>
      <c r="TCJ1" s="179"/>
      <c r="TCK1" s="179"/>
      <c r="TCL1" s="179"/>
      <c r="TCM1" s="179"/>
      <c r="TCN1" s="179"/>
      <c r="TCO1" s="179"/>
      <c r="TCP1" s="179"/>
      <c r="TCQ1" s="179"/>
      <c r="TCR1" s="179"/>
      <c r="TCS1" s="179"/>
      <c r="TCT1" s="179"/>
      <c r="TCU1" s="179"/>
      <c r="TCV1" s="179"/>
      <c r="TCW1" s="179"/>
      <c r="TCX1" s="179"/>
      <c r="TCY1" s="179"/>
      <c r="TCZ1" s="179"/>
      <c r="TDA1" s="179"/>
      <c r="TDB1" s="179"/>
      <c r="TDC1" s="179"/>
      <c r="TDD1" s="179"/>
      <c r="TDE1" s="179"/>
      <c r="TDF1" s="179"/>
      <c r="TDG1" s="179"/>
      <c r="TDH1" s="179"/>
      <c r="TDI1" s="179"/>
      <c r="TDJ1" s="179"/>
      <c r="TDK1" s="179"/>
      <c r="TDL1" s="179"/>
      <c r="TDM1" s="179"/>
      <c r="TDN1" s="179"/>
      <c r="TDO1" s="179"/>
      <c r="TDP1" s="179"/>
      <c r="TDQ1" s="179"/>
      <c r="TDR1" s="179"/>
      <c r="TDS1" s="179"/>
      <c r="TDT1" s="179"/>
      <c r="TDU1" s="179"/>
      <c r="TDV1" s="179"/>
      <c r="TDW1" s="179"/>
      <c r="TDX1" s="179"/>
      <c r="TDY1" s="179"/>
      <c r="TDZ1" s="179"/>
      <c r="TEA1" s="179"/>
      <c r="TEB1" s="179"/>
      <c r="TEC1" s="179"/>
      <c r="TED1" s="179"/>
      <c r="TEE1" s="179"/>
      <c r="TEF1" s="179"/>
      <c r="TEG1" s="179"/>
      <c r="TEH1" s="179"/>
      <c r="TEI1" s="179"/>
      <c r="TEJ1" s="179"/>
      <c r="TEK1" s="179"/>
      <c r="TEL1" s="179"/>
      <c r="TEM1" s="179"/>
      <c r="TEN1" s="179"/>
      <c r="TEO1" s="179"/>
      <c r="TEP1" s="179"/>
      <c r="TEQ1" s="179"/>
      <c r="TER1" s="179"/>
      <c r="TES1" s="179"/>
      <c r="TET1" s="179"/>
      <c r="TEU1" s="179"/>
      <c r="TEV1" s="179"/>
      <c r="TEW1" s="179"/>
      <c r="TEX1" s="179"/>
      <c r="TEY1" s="179"/>
      <c r="TEZ1" s="179"/>
      <c r="TFA1" s="179"/>
      <c r="TFB1" s="179"/>
      <c r="TFC1" s="179"/>
      <c r="TFD1" s="179"/>
      <c r="TFE1" s="179"/>
      <c r="TFF1" s="179"/>
      <c r="TFG1" s="179"/>
      <c r="TFH1" s="179"/>
      <c r="TFI1" s="179"/>
      <c r="TFJ1" s="179"/>
      <c r="TFK1" s="179"/>
      <c r="TFL1" s="179"/>
      <c r="TFM1" s="179"/>
      <c r="TFN1" s="179"/>
      <c r="TFO1" s="179"/>
      <c r="TFP1" s="179"/>
      <c r="TFQ1" s="179"/>
      <c r="TFR1" s="179"/>
      <c r="TFS1" s="179"/>
      <c r="TFT1" s="179"/>
      <c r="TFU1" s="179"/>
      <c r="TFV1" s="179"/>
      <c r="TFW1" s="179"/>
      <c r="TFX1" s="179"/>
      <c r="TFY1" s="179"/>
      <c r="TFZ1" s="179"/>
      <c r="TGA1" s="179"/>
      <c r="TGB1" s="179"/>
      <c r="TGC1" s="179"/>
      <c r="TGD1" s="179"/>
      <c r="TGE1" s="179"/>
      <c r="TGF1" s="179"/>
      <c r="TGG1" s="179"/>
      <c r="TGH1" s="179"/>
      <c r="TGI1" s="179"/>
      <c r="TGJ1" s="179"/>
      <c r="TGK1" s="179"/>
      <c r="TGL1" s="179"/>
      <c r="TGM1" s="179"/>
      <c r="TGN1" s="179"/>
      <c r="TGO1" s="179"/>
      <c r="TGP1" s="179"/>
      <c r="TGQ1" s="179"/>
      <c r="TGR1" s="179"/>
      <c r="TGS1" s="179"/>
      <c r="TGT1" s="179"/>
      <c r="TGU1" s="179"/>
      <c r="TGV1" s="179"/>
      <c r="TGW1" s="179"/>
      <c r="TGX1" s="179"/>
      <c r="TGY1" s="179"/>
      <c r="TGZ1" s="179"/>
      <c r="THA1" s="179"/>
      <c r="THB1" s="179"/>
      <c r="THC1" s="179"/>
      <c r="THD1" s="179"/>
      <c r="THE1" s="179"/>
      <c r="THF1" s="179"/>
      <c r="THG1" s="179"/>
      <c r="THH1" s="179"/>
      <c r="THI1" s="179"/>
      <c r="THJ1" s="179"/>
      <c r="THK1" s="179"/>
      <c r="THL1" s="179"/>
      <c r="THM1" s="179"/>
      <c r="THN1" s="179"/>
      <c r="THO1" s="179"/>
      <c r="THP1" s="179"/>
      <c r="THQ1" s="179"/>
      <c r="THR1" s="179"/>
      <c r="THS1" s="179"/>
      <c r="THT1" s="179"/>
      <c r="THU1" s="179"/>
      <c r="THV1" s="179"/>
      <c r="THW1" s="179"/>
      <c r="THX1" s="179"/>
      <c r="THY1" s="179"/>
      <c r="THZ1" s="179"/>
      <c r="TIA1" s="179"/>
      <c r="TIB1" s="179"/>
      <c r="TIC1" s="179"/>
      <c r="TID1" s="179"/>
      <c r="TIE1" s="179"/>
      <c r="TIF1" s="179"/>
      <c r="TIG1" s="179"/>
      <c r="TIH1" s="179"/>
      <c r="TII1" s="179"/>
      <c r="TIJ1" s="179"/>
      <c r="TIK1" s="179"/>
      <c r="TIL1" s="179"/>
      <c r="TIM1" s="179"/>
      <c r="TIN1" s="179"/>
      <c r="TIO1" s="179"/>
      <c r="TIP1" s="179"/>
      <c r="TIQ1" s="179"/>
      <c r="TIR1" s="179"/>
      <c r="TIS1" s="179"/>
      <c r="TIT1" s="179"/>
      <c r="TIU1" s="179"/>
      <c r="TIV1" s="179"/>
      <c r="TIW1" s="179"/>
      <c r="TIX1" s="179"/>
      <c r="TIY1" s="179"/>
      <c r="TIZ1" s="179"/>
      <c r="TJA1" s="179"/>
      <c r="TJB1" s="179"/>
      <c r="TJC1" s="179"/>
      <c r="TJD1" s="179"/>
      <c r="TJE1" s="179"/>
      <c r="TJF1" s="179"/>
      <c r="TJG1" s="179"/>
      <c r="TJH1" s="179"/>
      <c r="TJI1" s="179"/>
      <c r="TJJ1" s="179"/>
      <c r="TJK1" s="179"/>
      <c r="TJL1" s="179"/>
      <c r="TJM1" s="179"/>
      <c r="TJN1" s="179"/>
      <c r="TJO1" s="179"/>
      <c r="TJP1" s="179"/>
      <c r="TJQ1" s="179"/>
      <c r="TJR1" s="179"/>
      <c r="TJS1" s="179"/>
      <c r="TJT1" s="179"/>
      <c r="TJU1" s="179"/>
      <c r="TJV1" s="179"/>
      <c r="TJW1" s="179"/>
      <c r="TJX1" s="179"/>
      <c r="TJY1" s="179"/>
      <c r="TJZ1" s="179"/>
      <c r="TKA1" s="179"/>
      <c r="TKB1" s="179"/>
      <c r="TKC1" s="179"/>
      <c r="TKD1" s="179"/>
      <c r="TKE1" s="179"/>
      <c r="TKF1" s="179"/>
      <c r="TKG1" s="179"/>
      <c r="TKH1" s="179"/>
      <c r="TKI1" s="179"/>
      <c r="TKJ1" s="179"/>
      <c r="TKK1" s="179"/>
      <c r="TKL1" s="179"/>
      <c r="TKM1" s="179"/>
      <c r="TKN1" s="179"/>
      <c r="TKO1" s="179"/>
      <c r="TKP1" s="179"/>
      <c r="TKQ1" s="179"/>
      <c r="TKR1" s="179"/>
      <c r="TKS1" s="179"/>
      <c r="TKT1" s="179"/>
      <c r="TKU1" s="179"/>
      <c r="TKV1" s="179"/>
      <c r="TKW1" s="179"/>
      <c r="TKX1" s="179"/>
      <c r="TKY1" s="179"/>
      <c r="TKZ1" s="179"/>
      <c r="TLA1" s="179"/>
      <c r="TLB1" s="179"/>
      <c r="TLC1" s="179"/>
      <c r="TLD1" s="179"/>
      <c r="TLE1" s="179"/>
      <c r="TLF1" s="179"/>
      <c r="TLG1" s="179"/>
      <c r="TLH1" s="179"/>
      <c r="TLI1" s="179"/>
      <c r="TLJ1" s="179"/>
      <c r="TLK1" s="179"/>
      <c r="TLL1" s="179"/>
      <c r="TLM1" s="179"/>
      <c r="TLN1" s="179"/>
      <c r="TLO1" s="179"/>
      <c r="TLP1" s="179"/>
      <c r="TLQ1" s="179"/>
      <c r="TLR1" s="179"/>
      <c r="TLS1" s="179"/>
      <c r="TLT1" s="179"/>
      <c r="TLU1" s="179"/>
      <c r="TLV1" s="179"/>
      <c r="TLW1" s="179"/>
      <c r="TLX1" s="179"/>
      <c r="TLY1" s="179"/>
      <c r="TLZ1" s="179"/>
      <c r="TMA1" s="179"/>
      <c r="TMB1" s="179"/>
      <c r="TMC1" s="179"/>
      <c r="TMD1" s="179"/>
      <c r="TME1" s="179"/>
      <c r="TMF1" s="179"/>
      <c r="TMG1" s="179"/>
      <c r="TMH1" s="179"/>
      <c r="TMI1" s="179"/>
      <c r="TMJ1" s="179"/>
      <c r="TMK1" s="179"/>
      <c r="TML1" s="179"/>
      <c r="TMM1" s="179"/>
      <c r="TMN1" s="179"/>
      <c r="TMO1" s="179"/>
      <c r="TMP1" s="179"/>
      <c r="TMQ1" s="179"/>
      <c r="TMR1" s="179"/>
      <c r="TMS1" s="179"/>
      <c r="TMT1" s="179"/>
      <c r="TMU1" s="179"/>
      <c r="TMV1" s="179"/>
      <c r="TMW1" s="179"/>
      <c r="TMX1" s="179"/>
      <c r="TMY1" s="179"/>
      <c r="TMZ1" s="179"/>
      <c r="TNA1" s="179"/>
      <c r="TNB1" s="179"/>
      <c r="TNC1" s="179"/>
      <c r="TND1" s="179"/>
      <c r="TNE1" s="179"/>
      <c r="TNF1" s="179"/>
      <c r="TNG1" s="179"/>
      <c r="TNH1" s="179"/>
      <c r="TNI1" s="179"/>
      <c r="TNJ1" s="179"/>
      <c r="TNK1" s="179"/>
      <c r="TNL1" s="179"/>
      <c r="TNM1" s="179"/>
      <c r="TNN1" s="179"/>
      <c r="TNO1" s="179"/>
      <c r="TNP1" s="179"/>
      <c r="TNQ1" s="179"/>
      <c r="TNR1" s="179"/>
      <c r="TNS1" s="179"/>
      <c r="TNT1" s="179"/>
      <c r="TNU1" s="179"/>
      <c r="TNV1" s="179"/>
      <c r="TNW1" s="179"/>
      <c r="TNX1" s="179"/>
      <c r="TNY1" s="179"/>
      <c r="TNZ1" s="179"/>
      <c r="TOA1" s="179"/>
      <c r="TOB1" s="179"/>
      <c r="TOC1" s="179"/>
      <c r="TOD1" s="179"/>
      <c r="TOE1" s="179"/>
      <c r="TOF1" s="179"/>
      <c r="TOG1" s="179"/>
      <c r="TOH1" s="179"/>
      <c r="TOI1" s="179"/>
      <c r="TOJ1" s="179"/>
      <c r="TOK1" s="179"/>
      <c r="TOL1" s="179"/>
      <c r="TOM1" s="179"/>
      <c r="TON1" s="179"/>
      <c r="TOO1" s="179"/>
      <c r="TOP1" s="179"/>
      <c r="TOQ1" s="179"/>
      <c r="TOR1" s="179"/>
      <c r="TOS1" s="179"/>
      <c r="TOT1" s="179"/>
      <c r="TOU1" s="179"/>
      <c r="TOV1" s="179"/>
      <c r="TOW1" s="179"/>
      <c r="TOX1" s="179"/>
      <c r="TOY1" s="179"/>
      <c r="TOZ1" s="179"/>
      <c r="TPA1" s="179"/>
      <c r="TPB1" s="179"/>
      <c r="TPC1" s="179"/>
      <c r="TPD1" s="179"/>
      <c r="TPE1" s="179"/>
      <c r="TPF1" s="179"/>
      <c r="TPG1" s="179"/>
      <c r="TPH1" s="179"/>
      <c r="TPI1" s="179"/>
      <c r="TPJ1" s="179"/>
      <c r="TPK1" s="179"/>
      <c r="TPL1" s="179"/>
      <c r="TPM1" s="179"/>
      <c r="TPN1" s="179"/>
      <c r="TPO1" s="179"/>
      <c r="TPP1" s="179"/>
      <c r="TPQ1" s="179"/>
      <c r="TPR1" s="179"/>
      <c r="TPS1" s="179"/>
      <c r="TPT1" s="179"/>
      <c r="TPU1" s="179"/>
      <c r="TPV1" s="179"/>
      <c r="TPW1" s="179"/>
      <c r="TPX1" s="179"/>
      <c r="TPY1" s="179"/>
      <c r="TPZ1" s="179"/>
      <c r="TQA1" s="179"/>
      <c r="TQB1" s="179"/>
      <c r="TQC1" s="179"/>
      <c r="TQD1" s="179"/>
      <c r="TQE1" s="179"/>
      <c r="TQF1" s="179"/>
      <c r="TQG1" s="179"/>
      <c r="TQH1" s="179"/>
      <c r="TQI1" s="179"/>
      <c r="TQJ1" s="179"/>
      <c r="TQK1" s="179"/>
      <c r="TQL1" s="179"/>
      <c r="TQM1" s="179"/>
      <c r="TQN1" s="179"/>
      <c r="TQO1" s="179"/>
      <c r="TQP1" s="179"/>
      <c r="TQQ1" s="179"/>
      <c r="TQR1" s="179"/>
      <c r="TQS1" s="179"/>
      <c r="TQT1" s="179"/>
      <c r="TQU1" s="179"/>
      <c r="TQV1" s="179"/>
      <c r="TQW1" s="179"/>
      <c r="TQX1" s="179"/>
      <c r="TQY1" s="179"/>
      <c r="TQZ1" s="179"/>
      <c r="TRA1" s="179"/>
      <c r="TRB1" s="179"/>
      <c r="TRC1" s="179"/>
      <c r="TRD1" s="179"/>
      <c r="TRE1" s="179"/>
      <c r="TRF1" s="179"/>
      <c r="TRG1" s="179"/>
      <c r="TRH1" s="179"/>
      <c r="TRI1" s="179"/>
      <c r="TRJ1" s="179"/>
      <c r="TRK1" s="179"/>
      <c r="TRL1" s="179"/>
      <c r="TRM1" s="179"/>
      <c r="TRN1" s="179"/>
      <c r="TRO1" s="179"/>
      <c r="TRP1" s="179"/>
      <c r="TRQ1" s="179"/>
      <c r="TRR1" s="179"/>
      <c r="TRS1" s="179"/>
      <c r="TRT1" s="179"/>
      <c r="TRU1" s="179"/>
      <c r="TRV1" s="179"/>
      <c r="TRW1" s="179"/>
      <c r="TRX1" s="179"/>
      <c r="TRY1" s="179"/>
      <c r="TRZ1" s="179"/>
      <c r="TSA1" s="179"/>
      <c r="TSB1" s="179"/>
      <c r="TSC1" s="179"/>
      <c r="TSD1" s="179"/>
      <c r="TSE1" s="179"/>
      <c r="TSF1" s="179"/>
      <c r="TSG1" s="179"/>
      <c r="TSH1" s="179"/>
      <c r="TSI1" s="179"/>
      <c r="TSJ1" s="179"/>
      <c r="TSK1" s="179"/>
      <c r="TSL1" s="179"/>
      <c r="TSM1" s="179"/>
      <c r="TSN1" s="179"/>
      <c r="TSO1" s="179"/>
      <c r="TSP1" s="179"/>
      <c r="TSQ1" s="179"/>
      <c r="TSR1" s="179"/>
      <c r="TSS1" s="179"/>
      <c r="TST1" s="179"/>
      <c r="TSU1" s="179"/>
      <c r="TSV1" s="179"/>
      <c r="TSW1" s="179"/>
      <c r="TSX1" s="179"/>
      <c r="TSY1" s="179"/>
      <c r="TSZ1" s="179"/>
      <c r="TTA1" s="179"/>
      <c r="TTB1" s="179"/>
      <c r="TTC1" s="179"/>
      <c r="TTD1" s="179"/>
      <c r="TTE1" s="179"/>
      <c r="TTF1" s="179"/>
      <c r="TTG1" s="179"/>
      <c r="TTH1" s="179"/>
      <c r="TTI1" s="179"/>
      <c r="TTJ1" s="179"/>
      <c r="TTK1" s="179"/>
      <c r="TTL1" s="179"/>
      <c r="TTM1" s="179"/>
      <c r="TTN1" s="179"/>
      <c r="TTO1" s="179"/>
      <c r="TTP1" s="179"/>
      <c r="TTQ1" s="179"/>
      <c r="TTR1" s="179"/>
      <c r="TTS1" s="179"/>
      <c r="TTT1" s="179"/>
      <c r="TTU1" s="179"/>
      <c r="TTV1" s="179"/>
      <c r="TTW1" s="179"/>
      <c r="TTX1" s="179"/>
      <c r="TTY1" s="179"/>
      <c r="TTZ1" s="179"/>
      <c r="TUA1" s="179"/>
      <c r="TUB1" s="179"/>
      <c r="TUC1" s="179"/>
      <c r="TUD1" s="179"/>
      <c r="TUE1" s="179"/>
      <c r="TUF1" s="179"/>
      <c r="TUG1" s="179"/>
      <c r="TUH1" s="179"/>
      <c r="TUI1" s="179"/>
      <c r="TUJ1" s="179"/>
      <c r="TUK1" s="179"/>
      <c r="TUL1" s="179"/>
      <c r="TUM1" s="179"/>
      <c r="TUN1" s="179"/>
      <c r="TUO1" s="179"/>
      <c r="TUP1" s="179"/>
      <c r="TUQ1" s="179"/>
      <c r="TUR1" s="179"/>
      <c r="TUS1" s="179"/>
      <c r="TUT1" s="179"/>
      <c r="TUU1" s="179"/>
      <c r="TUV1" s="179"/>
      <c r="TUW1" s="179"/>
      <c r="TUX1" s="179"/>
      <c r="TUY1" s="179"/>
      <c r="TUZ1" s="179"/>
      <c r="TVA1" s="179"/>
      <c r="TVB1" s="179"/>
      <c r="TVC1" s="179"/>
      <c r="TVD1" s="179"/>
      <c r="TVE1" s="179"/>
      <c r="TVF1" s="179"/>
      <c r="TVG1" s="179"/>
      <c r="TVH1" s="179"/>
      <c r="TVI1" s="179"/>
      <c r="TVJ1" s="179"/>
      <c r="TVK1" s="179"/>
      <c r="TVL1" s="179"/>
      <c r="TVM1" s="179"/>
      <c r="TVN1" s="179"/>
      <c r="TVO1" s="179"/>
      <c r="TVP1" s="179"/>
      <c r="TVQ1" s="179"/>
      <c r="TVR1" s="179"/>
      <c r="TVS1" s="179"/>
      <c r="TVT1" s="179"/>
      <c r="TVU1" s="179"/>
      <c r="TVV1" s="179"/>
      <c r="TVW1" s="179"/>
      <c r="TVX1" s="179"/>
      <c r="TVY1" s="179"/>
      <c r="TVZ1" s="179"/>
      <c r="TWA1" s="179"/>
      <c r="TWB1" s="179"/>
      <c r="TWC1" s="179"/>
      <c r="TWD1" s="179"/>
      <c r="TWE1" s="179"/>
      <c r="TWF1" s="179"/>
      <c r="TWG1" s="179"/>
      <c r="TWH1" s="179"/>
      <c r="TWI1" s="179"/>
      <c r="TWJ1" s="179"/>
      <c r="TWK1" s="179"/>
      <c r="TWL1" s="179"/>
      <c r="TWM1" s="179"/>
      <c r="TWN1" s="179"/>
      <c r="TWO1" s="179"/>
      <c r="TWP1" s="179"/>
      <c r="TWQ1" s="179"/>
      <c r="TWR1" s="179"/>
      <c r="TWS1" s="179"/>
      <c r="TWT1" s="179"/>
      <c r="TWU1" s="179"/>
      <c r="TWV1" s="179"/>
      <c r="TWW1" s="179"/>
      <c r="TWX1" s="179"/>
      <c r="TWY1" s="179"/>
      <c r="TWZ1" s="179"/>
      <c r="TXA1" s="179"/>
      <c r="TXB1" s="179"/>
      <c r="TXC1" s="179"/>
      <c r="TXD1" s="179"/>
      <c r="TXE1" s="179"/>
      <c r="TXF1" s="179"/>
      <c r="TXG1" s="179"/>
      <c r="TXH1" s="179"/>
      <c r="TXI1" s="179"/>
      <c r="TXJ1" s="179"/>
      <c r="TXK1" s="179"/>
      <c r="TXL1" s="179"/>
      <c r="TXM1" s="179"/>
      <c r="TXN1" s="179"/>
      <c r="TXO1" s="179"/>
      <c r="TXP1" s="179"/>
      <c r="TXQ1" s="179"/>
      <c r="TXR1" s="179"/>
      <c r="TXS1" s="179"/>
      <c r="TXT1" s="179"/>
      <c r="TXU1" s="179"/>
      <c r="TXV1" s="179"/>
      <c r="TXW1" s="179"/>
      <c r="TXX1" s="179"/>
      <c r="TXY1" s="179"/>
      <c r="TXZ1" s="179"/>
      <c r="TYA1" s="179"/>
      <c r="TYB1" s="179"/>
      <c r="TYC1" s="179"/>
      <c r="TYD1" s="179"/>
      <c r="TYE1" s="179"/>
      <c r="TYF1" s="179"/>
      <c r="TYG1" s="179"/>
      <c r="TYH1" s="179"/>
      <c r="TYI1" s="179"/>
      <c r="TYJ1" s="179"/>
      <c r="TYK1" s="179"/>
      <c r="TYL1" s="179"/>
      <c r="TYM1" s="179"/>
      <c r="TYN1" s="179"/>
      <c r="TYO1" s="179"/>
      <c r="TYP1" s="179"/>
      <c r="TYQ1" s="179"/>
      <c r="TYR1" s="179"/>
      <c r="TYS1" s="179"/>
      <c r="TYT1" s="179"/>
      <c r="TYU1" s="179"/>
      <c r="TYV1" s="179"/>
      <c r="TYW1" s="179"/>
      <c r="TYX1" s="179"/>
      <c r="TYY1" s="179"/>
      <c r="TYZ1" s="179"/>
      <c r="TZA1" s="179"/>
      <c r="TZB1" s="179"/>
      <c r="TZC1" s="179"/>
      <c r="TZD1" s="179"/>
      <c r="TZE1" s="179"/>
      <c r="TZF1" s="179"/>
      <c r="TZG1" s="179"/>
      <c r="TZH1" s="179"/>
      <c r="TZI1" s="179"/>
      <c r="TZJ1" s="179"/>
      <c r="TZK1" s="179"/>
      <c r="TZL1" s="179"/>
      <c r="TZM1" s="179"/>
      <c r="TZN1" s="179"/>
      <c r="TZO1" s="179"/>
      <c r="TZP1" s="179"/>
      <c r="TZQ1" s="179"/>
      <c r="TZR1" s="179"/>
      <c r="TZS1" s="179"/>
      <c r="TZT1" s="179"/>
      <c r="TZU1" s="179"/>
      <c r="TZV1" s="179"/>
      <c r="TZW1" s="179"/>
      <c r="TZX1" s="179"/>
      <c r="TZY1" s="179"/>
      <c r="TZZ1" s="179"/>
      <c r="UAA1" s="179"/>
      <c r="UAB1" s="179"/>
      <c r="UAC1" s="179"/>
      <c r="UAD1" s="179"/>
      <c r="UAE1" s="179"/>
      <c r="UAF1" s="179"/>
      <c r="UAG1" s="179"/>
      <c r="UAH1" s="179"/>
      <c r="UAI1" s="179"/>
      <c r="UAJ1" s="179"/>
      <c r="UAK1" s="179"/>
      <c r="UAL1" s="179"/>
      <c r="UAM1" s="179"/>
      <c r="UAN1" s="179"/>
      <c r="UAO1" s="179"/>
      <c r="UAP1" s="179"/>
      <c r="UAQ1" s="179"/>
      <c r="UAR1" s="179"/>
      <c r="UAS1" s="179"/>
      <c r="UAT1" s="179"/>
      <c r="UAU1" s="179"/>
      <c r="UAV1" s="179"/>
      <c r="UAW1" s="179"/>
      <c r="UAX1" s="179"/>
      <c r="UAY1" s="179"/>
      <c r="UAZ1" s="179"/>
      <c r="UBA1" s="179"/>
      <c r="UBB1" s="179"/>
      <c r="UBC1" s="179"/>
      <c r="UBD1" s="179"/>
      <c r="UBE1" s="179"/>
      <c r="UBF1" s="179"/>
      <c r="UBG1" s="179"/>
      <c r="UBH1" s="179"/>
      <c r="UBI1" s="179"/>
      <c r="UBJ1" s="179"/>
      <c r="UBK1" s="179"/>
      <c r="UBL1" s="179"/>
      <c r="UBM1" s="179"/>
      <c r="UBN1" s="179"/>
      <c r="UBO1" s="179"/>
      <c r="UBP1" s="179"/>
      <c r="UBQ1" s="179"/>
      <c r="UBR1" s="179"/>
      <c r="UBS1" s="179"/>
      <c r="UBT1" s="179"/>
      <c r="UBU1" s="179"/>
      <c r="UBV1" s="179"/>
      <c r="UBW1" s="179"/>
      <c r="UBX1" s="179"/>
      <c r="UBY1" s="179"/>
      <c r="UBZ1" s="179"/>
      <c r="UCA1" s="179"/>
      <c r="UCB1" s="179"/>
      <c r="UCC1" s="179"/>
      <c r="UCD1" s="179"/>
      <c r="UCE1" s="179"/>
      <c r="UCF1" s="179"/>
      <c r="UCG1" s="179"/>
      <c r="UCH1" s="179"/>
      <c r="UCI1" s="179"/>
      <c r="UCJ1" s="179"/>
      <c r="UCK1" s="179"/>
      <c r="UCL1" s="179"/>
      <c r="UCM1" s="179"/>
      <c r="UCN1" s="179"/>
      <c r="UCO1" s="179"/>
      <c r="UCP1" s="179"/>
      <c r="UCQ1" s="179"/>
      <c r="UCR1" s="179"/>
      <c r="UCS1" s="179"/>
      <c r="UCT1" s="179"/>
      <c r="UCU1" s="179"/>
      <c r="UCV1" s="179"/>
      <c r="UCW1" s="179"/>
      <c r="UCX1" s="179"/>
      <c r="UCY1" s="179"/>
      <c r="UCZ1" s="179"/>
      <c r="UDA1" s="179"/>
      <c r="UDB1" s="179"/>
      <c r="UDC1" s="179"/>
      <c r="UDD1" s="179"/>
      <c r="UDE1" s="179"/>
      <c r="UDF1" s="179"/>
      <c r="UDG1" s="179"/>
      <c r="UDH1" s="179"/>
      <c r="UDI1" s="179"/>
      <c r="UDJ1" s="179"/>
      <c r="UDK1" s="179"/>
      <c r="UDL1" s="179"/>
      <c r="UDM1" s="179"/>
      <c r="UDN1" s="179"/>
      <c r="UDO1" s="179"/>
      <c r="UDP1" s="179"/>
      <c r="UDQ1" s="179"/>
      <c r="UDR1" s="179"/>
      <c r="UDS1" s="179"/>
      <c r="UDT1" s="179"/>
      <c r="UDU1" s="179"/>
      <c r="UDV1" s="179"/>
      <c r="UDW1" s="179"/>
      <c r="UDX1" s="179"/>
      <c r="UDY1" s="179"/>
      <c r="UDZ1" s="179"/>
      <c r="UEA1" s="179"/>
      <c r="UEB1" s="179"/>
      <c r="UEC1" s="179"/>
      <c r="UED1" s="179"/>
      <c r="UEE1" s="179"/>
      <c r="UEF1" s="179"/>
      <c r="UEG1" s="179"/>
      <c r="UEH1" s="179"/>
      <c r="UEI1" s="179"/>
      <c r="UEJ1" s="179"/>
      <c r="UEK1" s="179"/>
      <c r="UEL1" s="179"/>
      <c r="UEM1" s="179"/>
      <c r="UEN1" s="179"/>
      <c r="UEO1" s="179"/>
      <c r="UEP1" s="179"/>
      <c r="UEQ1" s="179"/>
      <c r="UER1" s="179"/>
      <c r="UES1" s="179"/>
      <c r="UET1" s="179"/>
      <c r="UEU1" s="179"/>
      <c r="UEV1" s="179"/>
      <c r="UEW1" s="179"/>
      <c r="UEX1" s="179"/>
      <c r="UEY1" s="179"/>
      <c r="UEZ1" s="179"/>
      <c r="UFA1" s="179"/>
      <c r="UFB1" s="179"/>
      <c r="UFC1" s="179"/>
      <c r="UFD1" s="179"/>
      <c r="UFE1" s="179"/>
      <c r="UFF1" s="179"/>
      <c r="UFG1" s="179"/>
      <c r="UFH1" s="179"/>
      <c r="UFI1" s="179"/>
      <c r="UFJ1" s="179"/>
      <c r="UFK1" s="179"/>
      <c r="UFL1" s="179"/>
      <c r="UFM1" s="179"/>
      <c r="UFN1" s="179"/>
      <c r="UFO1" s="179"/>
      <c r="UFP1" s="179"/>
      <c r="UFQ1" s="179"/>
      <c r="UFR1" s="179"/>
      <c r="UFS1" s="179"/>
      <c r="UFT1" s="179"/>
      <c r="UFU1" s="179"/>
      <c r="UFV1" s="179"/>
      <c r="UFW1" s="179"/>
      <c r="UFX1" s="179"/>
      <c r="UFY1" s="179"/>
      <c r="UFZ1" s="179"/>
      <c r="UGA1" s="179"/>
      <c r="UGB1" s="179"/>
      <c r="UGC1" s="179"/>
      <c r="UGD1" s="179"/>
      <c r="UGE1" s="179"/>
      <c r="UGF1" s="179"/>
      <c r="UGG1" s="179"/>
      <c r="UGH1" s="179"/>
      <c r="UGI1" s="179"/>
      <c r="UGJ1" s="179"/>
      <c r="UGK1" s="179"/>
      <c r="UGL1" s="179"/>
      <c r="UGM1" s="179"/>
      <c r="UGN1" s="179"/>
      <c r="UGO1" s="179"/>
      <c r="UGP1" s="179"/>
      <c r="UGQ1" s="179"/>
      <c r="UGR1" s="179"/>
      <c r="UGS1" s="179"/>
      <c r="UGT1" s="179"/>
      <c r="UGU1" s="179"/>
      <c r="UGV1" s="179"/>
      <c r="UGW1" s="179"/>
      <c r="UGX1" s="179"/>
      <c r="UGY1" s="179"/>
      <c r="UGZ1" s="179"/>
      <c r="UHA1" s="179"/>
      <c r="UHB1" s="179"/>
      <c r="UHC1" s="179"/>
      <c r="UHD1" s="179"/>
      <c r="UHE1" s="179"/>
      <c r="UHF1" s="179"/>
      <c r="UHG1" s="179"/>
      <c r="UHH1" s="179"/>
      <c r="UHI1" s="179"/>
      <c r="UHJ1" s="179"/>
      <c r="UHK1" s="179"/>
      <c r="UHL1" s="179"/>
      <c r="UHM1" s="179"/>
      <c r="UHN1" s="179"/>
      <c r="UHO1" s="179"/>
      <c r="UHP1" s="179"/>
      <c r="UHQ1" s="179"/>
      <c r="UHR1" s="179"/>
      <c r="UHS1" s="179"/>
      <c r="UHT1" s="179"/>
      <c r="UHU1" s="179"/>
      <c r="UHV1" s="179"/>
      <c r="UHW1" s="179"/>
      <c r="UHX1" s="179"/>
      <c r="UHY1" s="179"/>
      <c r="UHZ1" s="179"/>
      <c r="UIA1" s="179"/>
      <c r="UIB1" s="179"/>
      <c r="UIC1" s="179"/>
      <c r="UID1" s="179"/>
      <c r="UIE1" s="179"/>
      <c r="UIF1" s="179"/>
      <c r="UIG1" s="179"/>
      <c r="UIH1" s="179"/>
      <c r="UII1" s="179"/>
      <c r="UIJ1" s="179"/>
      <c r="UIK1" s="179"/>
      <c r="UIL1" s="179"/>
      <c r="UIM1" s="179"/>
      <c r="UIN1" s="179"/>
      <c r="UIO1" s="179"/>
      <c r="UIP1" s="179"/>
      <c r="UIQ1" s="179"/>
      <c r="UIR1" s="179"/>
      <c r="UIS1" s="179"/>
      <c r="UIT1" s="179"/>
      <c r="UIU1" s="179"/>
      <c r="UIV1" s="179"/>
      <c r="UIW1" s="179"/>
      <c r="UIX1" s="179"/>
      <c r="UIY1" s="179"/>
      <c r="UIZ1" s="179"/>
      <c r="UJA1" s="179"/>
      <c r="UJB1" s="179"/>
      <c r="UJC1" s="179"/>
      <c r="UJD1" s="179"/>
      <c r="UJE1" s="179"/>
      <c r="UJF1" s="179"/>
      <c r="UJG1" s="179"/>
      <c r="UJH1" s="179"/>
      <c r="UJI1" s="179"/>
      <c r="UJJ1" s="179"/>
      <c r="UJK1" s="179"/>
      <c r="UJL1" s="179"/>
      <c r="UJM1" s="179"/>
      <c r="UJN1" s="179"/>
      <c r="UJO1" s="179"/>
      <c r="UJP1" s="179"/>
      <c r="UJQ1" s="179"/>
      <c r="UJR1" s="179"/>
      <c r="UJS1" s="179"/>
      <c r="UJT1" s="179"/>
      <c r="UJU1" s="179"/>
      <c r="UJV1" s="179"/>
      <c r="UJW1" s="179"/>
      <c r="UJX1" s="179"/>
      <c r="UJY1" s="179"/>
      <c r="UJZ1" s="179"/>
      <c r="UKA1" s="179"/>
      <c r="UKB1" s="179"/>
      <c r="UKC1" s="179"/>
      <c r="UKD1" s="179"/>
      <c r="UKE1" s="179"/>
      <c r="UKF1" s="179"/>
      <c r="UKG1" s="179"/>
      <c r="UKH1" s="179"/>
      <c r="UKI1" s="179"/>
      <c r="UKJ1" s="179"/>
      <c r="UKK1" s="179"/>
      <c r="UKL1" s="179"/>
      <c r="UKM1" s="179"/>
      <c r="UKN1" s="179"/>
      <c r="UKO1" s="179"/>
      <c r="UKP1" s="179"/>
      <c r="UKQ1" s="179"/>
      <c r="UKR1" s="179"/>
      <c r="UKS1" s="179"/>
      <c r="UKT1" s="179"/>
      <c r="UKU1" s="179"/>
      <c r="UKV1" s="179"/>
      <c r="UKW1" s="179"/>
      <c r="UKX1" s="179"/>
      <c r="UKY1" s="179"/>
      <c r="UKZ1" s="179"/>
      <c r="ULA1" s="179"/>
      <c r="ULB1" s="179"/>
      <c r="ULC1" s="179"/>
      <c r="ULD1" s="179"/>
      <c r="ULE1" s="179"/>
      <c r="ULF1" s="179"/>
      <c r="ULG1" s="179"/>
      <c r="ULH1" s="179"/>
      <c r="ULI1" s="179"/>
      <c r="ULJ1" s="179"/>
      <c r="ULK1" s="179"/>
      <c r="ULL1" s="179"/>
      <c r="ULM1" s="179"/>
      <c r="ULN1" s="179"/>
      <c r="ULO1" s="179"/>
      <c r="ULP1" s="179"/>
      <c r="ULQ1" s="179"/>
      <c r="ULR1" s="179"/>
      <c r="ULS1" s="179"/>
      <c r="ULT1" s="179"/>
      <c r="ULU1" s="179"/>
      <c r="ULV1" s="179"/>
      <c r="ULW1" s="179"/>
      <c r="ULX1" s="179"/>
      <c r="ULY1" s="179"/>
      <c r="ULZ1" s="179"/>
      <c r="UMA1" s="179"/>
      <c r="UMB1" s="179"/>
      <c r="UMC1" s="179"/>
      <c r="UMD1" s="179"/>
      <c r="UME1" s="179"/>
      <c r="UMF1" s="179"/>
      <c r="UMG1" s="179"/>
      <c r="UMH1" s="179"/>
      <c r="UMI1" s="179"/>
      <c r="UMJ1" s="179"/>
      <c r="UMK1" s="179"/>
      <c r="UML1" s="179"/>
      <c r="UMM1" s="179"/>
      <c r="UMN1" s="179"/>
      <c r="UMO1" s="179"/>
      <c r="UMP1" s="179"/>
      <c r="UMQ1" s="179"/>
      <c r="UMR1" s="179"/>
      <c r="UMS1" s="179"/>
      <c r="UMT1" s="179"/>
      <c r="UMU1" s="179"/>
      <c r="UMV1" s="179"/>
      <c r="UMW1" s="179"/>
      <c r="UMX1" s="179"/>
      <c r="UMY1" s="179"/>
      <c r="UMZ1" s="179"/>
      <c r="UNA1" s="179"/>
      <c r="UNB1" s="179"/>
      <c r="UNC1" s="179"/>
      <c r="UND1" s="179"/>
      <c r="UNE1" s="179"/>
      <c r="UNF1" s="179"/>
      <c r="UNG1" s="179"/>
      <c r="UNH1" s="179"/>
      <c r="UNI1" s="179"/>
      <c r="UNJ1" s="179"/>
      <c r="UNK1" s="179"/>
      <c r="UNL1" s="179"/>
      <c r="UNM1" s="179"/>
      <c r="UNN1" s="179"/>
      <c r="UNO1" s="179"/>
      <c r="UNP1" s="179"/>
      <c r="UNQ1" s="179"/>
      <c r="UNR1" s="179"/>
      <c r="UNS1" s="179"/>
      <c r="UNT1" s="179"/>
      <c r="UNU1" s="179"/>
      <c r="UNV1" s="179"/>
      <c r="UNW1" s="179"/>
      <c r="UNX1" s="179"/>
      <c r="UNY1" s="179"/>
      <c r="UNZ1" s="179"/>
      <c r="UOA1" s="179"/>
      <c r="UOB1" s="179"/>
      <c r="UOC1" s="179"/>
      <c r="UOD1" s="179"/>
      <c r="UOE1" s="179"/>
      <c r="UOF1" s="179"/>
      <c r="UOG1" s="179"/>
      <c r="UOH1" s="179"/>
      <c r="UOI1" s="179"/>
      <c r="UOJ1" s="179"/>
      <c r="UOK1" s="179"/>
      <c r="UOL1" s="179"/>
      <c r="UOM1" s="179"/>
      <c r="UON1" s="179"/>
      <c r="UOO1" s="179"/>
      <c r="UOP1" s="179"/>
      <c r="UOQ1" s="179"/>
      <c r="UOR1" s="179"/>
      <c r="UOS1" s="179"/>
      <c r="UOT1" s="179"/>
      <c r="UOU1" s="179"/>
      <c r="UOV1" s="179"/>
      <c r="UOW1" s="179"/>
      <c r="UOX1" s="179"/>
      <c r="UOY1" s="179"/>
      <c r="UOZ1" s="179"/>
      <c r="UPA1" s="179"/>
      <c r="UPB1" s="179"/>
      <c r="UPC1" s="179"/>
      <c r="UPD1" s="179"/>
      <c r="UPE1" s="179"/>
      <c r="UPF1" s="179"/>
      <c r="UPG1" s="179"/>
      <c r="UPH1" s="179"/>
      <c r="UPI1" s="179"/>
      <c r="UPJ1" s="179"/>
      <c r="UPK1" s="179"/>
      <c r="UPL1" s="179"/>
      <c r="UPM1" s="179"/>
      <c r="UPN1" s="179"/>
      <c r="UPO1" s="179"/>
      <c r="UPP1" s="179"/>
      <c r="UPQ1" s="179"/>
      <c r="UPR1" s="179"/>
      <c r="UPS1" s="179"/>
      <c r="UPT1" s="179"/>
      <c r="UPU1" s="179"/>
      <c r="UPV1" s="179"/>
      <c r="UPW1" s="179"/>
      <c r="UPX1" s="179"/>
      <c r="UPY1" s="179"/>
      <c r="UPZ1" s="179"/>
      <c r="UQA1" s="179"/>
      <c r="UQB1" s="179"/>
      <c r="UQC1" s="179"/>
      <c r="UQD1" s="179"/>
      <c r="UQE1" s="179"/>
      <c r="UQF1" s="179"/>
      <c r="UQG1" s="179"/>
      <c r="UQH1" s="179"/>
      <c r="UQI1" s="179"/>
      <c r="UQJ1" s="179"/>
      <c r="UQK1" s="179"/>
      <c r="UQL1" s="179"/>
      <c r="UQM1" s="179"/>
      <c r="UQN1" s="179"/>
      <c r="UQO1" s="179"/>
      <c r="UQP1" s="179"/>
      <c r="UQQ1" s="179"/>
      <c r="UQR1" s="179"/>
      <c r="UQS1" s="179"/>
      <c r="UQT1" s="179"/>
      <c r="UQU1" s="179"/>
      <c r="UQV1" s="179"/>
      <c r="UQW1" s="179"/>
      <c r="UQX1" s="179"/>
      <c r="UQY1" s="179"/>
      <c r="UQZ1" s="179"/>
      <c r="URA1" s="179"/>
      <c r="URB1" s="179"/>
      <c r="URC1" s="179"/>
      <c r="URD1" s="179"/>
      <c r="URE1" s="179"/>
      <c r="URF1" s="179"/>
      <c r="URG1" s="179"/>
      <c r="URH1" s="179"/>
      <c r="URI1" s="179"/>
      <c r="URJ1" s="179"/>
      <c r="URK1" s="179"/>
      <c r="URL1" s="179"/>
      <c r="URM1" s="179"/>
      <c r="URN1" s="179"/>
      <c r="URO1" s="179"/>
      <c r="URP1" s="179"/>
      <c r="URQ1" s="179"/>
      <c r="URR1" s="179"/>
      <c r="URS1" s="179"/>
      <c r="URT1" s="179"/>
      <c r="URU1" s="179"/>
      <c r="URV1" s="179"/>
      <c r="URW1" s="179"/>
      <c r="URX1" s="179"/>
      <c r="URY1" s="179"/>
      <c r="URZ1" s="179"/>
      <c r="USA1" s="179"/>
      <c r="USB1" s="179"/>
      <c r="USC1" s="179"/>
      <c r="USD1" s="179"/>
      <c r="USE1" s="179"/>
      <c r="USF1" s="179"/>
      <c r="USG1" s="179"/>
      <c r="USH1" s="179"/>
      <c r="USI1" s="179"/>
      <c r="USJ1" s="179"/>
      <c r="USK1" s="179"/>
      <c r="USL1" s="179"/>
      <c r="USM1" s="179"/>
      <c r="USN1" s="179"/>
      <c r="USO1" s="179"/>
      <c r="USP1" s="179"/>
      <c r="USQ1" s="179"/>
      <c r="USR1" s="179"/>
      <c r="USS1" s="179"/>
      <c r="UST1" s="179"/>
      <c r="USU1" s="179"/>
      <c r="USV1" s="179"/>
      <c r="USW1" s="179"/>
      <c r="USX1" s="179"/>
      <c r="USY1" s="179"/>
      <c r="USZ1" s="179"/>
      <c r="UTA1" s="179"/>
      <c r="UTB1" s="179"/>
      <c r="UTC1" s="179"/>
      <c r="UTD1" s="179"/>
      <c r="UTE1" s="179"/>
      <c r="UTF1" s="179"/>
      <c r="UTG1" s="179"/>
      <c r="UTH1" s="179"/>
      <c r="UTI1" s="179"/>
      <c r="UTJ1" s="179"/>
      <c r="UTK1" s="179"/>
      <c r="UTL1" s="179"/>
      <c r="UTM1" s="179"/>
      <c r="UTN1" s="179"/>
      <c r="UTO1" s="179"/>
      <c r="UTP1" s="179"/>
      <c r="UTQ1" s="179"/>
      <c r="UTR1" s="179"/>
      <c r="UTS1" s="179"/>
      <c r="UTT1" s="179"/>
      <c r="UTU1" s="179"/>
      <c r="UTV1" s="179"/>
      <c r="UTW1" s="179"/>
      <c r="UTX1" s="179"/>
      <c r="UTY1" s="179"/>
      <c r="UTZ1" s="179"/>
      <c r="UUA1" s="179"/>
      <c r="UUB1" s="179"/>
      <c r="UUC1" s="179"/>
      <c r="UUD1" s="179"/>
      <c r="UUE1" s="179"/>
      <c r="UUF1" s="179"/>
      <c r="UUG1" s="179"/>
      <c r="UUH1" s="179"/>
      <c r="UUI1" s="179"/>
      <c r="UUJ1" s="179"/>
      <c r="UUK1" s="179"/>
      <c r="UUL1" s="179"/>
      <c r="UUM1" s="179"/>
      <c r="UUN1" s="179"/>
      <c r="UUO1" s="179"/>
      <c r="UUP1" s="179"/>
      <c r="UUQ1" s="179"/>
      <c r="UUR1" s="179"/>
      <c r="UUS1" s="179"/>
      <c r="UUT1" s="179"/>
      <c r="UUU1" s="179"/>
      <c r="UUV1" s="179"/>
      <c r="UUW1" s="179"/>
      <c r="UUX1" s="179"/>
      <c r="UUY1" s="179"/>
      <c r="UUZ1" s="179"/>
      <c r="UVA1" s="179"/>
      <c r="UVB1" s="179"/>
      <c r="UVC1" s="179"/>
      <c r="UVD1" s="179"/>
      <c r="UVE1" s="179"/>
      <c r="UVF1" s="179"/>
      <c r="UVG1" s="179"/>
      <c r="UVH1" s="179"/>
      <c r="UVI1" s="179"/>
      <c r="UVJ1" s="179"/>
      <c r="UVK1" s="179"/>
      <c r="UVL1" s="179"/>
      <c r="UVM1" s="179"/>
      <c r="UVN1" s="179"/>
      <c r="UVO1" s="179"/>
      <c r="UVP1" s="179"/>
      <c r="UVQ1" s="179"/>
      <c r="UVR1" s="179"/>
      <c r="UVS1" s="179"/>
      <c r="UVT1" s="179"/>
      <c r="UVU1" s="179"/>
      <c r="UVV1" s="179"/>
      <c r="UVW1" s="179"/>
      <c r="UVX1" s="179"/>
      <c r="UVY1" s="179"/>
      <c r="UVZ1" s="179"/>
      <c r="UWA1" s="179"/>
      <c r="UWB1" s="179"/>
      <c r="UWC1" s="179"/>
      <c r="UWD1" s="179"/>
      <c r="UWE1" s="179"/>
      <c r="UWF1" s="179"/>
      <c r="UWG1" s="179"/>
      <c r="UWH1" s="179"/>
      <c r="UWI1" s="179"/>
      <c r="UWJ1" s="179"/>
      <c r="UWK1" s="179"/>
      <c r="UWL1" s="179"/>
      <c r="UWM1" s="179"/>
      <c r="UWN1" s="179"/>
      <c r="UWO1" s="179"/>
      <c r="UWP1" s="179"/>
      <c r="UWQ1" s="179"/>
      <c r="UWR1" s="179"/>
      <c r="UWS1" s="179"/>
      <c r="UWT1" s="179"/>
      <c r="UWU1" s="179"/>
      <c r="UWV1" s="179"/>
      <c r="UWW1" s="179"/>
      <c r="UWX1" s="179"/>
      <c r="UWY1" s="179"/>
      <c r="UWZ1" s="179"/>
      <c r="UXA1" s="179"/>
      <c r="UXB1" s="179"/>
      <c r="UXC1" s="179"/>
      <c r="UXD1" s="179"/>
      <c r="UXE1" s="179"/>
      <c r="UXF1" s="179"/>
      <c r="UXG1" s="179"/>
      <c r="UXH1" s="179"/>
      <c r="UXI1" s="179"/>
      <c r="UXJ1" s="179"/>
      <c r="UXK1" s="179"/>
      <c r="UXL1" s="179"/>
      <c r="UXM1" s="179"/>
      <c r="UXN1" s="179"/>
      <c r="UXO1" s="179"/>
      <c r="UXP1" s="179"/>
      <c r="UXQ1" s="179"/>
      <c r="UXR1" s="179"/>
      <c r="UXS1" s="179"/>
      <c r="UXT1" s="179"/>
      <c r="UXU1" s="179"/>
      <c r="UXV1" s="179"/>
      <c r="UXW1" s="179"/>
      <c r="UXX1" s="179"/>
      <c r="UXY1" s="179"/>
      <c r="UXZ1" s="179"/>
      <c r="UYA1" s="179"/>
      <c r="UYB1" s="179"/>
      <c r="UYC1" s="179"/>
      <c r="UYD1" s="179"/>
      <c r="UYE1" s="179"/>
      <c r="UYF1" s="179"/>
      <c r="UYG1" s="179"/>
      <c r="UYH1" s="179"/>
      <c r="UYI1" s="179"/>
      <c r="UYJ1" s="179"/>
      <c r="UYK1" s="179"/>
      <c r="UYL1" s="179"/>
      <c r="UYM1" s="179"/>
      <c r="UYN1" s="179"/>
      <c r="UYO1" s="179"/>
      <c r="UYP1" s="179"/>
      <c r="UYQ1" s="179"/>
      <c r="UYR1" s="179"/>
      <c r="UYS1" s="179"/>
      <c r="UYT1" s="179"/>
      <c r="UYU1" s="179"/>
      <c r="UYV1" s="179"/>
      <c r="UYW1" s="179"/>
      <c r="UYX1" s="179"/>
      <c r="UYY1" s="179"/>
      <c r="UYZ1" s="179"/>
      <c r="UZA1" s="179"/>
      <c r="UZB1" s="179"/>
      <c r="UZC1" s="179"/>
      <c r="UZD1" s="179"/>
      <c r="UZE1" s="179"/>
      <c r="UZF1" s="179"/>
      <c r="UZG1" s="179"/>
      <c r="UZH1" s="179"/>
      <c r="UZI1" s="179"/>
      <c r="UZJ1" s="179"/>
      <c r="UZK1" s="179"/>
      <c r="UZL1" s="179"/>
      <c r="UZM1" s="179"/>
      <c r="UZN1" s="179"/>
      <c r="UZO1" s="179"/>
      <c r="UZP1" s="179"/>
      <c r="UZQ1" s="179"/>
      <c r="UZR1" s="179"/>
      <c r="UZS1" s="179"/>
      <c r="UZT1" s="179"/>
      <c r="UZU1" s="179"/>
      <c r="UZV1" s="179"/>
      <c r="UZW1" s="179"/>
      <c r="UZX1" s="179"/>
      <c r="UZY1" s="179"/>
      <c r="UZZ1" s="179"/>
      <c r="VAA1" s="179"/>
      <c r="VAB1" s="179"/>
      <c r="VAC1" s="179"/>
      <c r="VAD1" s="179"/>
      <c r="VAE1" s="179"/>
      <c r="VAF1" s="179"/>
      <c r="VAG1" s="179"/>
      <c r="VAH1" s="179"/>
      <c r="VAI1" s="179"/>
      <c r="VAJ1" s="179"/>
      <c r="VAK1" s="179"/>
      <c r="VAL1" s="179"/>
      <c r="VAM1" s="179"/>
      <c r="VAN1" s="179"/>
      <c r="VAO1" s="179"/>
      <c r="VAP1" s="179"/>
      <c r="VAQ1" s="179"/>
      <c r="VAR1" s="179"/>
      <c r="VAS1" s="179"/>
      <c r="VAT1" s="179"/>
      <c r="VAU1" s="179"/>
      <c r="VAV1" s="179"/>
      <c r="VAW1" s="179"/>
      <c r="VAX1" s="179"/>
      <c r="VAY1" s="179"/>
      <c r="VAZ1" s="179"/>
      <c r="VBA1" s="179"/>
      <c r="VBB1" s="179"/>
      <c r="VBC1" s="179"/>
      <c r="VBD1" s="179"/>
      <c r="VBE1" s="179"/>
      <c r="VBF1" s="179"/>
      <c r="VBG1" s="179"/>
      <c r="VBH1" s="179"/>
      <c r="VBI1" s="179"/>
      <c r="VBJ1" s="179"/>
      <c r="VBK1" s="179"/>
      <c r="VBL1" s="179"/>
      <c r="VBM1" s="179"/>
      <c r="VBN1" s="179"/>
      <c r="VBO1" s="179"/>
      <c r="VBP1" s="179"/>
      <c r="VBQ1" s="179"/>
      <c r="VBR1" s="179"/>
      <c r="VBS1" s="179"/>
      <c r="VBT1" s="179"/>
      <c r="VBU1" s="179"/>
      <c r="VBV1" s="179"/>
      <c r="VBW1" s="179"/>
      <c r="VBX1" s="179"/>
      <c r="VBY1" s="179"/>
      <c r="VBZ1" s="179"/>
      <c r="VCA1" s="179"/>
      <c r="VCB1" s="179"/>
      <c r="VCC1" s="179"/>
      <c r="VCD1" s="179"/>
      <c r="VCE1" s="179"/>
      <c r="VCF1" s="179"/>
      <c r="VCG1" s="179"/>
      <c r="VCH1" s="179"/>
      <c r="VCI1" s="179"/>
      <c r="VCJ1" s="179"/>
      <c r="VCK1" s="179"/>
      <c r="VCL1" s="179"/>
      <c r="VCM1" s="179"/>
      <c r="VCN1" s="179"/>
      <c r="VCO1" s="179"/>
      <c r="VCP1" s="179"/>
      <c r="VCQ1" s="179"/>
      <c r="VCR1" s="179"/>
      <c r="VCS1" s="179"/>
      <c r="VCT1" s="179"/>
      <c r="VCU1" s="179"/>
      <c r="VCV1" s="179"/>
      <c r="VCW1" s="179"/>
      <c r="VCX1" s="179"/>
      <c r="VCY1" s="179"/>
      <c r="VCZ1" s="179"/>
      <c r="VDA1" s="179"/>
      <c r="VDB1" s="179"/>
      <c r="VDC1" s="179"/>
      <c r="VDD1" s="179"/>
      <c r="VDE1" s="179"/>
      <c r="VDF1" s="179"/>
      <c r="VDG1" s="179"/>
      <c r="VDH1" s="179"/>
      <c r="VDI1" s="179"/>
      <c r="VDJ1" s="179"/>
      <c r="VDK1" s="179"/>
      <c r="VDL1" s="179"/>
      <c r="VDM1" s="179"/>
      <c r="VDN1" s="179"/>
      <c r="VDO1" s="179"/>
      <c r="VDP1" s="179"/>
      <c r="VDQ1" s="179"/>
      <c r="VDR1" s="179"/>
      <c r="VDS1" s="179"/>
      <c r="VDT1" s="179"/>
      <c r="VDU1" s="179"/>
      <c r="VDV1" s="179"/>
      <c r="VDW1" s="179"/>
      <c r="VDX1" s="179"/>
      <c r="VDY1" s="179"/>
      <c r="VDZ1" s="179"/>
      <c r="VEA1" s="179"/>
      <c r="VEB1" s="179"/>
      <c r="VEC1" s="179"/>
      <c r="VED1" s="179"/>
      <c r="VEE1" s="179"/>
      <c r="VEF1" s="179"/>
      <c r="VEG1" s="179"/>
      <c r="VEH1" s="179"/>
      <c r="VEI1" s="179"/>
      <c r="VEJ1" s="179"/>
      <c r="VEK1" s="179"/>
      <c r="VEL1" s="179"/>
      <c r="VEM1" s="179"/>
      <c r="VEN1" s="179"/>
      <c r="VEO1" s="179"/>
      <c r="VEP1" s="179"/>
      <c r="VEQ1" s="179"/>
      <c r="VER1" s="179"/>
      <c r="VES1" s="179"/>
      <c r="VET1" s="179"/>
      <c r="VEU1" s="179"/>
      <c r="VEV1" s="179"/>
      <c r="VEW1" s="179"/>
      <c r="VEX1" s="179"/>
      <c r="VEY1" s="179"/>
      <c r="VEZ1" s="179"/>
      <c r="VFA1" s="179"/>
      <c r="VFB1" s="179"/>
      <c r="VFC1" s="179"/>
      <c r="VFD1" s="179"/>
      <c r="VFE1" s="179"/>
      <c r="VFF1" s="179"/>
      <c r="VFG1" s="179"/>
      <c r="VFH1" s="179"/>
      <c r="VFI1" s="179"/>
      <c r="VFJ1" s="179"/>
      <c r="VFK1" s="179"/>
      <c r="VFL1" s="179"/>
      <c r="VFM1" s="179"/>
      <c r="VFN1" s="179"/>
      <c r="VFO1" s="179"/>
      <c r="VFP1" s="179"/>
      <c r="VFQ1" s="179"/>
      <c r="VFR1" s="179"/>
      <c r="VFS1" s="179"/>
      <c r="VFT1" s="179"/>
      <c r="VFU1" s="179"/>
      <c r="VFV1" s="179"/>
      <c r="VFW1" s="179"/>
      <c r="VFX1" s="179"/>
      <c r="VFY1" s="179"/>
      <c r="VFZ1" s="179"/>
      <c r="VGA1" s="179"/>
      <c r="VGB1" s="179"/>
      <c r="VGC1" s="179"/>
      <c r="VGD1" s="179"/>
      <c r="VGE1" s="179"/>
      <c r="VGF1" s="179"/>
      <c r="VGG1" s="179"/>
      <c r="VGH1" s="179"/>
      <c r="VGI1" s="179"/>
      <c r="VGJ1" s="179"/>
      <c r="VGK1" s="179"/>
      <c r="VGL1" s="179"/>
      <c r="VGM1" s="179"/>
      <c r="VGN1" s="179"/>
      <c r="VGO1" s="179"/>
      <c r="VGP1" s="179"/>
      <c r="VGQ1" s="179"/>
      <c r="VGR1" s="179"/>
      <c r="VGS1" s="179"/>
      <c r="VGT1" s="179"/>
      <c r="VGU1" s="179"/>
      <c r="VGV1" s="179"/>
      <c r="VGW1" s="179"/>
      <c r="VGX1" s="179"/>
      <c r="VGY1" s="179"/>
      <c r="VGZ1" s="179"/>
      <c r="VHA1" s="179"/>
      <c r="VHB1" s="179"/>
      <c r="VHC1" s="179"/>
      <c r="VHD1" s="179"/>
      <c r="VHE1" s="179"/>
      <c r="VHF1" s="179"/>
      <c r="VHG1" s="179"/>
      <c r="VHH1" s="179"/>
      <c r="VHI1" s="179"/>
      <c r="VHJ1" s="179"/>
      <c r="VHK1" s="179"/>
      <c r="VHL1" s="179"/>
      <c r="VHM1" s="179"/>
      <c r="VHN1" s="179"/>
      <c r="VHO1" s="179"/>
      <c r="VHP1" s="179"/>
      <c r="VHQ1" s="179"/>
      <c r="VHR1" s="179"/>
      <c r="VHS1" s="179"/>
      <c r="VHT1" s="179"/>
      <c r="VHU1" s="179"/>
      <c r="VHV1" s="179"/>
      <c r="VHW1" s="179"/>
      <c r="VHX1" s="179"/>
      <c r="VHY1" s="179"/>
      <c r="VHZ1" s="179"/>
      <c r="VIA1" s="179"/>
      <c r="VIB1" s="179"/>
      <c r="VIC1" s="179"/>
      <c r="VID1" s="179"/>
      <c r="VIE1" s="179"/>
      <c r="VIF1" s="179"/>
      <c r="VIG1" s="179"/>
      <c r="VIH1" s="179"/>
      <c r="VII1" s="179"/>
      <c r="VIJ1" s="179"/>
      <c r="VIK1" s="179"/>
      <c r="VIL1" s="179"/>
      <c r="VIM1" s="179"/>
      <c r="VIN1" s="179"/>
      <c r="VIO1" s="179"/>
      <c r="VIP1" s="179"/>
      <c r="VIQ1" s="179"/>
      <c r="VIR1" s="179"/>
      <c r="VIS1" s="179"/>
      <c r="VIT1" s="179"/>
      <c r="VIU1" s="179"/>
      <c r="VIV1" s="179"/>
      <c r="VIW1" s="179"/>
      <c r="VIX1" s="179"/>
      <c r="VIY1" s="179"/>
      <c r="VIZ1" s="179"/>
      <c r="VJA1" s="179"/>
      <c r="VJB1" s="179"/>
      <c r="VJC1" s="179"/>
      <c r="VJD1" s="179"/>
      <c r="VJE1" s="179"/>
      <c r="VJF1" s="179"/>
      <c r="VJG1" s="179"/>
      <c r="VJH1" s="179"/>
      <c r="VJI1" s="179"/>
      <c r="VJJ1" s="179"/>
      <c r="VJK1" s="179"/>
      <c r="VJL1" s="179"/>
      <c r="VJM1" s="179"/>
      <c r="VJN1" s="179"/>
      <c r="VJO1" s="179"/>
      <c r="VJP1" s="179"/>
      <c r="VJQ1" s="179"/>
      <c r="VJR1" s="179"/>
      <c r="VJS1" s="179"/>
      <c r="VJT1" s="179"/>
      <c r="VJU1" s="179"/>
      <c r="VJV1" s="179"/>
      <c r="VJW1" s="179"/>
      <c r="VJX1" s="179"/>
      <c r="VJY1" s="179"/>
      <c r="VJZ1" s="179"/>
      <c r="VKA1" s="179"/>
      <c r="VKB1" s="179"/>
      <c r="VKC1" s="179"/>
      <c r="VKD1" s="179"/>
      <c r="VKE1" s="179"/>
      <c r="VKF1" s="179"/>
      <c r="VKG1" s="179"/>
      <c r="VKH1" s="179"/>
      <c r="VKI1" s="179"/>
      <c r="VKJ1" s="179"/>
      <c r="VKK1" s="179"/>
      <c r="VKL1" s="179"/>
      <c r="VKM1" s="179"/>
      <c r="VKN1" s="179"/>
      <c r="VKO1" s="179"/>
      <c r="VKP1" s="179"/>
      <c r="VKQ1" s="179"/>
      <c r="VKR1" s="179"/>
      <c r="VKS1" s="179"/>
      <c r="VKT1" s="179"/>
      <c r="VKU1" s="179"/>
      <c r="VKV1" s="179"/>
      <c r="VKW1" s="179"/>
      <c r="VKX1" s="179"/>
      <c r="VKY1" s="179"/>
      <c r="VKZ1" s="179"/>
      <c r="VLA1" s="179"/>
      <c r="VLB1" s="179"/>
      <c r="VLC1" s="179"/>
      <c r="VLD1" s="179"/>
      <c r="VLE1" s="179"/>
      <c r="VLF1" s="179"/>
      <c r="VLG1" s="179"/>
      <c r="VLH1" s="179"/>
      <c r="VLI1" s="179"/>
      <c r="VLJ1" s="179"/>
      <c r="VLK1" s="179"/>
      <c r="VLL1" s="179"/>
      <c r="VLM1" s="179"/>
      <c r="VLN1" s="179"/>
      <c r="VLO1" s="179"/>
      <c r="VLP1" s="179"/>
      <c r="VLQ1" s="179"/>
      <c r="VLR1" s="179"/>
      <c r="VLS1" s="179"/>
      <c r="VLT1" s="179"/>
      <c r="VLU1" s="179"/>
      <c r="VLV1" s="179"/>
      <c r="VLW1" s="179"/>
      <c r="VLX1" s="179"/>
      <c r="VLY1" s="179"/>
      <c r="VLZ1" s="179"/>
      <c r="VMA1" s="179"/>
      <c r="VMB1" s="179"/>
      <c r="VMC1" s="179"/>
      <c r="VMD1" s="179"/>
      <c r="VME1" s="179"/>
      <c r="VMF1" s="179"/>
      <c r="VMG1" s="179"/>
      <c r="VMH1" s="179"/>
      <c r="VMI1" s="179"/>
      <c r="VMJ1" s="179"/>
      <c r="VMK1" s="179"/>
      <c r="VML1" s="179"/>
      <c r="VMM1" s="179"/>
      <c r="VMN1" s="179"/>
      <c r="VMO1" s="179"/>
      <c r="VMP1" s="179"/>
      <c r="VMQ1" s="179"/>
      <c r="VMR1" s="179"/>
      <c r="VMS1" s="179"/>
      <c r="VMT1" s="179"/>
      <c r="VMU1" s="179"/>
      <c r="VMV1" s="179"/>
      <c r="VMW1" s="179"/>
      <c r="VMX1" s="179"/>
      <c r="VMY1" s="179"/>
      <c r="VMZ1" s="179"/>
      <c r="VNA1" s="179"/>
      <c r="VNB1" s="179"/>
      <c r="VNC1" s="179"/>
      <c r="VND1" s="179"/>
      <c r="VNE1" s="179"/>
      <c r="VNF1" s="179"/>
      <c r="VNG1" s="179"/>
      <c r="VNH1" s="179"/>
      <c r="VNI1" s="179"/>
      <c r="VNJ1" s="179"/>
      <c r="VNK1" s="179"/>
      <c r="VNL1" s="179"/>
      <c r="VNM1" s="179"/>
      <c r="VNN1" s="179"/>
      <c r="VNO1" s="179"/>
      <c r="VNP1" s="179"/>
      <c r="VNQ1" s="179"/>
      <c r="VNR1" s="179"/>
      <c r="VNS1" s="179"/>
      <c r="VNT1" s="179"/>
      <c r="VNU1" s="179"/>
      <c r="VNV1" s="179"/>
      <c r="VNW1" s="179"/>
      <c r="VNX1" s="179"/>
      <c r="VNY1" s="179"/>
      <c r="VNZ1" s="179"/>
      <c r="VOA1" s="179"/>
      <c r="VOB1" s="179"/>
      <c r="VOC1" s="179"/>
      <c r="VOD1" s="179"/>
      <c r="VOE1" s="179"/>
      <c r="VOF1" s="179"/>
      <c r="VOG1" s="179"/>
      <c r="VOH1" s="179"/>
      <c r="VOI1" s="179"/>
      <c r="VOJ1" s="179"/>
      <c r="VOK1" s="179"/>
      <c r="VOL1" s="179"/>
      <c r="VOM1" s="179"/>
      <c r="VON1" s="179"/>
      <c r="VOO1" s="179"/>
      <c r="VOP1" s="179"/>
      <c r="VOQ1" s="179"/>
      <c r="VOR1" s="179"/>
      <c r="VOS1" s="179"/>
      <c r="VOT1" s="179"/>
      <c r="VOU1" s="179"/>
      <c r="VOV1" s="179"/>
      <c r="VOW1" s="179"/>
      <c r="VOX1" s="179"/>
      <c r="VOY1" s="179"/>
      <c r="VOZ1" s="179"/>
      <c r="VPA1" s="179"/>
      <c r="VPB1" s="179"/>
      <c r="VPC1" s="179"/>
      <c r="VPD1" s="179"/>
      <c r="VPE1" s="179"/>
      <c r="VPF1" s="179"/>
      <c r="VPG1" s="179"/>
      <c r="VPH1" s="179"/>
      <c r="VPI1" s="179"/>
      <c r="VPJ1" s="179"/>
      <c r="VPK1" s="179"/>
      <c r="VPL1" s="179"/>
      <c r="VPM1" s="179"/>
      <c r="VPN1" s="179"/>
      <c r="VPO1" s="179"/>
      <c r="VPP1" s="179"/>
      <c r="VPQ1" s="179"/>
      <c r="VPR1" s="179"/>
      <c r="VPS1" s="179"/>
      <c r="VPT1" s="179"/>
      <c r="VPU1" s="179"/>
      <c r="VPV1" s="179"/>
      <c r="VPW1" s="179"/>
      <c r="VPX1" s="179"/>
      <c r="VPY1" s="179"/>
      <c r="VPZ1" s="179"/>
      <c r="VQA1" s="179"/>
      <c r="VQB1" s="179"/>
      <c r="VQC1" s="179"/>
      <c r="VQD1" s="179"/>
      <c r="VQE1" s="179"/>
      <c r="VQF1" s="179"/>
      <c r="VQG1" s="179"/>
      <c r="VQH1" s="179"/>
      <c r="VQI1" s="179"/>
      <c r="VQJ1" s="179"/>
      <c r="VQK1" s="179"/>
      <c r="VQL1" s="179"/>
      <c r="VQM1" s="179"/>
      <c r="VQN1" s="179"/>
      <c r="VQO1" s="179"/>
      <c r="VQP1" s="179"/>
      <c r="VQQ1" s="179"/>
      <c r="VQR1" s="179"/>
      <c r="VQS1" s="179"/>
      <c r="VQT1" s="179"/>
      <c r="VQU1" s="179"/>
      <c r="VQV1" s="179"/>
      <c r="VQW1" s="179"/>
      <c r="VQX1" s="179"/>
      <c r="VQY1" s="179"/>
      <c r="VQZ1" s="179"/>
      <c r="VRA1" s="179"/>
      <c r="VRB1" s="179"/>
      <c r="VRC1" s="179"/>
      <c r="VRD1" s="179"/>
      <c r="VRE1" s="179"/>
      <c r="VRF1" s="179"/>
      <c r="VRG1" s="179"/>
      <c r="VRH1" s="179"/>
      <c r="VRI1" s="179"/>
      <c r="VRJ1" s="179"/>
      <c r="VRK1" s="179"/>
      <c r="VRL1" s="179"/>
      <c r="VRM1" s="179"/>
      <c r="VRN1" s="179"/>
      <c r="VRO1" s="179"/>
      <c r="VRP1" s="179"/>
      <c r="VRQ1" s="179"/>
      <c r="VRR1" s="179"/>
      <c r="VRS1" s="179"/>
      <c r="VRT1" s="179"/>
      <c r="VRU1" s="179"/>
      <c r="VRV1" s="179"/>
      <c r="VRW1" s="179"/>
      <c r="VRX1" s="179"/>
      <c r="VRY1" s="179"/>
      <c r="VRZ1" s="179"/>
      <c r="VSA1" s="179"/>
      <c r="VSB1" s="179"/>
      <c r="VSC1" s="179"/>
      <c r="VSD1" s="179"/>
      <c r="VSE1" s="179"/>
      <c r="VSF1" s="179"/>
      <c r="VSG1" s="179"/>
      <c r="VSH1" s="179"/>
      <c r="VSI1" s="179"/>
      <c r="VSJ1" s="179"/>
      <c r="VSK1" s="179"/>
      <c r="VSL1" s="179"/>
      <c r="VSM1" s="179"/>
      <c r="VSN1" s="179"/>
      <c r="VSO1" s="179"/>
      <c r="VSP1" s="179"/>
      <c r="VSQ1" s="179"/>
      <c r="VSR1" s="179"/>
      <c r="VSS1" s="179"/>
      <c r="VST1" s="179"/>
      <c r="VSU1" s="179"/>
      <c r="VSV1" s="179"/>
      <c r="VSW1" s="179"/>
      <c r="VSX1" s="179"/>
      <c r="VSY1" s="179"/>
      <c r="VSZ1" s="179"/>
      <c r="VTA1" s="179"/>
      <c r="VTB1" s="179"/>
      <c r="VTC1" s="179"/>
      <c r="VTD1" s="179"/>
      <c r="VTE1" s="179"/>
      <c r="VTF1" s="179"/>
      <c r="VTG1" s="179"/>
      <c r="VTH1" s="179"/>
      <c r="VTI1" s="179"/>
      <c r="VTJ1" s="179"/>
      <c r="VTK1" s="179"/>
      <c r="VTL1" s="179"/>
      <c r="VTM1" s="179"/>
      <c r="VTN1" s="179"/>
      <c r="VTO1" s="179"/>
      <c r="VTP1" s="179"/>
      <c r="VTQ1" s="179"/>
      <c r="VTR1" s="179"/>
      <c r="VTS1" s="179"/>
      <c r="VTT1" s="179"/>
      <c r="VTU1" s="179"/>
      <c r="VTV1" s="179"/>
      <c r="VTW1" s="179"/>
      <c r="VTX1" s="179"/>
      <c r="VTY1" s="179"/>
      <c r="VTZ1" s="179"/>
      <c r="VUA1" s="179"/>
      <c r="VUB1" s="179"/>
      <c r="VUC1" s="179"/>
      <c r="VUD1" s="179"/>
      <c r="VUE1" s="179"/>
      <c r="VUF1" s="179"/>
      <c r="VUG1" s="179"/>
      <c r="VUH1" s="179"/>
      <c r="VUI1" s="179"/>
      <c r="VUJ1" s="179"/>
      <c r="VUK1" s="179"/>
      <c r="VUL1" s="179"/>
      <c r="VUM1" s="179"/>
      <c r="VUN1" s="179"/>
      <c r="VUO1" s="179"/>
      <c r="VUP1" s="179"/>
      <c r="VUQ1" s="179"/>
      <c r="VUR1" s="179"/>
      <c r="VUS1" s="179"/>
      <c r="VUT1" s="179"/>
      <c r="VUU1" s="179"/>
      <c r="VUV1" s="179"/>
      <c r="VUW1" s="179"/>
      <c r="VUX1" s="179"/>
      <c r="VUY1" s="179"/>
      <c r="VUZ1" s="179"/>
      <c r="VVA1" s="179"/>
      <c r="VVB1" s="179"/>
      <c r="VVC1" s="179"/>
      <c r="VVD1" s="179"/>
      <c r="VVE1" s="179"/>
      <c r="VVF1" s="179"/>
      <c r="VVG1" s="179"/>
      <c r="VVH1" s="179"/>
      <c r="VVI1" s="179"/>
      <c r="VVJ1" s="179"/>
      <c r="VVK1" s="179"/>
      <c r="VVL1" s="179"/>
      <c r="VVM1" s="179"/>
      <c r="VVN1" s="179"/>
      <c r="VVO1" s="179"/>
      <c r="VVP1" s="179"/>
      <c r="VVQ1" s="179"/>
      <c r="VVR1" s="179"/>
      <c r="VVS1" s="179"/>
      <c r="VVT1" s="179"/>
      <c r="VVU1" s="179"/>
      <c r="VVV1" s="179"/>
      <c r="VVW1" s="179"/>
      <c r="VVX1" s="179"/>
      <c r="VVY1" s="179"/>
      <c r="VVZ1" s="179"/>
      <c r="VWA1" s="179"/>
      <c r="VWB1" s="179"/>
      <c r="VWC1" s="179"/>
      <c r="VWD1" s="179"/>
      <c r="VWE1" s="179"/>
      <c r="VWF1" s="179"/>
      <c r="VWG1" s="179"/>
      <c r="VWH1" s="179"/>
      <c r="VWI1" s="179"/>
      <c r="VWJ1" s="179"/>
      <c r="VWK1" s="179"/>
      <c r="VWL1" s="179"/>
      <c r="VWM1" s="179"/>
      <c r="VWN1" s="179"/>
      <c r="VWO1" s="179"/>
      <c r="VWP1" s="179"/>
      <c r="VWQ1" s="179"/>
      <c r="VWR1" s="179"/>
      <c r="VWS1" s="179"/>
      <c r="VWT1" s="179"/>
      <c r="VWU1" s="179"/>
      <c r="VWV1" s="179"/>
      <c r="VWW1" s="179"/>
      <c r="VWX1" s="179"/>
      <c r="VWY1" s="179"/>
      <c r="VWZ1" s="179"/>
      <c r="VXA1" s="179"/>
      <c r="VXB1" s="179"/>
      <c r="VXC1" s="179"/>
      <c r="VXD1" s="179"/>
      <c r="VXE1" s="179"/>
      <c r="VXF1" s="179"/>
      <c r="VXG1" s="179"/>
      <c r="VXH1" s="179"/>
      <c r="VXI1" s="179"/>
      <c r="VXJ1" s="179"/>
      <c r="VXK1" s="179"/>
      <c r="VXL1" s="179"/>
      <c r="VXM1" s="179"/>
      <c r="VXN1" s="179"/>
      <c r="VXO1" s="179"/>
      <c r="VXP1" s="179"/>
      <c r="VXQ1" s="179"/>
      <c r="VXR1" s="179"/>
      <c r="VXS1" s="179"/>
      <c r="VXT1" s="179"/>
      <c r="VXU1" s="179"/>
      <c r="VXV1" s="179"/>
      <c r="VXW1" s="179"/>
      <c r="VXX1" s="179"/>
      <c r="VXY1" s="179"/>
      <c r="VXZ1" s="179"/>
      <c r="VYA1" s="179"/>
      <c r="VYB1" s="179"/>
      <c r="VYC1" s="179"/>
      <c r="VYD1" s="179"/>
      <c r="VYE1" s="179"/>
      <c r="VYF1" s="179"/>
      <c r="VYG1" s="179"/>
      <c r="VYH1" s="179"/>
      <c r="VYI1" s="179"/>
      <c r="VYJ1" s="179"/>
      <c r="VYK1" s="179"/>
      <c r="VYL1" s="179"/>
      <c r="VYM1" s="179"/>
      <c r="VYN1" s="179"/>
      <c r="VYO1" s="179"/>
      <c r="VYP1" s="179"/>
      <c r="VYQ1" s="179"/>
      <c r="VYR1" s="179"/>
      <c r="VYS1" s="179"/>
      <c r="VYT1" s="179"/>
      <c r="VYU1" s="179"/>
      <c r="VYV1" s="179"/>
      <c r="VYW1" s="179"/>
      <c r="VYX1" s="179"/>
      <c r="VYY1" s="179"/>
      <c r="VYZ1" s="179"/>
      <c r="VZA1" s="179"/>
      <c r="VZB1" s="179"/>
      <c r="VZC1" s="179"/>
      <c r="VZD1" s="179"/>
      <c r="VZE1" s="179"/>
      <c r="VZF1" s="179"/>
      <c r="VZG1" s="179"/>
      <c r="VZH1" s="179"/>
      <c r="VZI1" s="179"/>
      <c r="VZJ1" s="179"/>
      <c r="VZK1" s="179"/>
      <c r="VZL1" s="179"/>
      <c r="VZM1" s="179"/>
      <c r="VZN1" s="179"/>
      <c r="VZO1" s="179"/>
      <c r="VZP1" s="179"/>
      <c r="VZQ1" s="179"/>
      <c r="VZR1" s="179"/>
      <c r="VZS1" s="179"/>
      <c r="VZT1" s="179"/>
      <c r="VZU1" s="179"/>
      <c r="VZV1" s="179"/>
      <c r="VZW1" s="179"/>
      <c r="VZX1" s="179"/>
      <c r="VZY1" s="179"/>
      <c r="VZZ1" s="179"/>
      <c r="WAA1" s="179"/>
      <c r="WAB1" s="179"/>
      <c r="WAC1" s="179"/>
      <c r="WAD1" s="179"/>
      <c r="WAE1" s="179"/>
      <c r="WAF1" s="179"/>
      <c r="WAG1" s="179"/>
      <c r="WAH1" s="179"/>
      <c r="WAI1" s="179"/>
      <c r="WAJ1" s="179"/>
      <c r="WAK1" s="179"/>
      <c r="WAL1" s="179"/>
      <c r="WAM1" s="179"/>
      <c r="WAN1" s="179"/>
      <c r="WAO1" s="179"/>
      <c r="WAP1" s="179"/>
      <c r="WAQ1" s="179"/>
      <c r="WAR1" s="179"/>
      <c r="WAS1" s="179"/>
      <c r="WAT1" s="179"/>
      <c r="WAU1" s="179"/>
      <c r="WAV1" s="179"/>
      <c r="WAW1" s="179"/>
      <c r="WAX1" s="179"/>
      <c r="WAY1" s="179"/>
      <c r="WAZ1" s="179"/>
      <c r="WBA1" s="179"/>
      <c r="WBB1" s="179"/>
      <c r="WBC1" s="179"/>
      <c r="WBD1" s="179"/>
      <c r="WBE1" s="179"/>
      <c r="WBF1" s="179"/>
      <c r="WBG1" s="179"/>
      <c r="WBH1" s="179"/>
      <c r="WBI1" s="179"/>
      <c r="WBJ1" s="179"/>
      <c r="WBK1" s="179"/>
      <c r="WBL1" s="179"/>
      <c r="WBM1" s="179"/>
      <c r="WBN1" s="179"/>
      <c r="WBO1" s="179"/>
      <c r="WBP1" s="179"/>
      <c r="WBQ1" s="179"/>
      <c r="WBR1" s="179"/>
      <c r="WBS1" s="179"/>
      <c r="WBT1" s="179"/>
      <c r="WBU1" s="179"/>
      <c r="WBV1" s="179"/>
      <c r="WBW1" s="179"/>
      <c r="WBX1" s="179"/>
      <c r="WBY1" s="179"/>
      <c r="WBZ1" s="179"/>
      <c r="WCA1" s="179"/>
      <c r="WCB1" s="179"/>
      <c r="WCC1" s="179"/>
      <c r="WCD1" s="179"/>
      <c r="WCE1" s="179"/>
      <c r="WCF1" s="179"/>
      <c r="WCG1" s="179"/>
      <c r="WCH1" s="179"/>
      <c r="WCI1" s="179"/>
      <c r="WCJ1" s="179"/>
      <c r="WCK1" s="179"/>
      <c r="WCL1" s="179"/>
      <c r="WCM1" s="179"/>
      <c r="WCN1" s="179"/>
      <c r="WCO1" s="179"/>
      <c r="WCP1" s="179"/>
      <c r="WCQ1" s="179"/>
      <c r="WCR1" s="179"/>
      <c r="WCS1" s="179"/>
      <c r="WCT1" s="179"/>
      <c r="WCU1" s="179"/>
      <c r="WCV1" s="179"/>
      <c r="WCW1" s="179"/>
      <c r="WCX1" s="179"/>
      <c r="WCY1" s="179"/>
      <c r="WCZ1" s="179"/>
      <c r="WDA1" s="179"/>
      <c r="WDB1" s="179"/>
      <c r="WDC1" s="179"/>
      <c r="WDD1" s="179"/>
      <c r="WDE1" s="179"/>
      <c r="WDF1" s="179"/>
      <c r="WDG1" s="179"/>
      <c r="WDH1" s="179"/>
      <c r="WDI1" s="179"/>
      <c r="WDJ1" s="179"/>
      <c r="WDK1" s="179"/>
      <c r="WDL1" s="179"/>
      <c r="WDM1" s="179"/>
      <c r="WDN1" s="179"/>
      <c r="WDO1" s="179"/>
      <c r="WDP1" s="179"/>
      <c r="WDQ1" s="179"/>
      <c r="WDR1" s="179"/>
      <c r="WDS1" s="179"/>
      <c r="WDT1" s="179"/>
      <c r="WDU1" s="179"/>
      <c r="WDV1" s="179"/>
      <c r="WDW1" s="179"/>
      <c r="WDX1" s="179"/>
      <c r="WDY1" s="179"/>
      <c r="WDZ1" s="179"/>
      <c r="WEA1" s="179"/>
      <c r="WEB1" s="179"/>
      <c r="WEC1" s="179"/>
      <c r="WED1" s="179"/>
      <c r="WEE1" s="179"/>
      <c r="WEF1" s="179"/>
      <c r="WEG1" s="179"/>
      <c r="WEH1" s="179"/>
      <c r="WEI1" s="179"/>
      <c r="WEJ1" s="179"/>
      <c r="WEK1" s="179"/>
      <c r="WEL1" s="179"/>
      <c r="WEM1" s="179"/>
      <c r="WEN1" s="179"/>
      <c r="WEO1" s="179"/>
      <c r="WEP1" s="179"/>
      <c r="WEQ1" s="179"/>
      <c r="WER1" s="179"/>
      <c r="WES1" s="179"/>
      <c r="WET1" s="179"/>
      <c r="WEU1" s="179"/>
      <c r="WEV1" s="179"/>
      <c r="WEW1" s="179"/>
      <c r="WEX1" s="179"/>
      <c r="WEY1" s="179"/>
      <c r="WEZ1" s="179"/>
      <c r="WFA1" s="179"/>
      <c r="WFB1" s="179"/>
      <c r="WFC1" s="179"/>
      <c r="WFD1" s="179"/>
      <c r="WFE1" s="179"/>
      <c r="WFF1" s="179"/>
      <c r="WFG1" s="179"/>
      <c r="WFH1" s="179"/>
      <c r="WFI1" s="179"/>
      <c r="WFJ1" s="179"/>
      <c r="WFK1" s="179"/>
      <c r="WFL1" s="179"/>
      <c r="WFM1" s="179"/>
      <c r="WFN1" s="179"/>
      <c r="WFO1" s="179"/>
      <c r="WFP1" s="179"/>
      <c r="WFQ1" s="179"/>
      <c r="WFR1" s="179"/>
      <c r="WFS1" s="179"/>
      <c r="WFT1" s="179"/>
      <c r="WFU1" s="179"/>
      <c r="WFV1" s="179"/>
      <c r="WFW1" s="179"/>
      <c r="WFX1" s="179"/>
      <c r="WFY1" s="179"/>
      <c r="WFZ1" s="179"/>
      <c r="WGA1" s="179"/>
      <c r="WGB1" s="179"/>
      <c r="WGC1" s="179"/>
      <c r="WGD1" s="179"/>
      <c r="WGE1" s="179"/>
      <c r="WGF1" s="179"/>
      <c r="WGG1" s="179"/>
      <c r="WGH1" s="179"/>
      <c r="WGI1" s="179"/>
      <c r="WGJ1" s="179"/>
      <c r="WGK1" s="179"/>
      <c r="WGL1" s="179"/>
      <c r="WGM1" s="179"/>
      <c r="WGN1" s="179"/>
      <c r="WGO1" s="179"/>
      <c r="WGP1" s="179"/>
      <c r="WGQ1" s="179"/>
      <c r="WGR1" s="179"/>
      <c r="WGS1" s="179"/>
      <c r="WGT1" s="179"/>
      <c r="WGU1" s="179"/>
      <c r="WGV1" s="179"/>
      <c r="WGW1" s="179"/>
      <c r="WGX1" s="179"/>
      <c r="WGY1" s="179"/>
      <c r="WGZ1" s="179"/>
      <c r="WHA1" s="179"/>
      <c r="WHB1" s="179"/>
      <c r="WHC1" s="179"/>
      <c r="WHD1" s="179"/>
      <c r="WHE1" s="179"/>
      <c r="WHF1" s="179"/>
      <c r="WHG1" s="179"/>
      <c r="WHH1" s="179"/>
      <c r="WHI1" s="179"/>
      <c r="WHJ1" s="179"/>
      <c r="WHK1" s="179"/>
      <c r="WHL1" s="179"/>
      <c r="WHM1" s="179"/>
      <c r="WHN1" s="179"/>
      <c r="WHO1" s="179"/>
      <c r="WHP1" s="179"/>
      <c r="WHQ1" s="179"/>
      <c r="WHR1" s="179"/>
      <c r="WHS1" s="179"/>
      <c r="WHT1" s="179"/>
      <c r="WHU1" s="179"/>
      <c r="WHV1" s="179"/>
      <c r="WHW1" s="179"/>
      <c r="WHX1" s="179"/>
      <c r="WHY1" s="179"/>
      <c r="WHZ1" s="179"/>
      <c r="WIA1" s="179"/>
      <c r="WIB1" s="179"/>
      <c r="WIC1" s="179"/>
      <c r="WID1" s="179"/>
      <c r="WIE1" s="179"/>
      <c r="WIF1" s="179"/>
      <c r="WIG1" s="179"/>
      <c r="WIH1" s="179"/>
      <c r="WII1" s="179"/>
      <c r="WIJ1" s="179"/>
      <c r="WIK1" s="179"/>
      <c r="WIL1" s="179"/>
      <c r="WIM1" s="179"/>
      <c r="WIN1" s="179"/>
      <c r="WIO1" s="179"/>
      <c r="WIP1" s="179"/>
      <c r="WIQ1" s="179"/>
      <c r="WIR1" s="179"/>
      <c r="WIS1" s="179"/>
      <c r="WIT1" s="179"/>
      <c r="WIU1" s="179"/>
      <c r="WIV1" s="179"/>
      <c r="WIW1" s="179"/>
      <c r="WIX1" s="179"/>
      <c r="WIY1" s="179"/>
      <c r="WIZ1" s="179"/>
      <c r="WJA1" s="179"/>
      <c r="WJB1" s="179"/>
      <c r="WJC1" s="179"/>
      <c r="WJD1" s="179"/>
      <c r="WJE1" s="179"/>
      <c r="WJF1" s="179"/>
      <c r="WJG1" s="179"/>
      <c r="WJH1" s="179"/>
      <c r="WJI1" s="179"/>
      <c r="WJJ1" s="179"/>
      <c r="WJK1" s="179"/>
      <c r="WJL1" s="179"/>
      <c r="WJM1" s="179"/>
      <c r="WJN1" s="179"/>
      <c r="WJO1" s="179"/>
      <c r="WJP1" s="179"/>
      <c r="WJQ1" s="179"/>
      <c r="WJR1" s="179"/>
      <c r="WJS1" s="179"/>
      <c r="WJT1" s="179"/>
      <c r="WJU1" s="179"/>
      <c r="WJV1" s="179"/>
      <c r="WJW1" s="179"/>
      <c r="WJX1" s="179"/>
      <c r="WJY1" s="179"/>
      <c r="WJZ1" s="179"/>
      <c r="WKA1" s="179"/>
      <c r="WKB1" s="179"/>
      <c r="WKC1" s="179"/>
      <c r="WKD1" s="179"/>
      <c r="WKE1" s="179"/>
      <c r="WKF1" s="179"/>
      <c r="WKG1" s="179"/>
      <c r="WKH1" s="179"/>
      <c r="WKI1" s="179"/>
      <c r="WKJ1" s="179"/>
      <c r="WKK1" s="179"/>
      <c r="WKL1" s="179"/>
      <c r="WKM1" s="179"/>
      <c r="WKN1" s="179"/>
      <c r="WKO1" s="179"/>
      <c r="WKP1" s="179"/>
      <c r="WKQ1" s="179"/>
      <c r="WKR1" s="179"/>
      <c r="WKS1" s="179"/>
      <c r="WKT1" s="179"/>
      <c r="WKU1" s="179"/>
      <c r="WKV1" s="179"/>
      <c r="WKW1" s="179"/>
      <c r="WKX1" s="179"/>
      <c r="WKY1" s="179"/>
      <c r="WKZ1" s="179"/>
      <c r="WLA1" s="179"/>
      <c r="WLB1" s="179"/>
      <c r="WLC1" s="179"/>
      <c r="WLD1" s="179"/>
      <c r="WLE1" s="179"/>
      <c r="WLF1" s="179"/>
      <c r="WLG1" s="179"/>
      <c r="WLH1" s="179"/>
      <c r="WLI1" s="179"/>
      <c r="WLJ1" s="179"/>
      <c r="WLK1" s="179"/>
      <c r="WLL1" s="179"/>
      <c r="WLM1" s="179"/>
      <c r="WLN1" s="179"/>
      <c r="WLO1" s="179"/>
      <c r="WLP1" s="179"/>
      <c r="WLQ1" s="179"/>
      <c r="WLR1" s="179"/>
      <c r="WLS1" s="179"/>
      <c r="WLT1" s="179"/>
      <c r="WLU1" s="179"/>
      <c r="WLV1" s="179"/>
      <c r="WLW1" s="179"/>
      <c r="WLX1" s="179"/>
      <c r="WLY1" s="179"/>
      <c r="WLZ1" s="179"/>
      <c r="WMA1" s="179"/>
      <c r="WMB1" s="179"/>
      <c r="WMC1" s="179"/>
      <c r="WMD1" s="179"/>
      <c r="WME1" s="179"/>
      <c r="WMF1" s="179"/>
      <c r="WMG1" s="179"/>
      <c r="WMH1" s="179"/>
      <c r="WMI1" s="179"/>
      <c r="WMJ1" s="179"/>
      <c r="WMK1" s="179"/>
      <c r="WML1" s="179"/>
      <c r="WMM1" s="179"/>
      <c r="WMN1" s="179"/>
      <c r="WMO1" s="179"/>
      <c r="WMP1" s="179"/>
      <c r="WMQ1" s="179"/>
      <c r="WMR1" s="179"/>
      <c r="WMS1" s="179"/>
      <c r="WMT1" s="179"/>
      <c r="WMU1" s="179"/>
      <c r="WMV1" s="179"/>
      <c r="WMW1" s="179"/>
      <c r="WMX1" s="179"/>
      <c r="WMY1" s="179"/>
      <c r="WMZ1" s="179"/>
      <c r="WNA1" s="179"/>
      <c r="WNB1" s="179"/>
      <c r="WNC1" s="179"/>
      <c r="WND1" s="179"/>
      <c r="WNE1" s="179"/>
      <c r="WNF1" s="179"/>
      <c r="WNG1" s="179"/>
      <c r="WNH1" s="179"/>
      <c r="WNI1" s="179"/>
      <c r="WNJ1" s="179"/>
      <c r="WNK1" s="179"/>
      <c r="WNL1" s="179"/>
      <c r="WNM1" s="179"/>
      <c r="WNN1" s="179"/>
      <c r="WNO1" s="179"/>
      <c r="WNP1" s="179"/>
      <c r="WNQ1" s="179"/>
      <c r="WNR1" s="179"/>
      <c r="WNS1" s="179"/>
      <c r="WNT1" s="179"/>
      <c r="WNU1" s="179"/>
      <c r="WNV1" s="179"/>
      <c r="WNW1" s="179"/>
      <c r="WNX1" s="179"/>
      <c r="WNY1" s="179"/>
      <c r="WNZ1" s="179"/>
      <c r="WOA1" s="179"/>
      <c r="WOB1" s="179"/>
      <c r="WOC1" s="179"/>
      <c r="WOD1" s="179"/>
      <c r="WOE1" s="179"/>
      <c r="WOF1" s="179"/>
      <c r="WOG1" s="179"/>
      <c r="WOH1" s="179"/>
      <c r="WOI1" s="179"/>
      <c r="WOJ1" s="179"/>
      <c r="WOK1" s="179"/>
      <c r="WOL1" s="179"/>
      <c r="WOM1" s="179"/>
      <c r="WON1" s="179"/>
      <c r="WOO1" s="179"/>
      <c r="WOP1" s="179"/>
      <c r="WOQ1" s="179"/>
      <c r="WOR1" s="179"/>
      <c r="WOS1" s="179"/>
      <c r="WOT1" s="179"/>
      <c r="WOU1" s="179"/>
      <c r="WOV1" s="179"/>
      <c r="WOW1" s="179"/>
      <c r="WOX1" s="179"/>
      <c r="WOY1" s="179"/>
      <c r="WOZ1" s="179"/>
      <c r="WPA1" s="179"/>
      <c r="WPB1" s="179"/>
      <c r="WPC1" s="179"/>
      <c r="WPD1" s="179"/>
      <c r="WPE1" s="179"/>
      <c r="WPF1" s="179"/>
      <c r="WPG1" s="179"/>
      <c r="WPH1" s="179"/>
      <c r="WPI1" s="179"/>
      <c r="WPJ1" s="179"/>
      <c r="WPK1" s="179"/>
      <c r="WPL1" s="179"/>
      <c r="WPM1" s="179"/>
      <c r="WPN1" s="179"/>
      <c r="WPO1" s="179"/>
      <c r="WPP1" s="179"/>
      <c r="WPQ1" s="179"/>
      <c r="WPR1" s="179"/>
      <c r="WPS1" s="179"/>
      <c r="WPT1" s="179"/>
      <c r="WPU1" s="179"/>
      <c r="WPV1" s="179"/>
      <c r="WPW1" s="179"/>
      <c r="WPX1" s="179"/>
      <c r="WPY1" s="179"/>
      <c r="WPZ1" s="179"/>
      <c r="WQA1" s="179"/>
      <c r="WQB1" s="179"/>
      <c r="WQC1" s="179"/>
      <c r="WQD1" s="179"/>
      <c r="WQE1" s="179"/>
      <c r="WQF1" s="179"/>
      <c r="WQG1" s="179"/>
      <c r="WQH1" s="179"/>
      <c r="WQI1" s="179"/>
      <c r="WQJ1" s="179"/>
      <c r="WQK1" s="179"/>
      <c r="WQL1" s="179"/>
      <c r="WQM1" s="179"/>
      <c r="WQN1" s="179"/>
      <c r="WQO1" s="179"/>
      <c r="WQP1" s="179"/>
      <c r="WQQ1" s="179"/>
      <c r="WQR1" s="179"/>
      <c r="WQS1" s="179"/>
      <c r="WQT1" s="179"/>
      <c r="WQU1" s="179"/>
      <c r="WQV1" s="179"/>
      <c r="WQW1" s="179"/>
      <c r="WQX1" s="179"/>
      <c r="WQY1" s="179"/>
      <c r="WQZ1" s="179"/>
      <c r="WRA1" s="179"/>
      <c r="WRB1" s="179"/>
      <c r="WRC1" s="179"/>
      <c r="WRD1" s="179"/>
      <c r="WRE1" s="179"/>
      <c r="WRF1" s="179"/>
      <c r="WRG1" s="179"/>
      <c r="WRH1" s="179"/>
      <c r="WRI1" s="179"/>
      <c r="WRJ1" s="179"/>
      <c r="WRK1" s="179"/>
      <c r="WRL1" s="179"/>
      <c r="WRM1" s="179"/>
      <c r="WRN1" s="179"/>
      <c r="WRO1" s="179"/>
      <c r="WRP1" s="179"/>
      <c r="WRQ1" s="179"/>
      <c r="WRR1" s="179"/>
      <c r="WRS1" s="179"/>
      <c r="WRT1" s="179"/>
      <c r="WRU1" s="179"/>
      <c r="WRV1" s="179"/>
      <c r="WRW1" s="179"/>
      <c r="WRX1" s="179"/>
      <c r="WRY1" s="179"/>
      <c r="WRZ1" s="179"/>
      <c r="WSA1" s="179"/>
      <c r="WSB1" s="179"/>
      <c r="WSC1" s="179"/>
      <c r="WSD1" s="179"/>
      <c r="WSE1" s="179"/>
      <c r="WSF1" s="179"/>
      <c r="WSG1" s="179"/>
      <c r="WSH1" s="179"/>
      <c r="WSI1" s="179"/>
      <c r="WSJ1" s="179"/>
      <c r="WSK1" s="179"/>
      <c r="WSL1" s="179"/>
      <c r="WSM1" s="179"/>
      <c r="WSN1" s="179"/>
      <c r="WSO1" s="179"/>
      <c r="WSP1" s="179"/>
      <c r="WSQ1" s="179"/>
      <c r="WSR1" s="179"/>
      <c r="WSS1" s="179"/>
      <c r="WST1" s="179"/>
      <c r="WSU1" s="179"/>
      <c r="WSV1" s="179"/>
      <c r="WSW1" s="179"/>
      <c r="WSX1" s="179"/>
      <c r="WSY1" s="179"/>
      <c r="WSZ1" s="179"/>
      <c r="WTA1" s="179"/>
      <c r="WTB1" s="179"/>
      <c r="WTC1" s="179"/>
      <c r="WTD1" s="179"/>
      <c r="WTE1" s="179"/>
      <c r="WTF1" s="179"/>
      <c r="WTG1" s="179"/>
      <c r="WTH1" s="179"/>
      <c r="WTI1" s="179"/>
      <c r="WTJ1" s="179"/>
      <c r="WTK1" s="179"/>
      <c r="WTL1" s="179"/>
      <c r="WTM1" s="179"/>
      <c r="WTN1" s="179"/>
      <c r="WTO1" s="179"/>
      <c r="WTP1" s="179"/>
      <c r="WTQ1" s="179"/>
      <c r="WTR1" s="179"/>
      <c r="WTS1" s="179"/>
      <c r="WTT1" s="179"/>
      <c r="WTU1" s="179"/>
      <c r="WTV1" s="179"/>
      <c r="WTW1" s="179"/>
      <c r="WTX1" s="179"/>
      <c r="WTY1" s="179"/>
      <c r="WTZ1" s="179"/>
      <c r="WUA1" s="179"/>
      <c r="WUB1" s="179"/>
      <c r="WUC1" s="179"/>
      <c r="WUD1" s="179"/>
      <c r="WUE1" s="179"/>
      <c r="WUF1" s="179"/>
      <c r="WUG1" s="179"/>
      <c r="WUH1" s="179"/>
      <c r="WUI1" s="179"/>
      <c r="WUJ1" s="179"/>
      <c r="WUK1" s="179"/>
      <c r="WUL1" s="179"/>
      <c r="WUM1" s="179"/>
      <c r="WUN1" s="179"/>
      <c r="WUO1" s="179"/>
      <c r="WUP1" s="179"/>
      <c r="WUQ1" s="179"/>
      <c r="WUR1" s="179"/>
      <c r="WUS1" s="179"/>
      <c r="WUT1" s="179"/>
      <c r="WUU1" s="179"/>
      <c r="WUV1" s="179"/>
      <c r="WUW1" s="179"/>
      <c r="WUX1" s="179"/>
      <c r="WUY1" s="179"/>
      <c r="WUZ1" s="179"/>
      <c r="WVA1" s="179"/>
      <c r="WVB1" s="179"/>
      <c r="WVC1" s="179"/>
      <c r="WVD1" s="179"/>
      <c r="WVE1" s="179"/>
      <c r="WVF1" s="179"/>
      <c r="WVG1" s="179"/>
      <c r="WVH1" s="179"/>
      <c r="WVI1" s="179"/>
      <c r="WVJ1" s="179"/>
      <c r="WVK1" s="179"/>
      <c r="WVL1" s="179"/>
      <c r="WVM1" s="179"/>
      <c r="WVN1" s="179"/>
      <c r="WVO1" s="179"/>
      <c r="WVP1" s="179"/>
      <c r="WVQ1" s="179"/>
      <c r="WVR1" s="179"/>
      <c r="WVS1" s="179"/>
      <c r="WVT1" s="179"/>
      <c r="WVU1" s="179"/>
      <c r="WVV1" s="179"/>
      <c r="WVW1" s="179"/>
      <c r="WVX1" s="179"/>
      <c r="WVY1" s="179"/>
      <c r="WVZ1" s="179"/>
      <c r="WWA1" s="179"/>
      <c r="WWB1" s="179"/>
      <c r="WWC1" s="179"/>
      <c r="WWD1" s="179"/>
      <c r="WWE1" s="179"/>
      <c r="WWF1" s="179"/>
      <c r="WWG1" s="179"/>
      <c r="WWH1" s="179"/>
      <c r="WWI1" s="179"/>
      <c r="WWJ1" s="179"/>
      <c r="WWK1" s="179"/>
      <c r="WWL1" s="179"/>
      <c r="WWM1" s="179"/>
      <c r="WWN1" s="179"/>
      <c r="WWO1" s="179"/>
      <c r="WWP1" s="179"/>
      <c r="WWQ1" s="179"/>
      <c r="WWR1" s="179"/>
      <c r="WWS1" s="179"/>
      <c r="WWT1" s="179"/>
      <c r="WWU1" s="179"/>
      <c r="WWV1" s="179"/>
      <c r="WWW1" s="179"/>
      <c r="WWX1" s="179"/>
      <c r="WWY1" s="179"/>
      <c r="WWZ1" s="179"/>
      <c r="WXA1" s="179"/>
      <c r="WXB1" s="179"/>
      <c r="WXC1" s="179"/>
      <c r="WXD1" s="179"/>
      <c r="WXE1" s="179"/>
      <c r="WXF1" s="179"/>
      <c r="WXG1" s="179"/>
      <c r="WXH1" s="179"/>
      <c r="WXI1" s="179"/>
      <c r="WXJ1" s="179"/>
      <c r="WXK1" s="179"/>
      <c r="WXL1" s="179"/>
      <c r="WXM1" s="179"/>
      <c r="WXN1" s="179"/>
      <c r="WXO1" s="179"/>
      <c r="WXP1" s="179"/>
      <c r="WXQ1" s="179"/>
      <c r="WXR1" s="179"/>
      <c r="WXS1" s="179"/>
      <c r="WXT1" s="179"/>
      <c r="WXU1" s="179"/>
      <c r="WXV1" s="179"/>
      <c r="WXW1" s="179"/>
      <c r="WXX1" s="179"/>
      <c r="WXY1" s="179"/>
      <c r="WXZ1" s="179"/>
      <c r="WYA1" s="179"/>
      <c r="WYB1" s="179"/>
      <c r="WYC1" s="179"/>
      <c r="WYD1" s="179"/>
      <c r="WYE1" s="179"/>
      <c r="WYF1" s="179"/>
      <c r="WYG1" s="179"/>
      <c r="WYH1" s="179"/>
      <c r="WYI1" s="179"/>
      <c r="WYJ1" s="179"/>
      <c r="WYK1" s="179"/>
      <c r="WYL1" s="179"/>
      <c r="WYM1" s="179"/>
      <c r="WYN1" s="179"/>
      <c r="WYO1" s="179"/>
      <c r="WYP1" s="179"/>
      <c r="WYQ1" s="179"/>
      <c r="WYR1" s="179"/>
      <c r="WYS1" s="179"/>
      <c r="WYT1" s="179"/>
      <c r="WYU1" s="179"/>
      <c r="WYV1" s="179"/>
      <c r="WYW1" s="179"/>
      <c r="WYX1" s="179"/>
      <c r="WYY1" s="179"/>
      <c r="WYZ1" s="179"/>
      <c r="WZA1" s="179"/>
      <c r="WZB1" s="179"/>
      <c r="WZC1" s="179"/>
      <c r="WZD1" s="179"/>
      <c r="WZE1" s="179"/>
      <c r="WZF1" s="179"/>
      <c r="WZG1" s="179"/>
      <c r="WZH1" s="179"/>
      <c r="WZI1" s="179"/>
      <c r="WZJ1" s="179"/>
      <c r="WZK1" s="179"/>
      <c r="WZL1" s="179"/>
      <c r="WZM1" s="179"/>
      <c r="WZN1" s="179"/>
      <c r="WZO1" s="179"/>
      <c r="WZP1" s="179"/>
      <c r="WZQ1" s="179"/>
      <c r="WZR1" s="179"/>
      <c r="WZS1" s="179"/>
      <c r="WZT1" s="179"/>
      <c r="WZU1" s="179"/>
      <c r="WZV1" s="179"/>
      <c r="WZW1" s="179"/>
      <c r="WZX1" s="179"/>
      <c r="WZY1" s="179"/>
      <c r="WZZ1" s="179"/>
      <c r="XAA1" s="179"/>
      <c r="XAB1" s="179"/>
      <c r="XAC1" s="179"/>
      <c r="XAD1" s="179"/>
      <c r="XAE1" s="179"/>
      <c r="XAF1" s="179"/>
      <c r="XAG1" s="179"/>
      <c r="XAH1" s="179"/>
      <c r="XAI1" s="179"/>
      <c r="XAJ1" s="179"/>
      <c r="XAK1" s="179"/>
      <c r="XAL1" s="179"/>
      <c r="XAM1" s="179"/>
      <c r="XAN1" s="179"/>
      <c r="XAO1" s="179"/>
      <c r="XAP1" s="179"/>
      <c r="XAQ1" s="179"/>
      <c r="XAR1" s="179"/>
      <c r="XAS1" s="179"/>
      <c r="XAT1" s="179"/>
      <c r="XAU1" s="179"/>
      <c r="XAV1" s="179"/>
      <c r="XAW1" s="179"/>
      <c r="XAX1" s="179"/>
      <c r="XAY1" s="179"/>
      <c r="XAZ1" s="179"/>
      <c r="XBA1" s="179"/>
      <c r="XBB1" s="179"/>
      <c r="XBC1" s="179"/>
      <c r="XBD1" s="179"/>
      <c r="XBE1" s="179"/>
      <c r="XBF1" s="179"/>
      <c r="XBG1" s="179"/>
      <c r="XBH1" s="179"/>
      <c r="XBI1" s="179"/>
      <c r="XBJ1" s="179"/>
      <c r="XBK1" s="179"/>
      <c r="XBL1" s="179"/>
      <c r="XBM1" s="179"/>
      <c r="XBN1" s="179"/>
      <c r="XBO1" s="179"/>
      <c r="XBP1" s="179"/>
      <c r="XBQ1" s="179"/>
      <c r="XBR1" s="179"/>
      <c r="XBS1" s="179"/>
      <c r="XBT1" s="179"/>
      <c r="XBU1" s="179"/>
      <c r="XBV1" s="179"/>
      <c r="XBW1" s="179"/>
      <c r="XBX1" s="179"/>
      <c r="XBY1" s="179"/>
      <c r="XBZ1" s="179"/>
      <c r="XCA1" s="179"/>
      <c r="XCB1" s="179"/>
      <c r="XCC1" s="179"/>
      <c r="XCD1" s="179"/>
      <c r="XCE1" s="179"/>
      <c r="XCF1" s="179"/>
      <c r="XCG1" s="179"/>
      <c r="XCH1" s="179"/>
      <c r="XCI1" s="179"/>
      <c r="XCJ1" s="179"/>
      <c r="XCK1" s="179"/>
      <c r="XCL1" s="179"/>
      <c r="XCM1" s="179"/>
      <c r="XCN1" s="179"/>
      <c r="XCO1" s="179"/>
      <c r="XCP1" s="179"/>
      <c r="XCQ1" s="179"/>
      <c r="XCR1" s="179"/>
      <c r="XCS1" s="179"/>
      <c r="XCT1" s="179"/>
      <c r="XCU1" s="179"/>
      <c r="XCV1" s="179"/>
      <c r="XCW1" s="179"/>
      <c r="XCX1" s="179"/>
      <c r="XCY1" s="179"/>
      <c r="XCZ1" s="179"/>
      <c r="XDA1" s="179"/>
      <c r="XDB1" s="179"/>
      <c r="XDC1" s="179"/>
      <c r="XDD1" s="179"/>
      <c r="XDE1" s="179"/>
      <c r="XDF1" s="179"/>
      <c r="XDG1" s="179"/>
      <c r="XDH1" s="179"/>
      <c r="XDI1" s="179"/>
      <c r="XDJ1" s="179"/>
      <c r="XDK1" s="179"/>
      <c r="XDL1" s="179"/>
      <c r="XDM1" s="179"/>
      <c r="XDN1" s="179"/>
      <c r="XDO1" s="179"/>
      <c r="XDP1" s="179"/>
      <c r="XDQ1" s="179"/>
      <c r="XDR1" s="179"/>
      <c r="XDS1" s="179"/>
      <c r="XDT1" s="179"/>
      <c r="XDU1" s="179"/>
      <c r="XDV1" s="179"/>
      <c r="XDW1" s="179"/>
      <c r="XDX1" s="179"/>
      <c r="XDY1" s="179"/>
      <c r="XDZ1" s="179"/>
      <c r="XEA1" s="179"/>
      <c r="XEB1" s="179"/>
      <c r="XEC1" s="179"/>
      <c r="XED1" s="179"/>
      <c r="XEE1" s="179"/>
      <c r="XEF1" s="179"/>
      <c r="XEG1" s="179"/>
      <c r="XEH1" s="179"/>
      <c r="XEI1" s="179"/>
      <c r="XEJ1" s="179"/>
      <c r="XEK1" s="179"/>
      <c r="XEL1" s="179"/>
      <c r="XEM1" s="179"/>
      <c r="XEN1" s="179"/>
      <c r="XEO1" s="179"/>
      <c r="XEP1" s="179"/>
      <c r="XEQ1" s="179"/>
      <c r="XER1" s="179"/>
      <c r="XES1" s="179"/>
      <c r="XET1" s="179"/>
    </row>
    <row r="2" spans="1:16374" x14ac:dyDescent="0.25">
      <c r="A2" s="230">
        <v>43585.24560185185</v>
      </c>
      <c r="B2">
        <v>884</v>
      </c>
      <c r="C2" s="231">
        <v>983344438</v>
      </c>
      <c r="D2" t="s">
        <v>238</v>
      </c>
      <c r="E2">
        <v>5000</v>
      </c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0"/>
      <c r="CF2" s="180"/>
      <c r="CG2" s="180"/>
      <c r="CH2" s="180"/>
      <c r="CI2" s="180"/>
      <c r="CJ2" s="180"/>
      <c r="CK2" s="180"/>
      <c r="CL2" s="180"/>
      <c r="CM2" s="180"/>
      <c r="CN2" s="180"/>
      <c r="CO2" s="180"/>
      <c r="CP2" s="180"/>
      <c r="CQ2" s="180"/>
      <c r="CR2" s="180"/>
      <c r="CS2" s="180"/>
      <c r="CT2" s="180"/>
      <c r="CU2" s="180"/>
      <c r="CV2" s="180"/>
      <c r="CW2" s="180"/>
      <c r="CX2" s="180"/>
      <c r="CY2" s="180"/>
      <c r="CZ2" s="180"/>
      <c r="DA2" s="180"/>
      <c r="DB2" s="180"/>
      <c r="DC2" s="180"/>
      <c r="DD2" s="180"/>
      <c r="DE2" s="180"/>
      <c r="DF2" s="180"/>
      <c r="DG2" s="180"/>
      <c r="DH2" s="180"/>
      <c r="DI2" s="180"/>
      <c r="DJ2" s="180"/>
      <c r="DK2" s="180"/>
      <c r="DL2" s="180"/>
      <c r="DM2" s="180"/>
      <c r="DN2" s="180"/>
      <c r="DO2" s="180"/>
      <c r="DP2" s="180"/>
      <c r="DQ2" s="180"/>
      <c r="DR2" s="180"/>
      <c r="DS2" s="180"/>
      <c r="DT2" s="180"/>
      <c r="DU2" s="180"/>
      <c r="DV2" s="180"/>
      <c r="DW2" s="180"/>
      <c r="DX2" s="180"/>
      <c r="DY2" s="180"/>
      <c r="DZ2" s="180"/>
      <c r="EA2" s="180"/>
      <c r="EB2" s="180"/>
      <c r="EC2" s="180"/>
      <c r="ED2" s="180"/>
      <c r="EE2" s="180"/>
      <c r="EF2" s="180"/>
      <c r="EG2" s="180"/>
      <c r="EH2" s="180"/>
      <c r="EI2" s="180"/>
      <c r="EJ2" s="180"/>
      <c r="EK2" s="180"/>
      <c r="EL2" s="180"/>
      <c r="EM2" s="180"/>
      <c r="EN2" s="180"/>
      <c r="EO2" s="180"/>
      <c r="EP2" s="180"/>
      <c r="EQ2" s="180"/>
      <c r="ER2" s="180"/>
      <c r="ES2" s="180"/>
      <c r="ET2" s="180"/>
      <c r="EU2" s="180"/>
      <c r="EV2" s="180"/>
      <c r="EW2" s="180"/>
      <c r="EX2" s="180"/>
      <c r="EY2" s="180"/>
      <c r="EZ2" s="180"/>
      <c r="FA2" s="180"/>
      <c r="FB2" s="180"/>
      <c r="FC2" s="180"/>
      <c r="FD2" s="180"/>
      <c r="FE2" s="180"/>
      <c r="FF2" s="180"/>
      <c r="FG2" s="180"/>
      <c r="FH2" s="180"/>
      <c r="FI2" s="180"/>
      <c r="FJ2" s="180"/>
      <c r="FK2" s="180"/>
      <c r="FL2" s="180"/>
      <c r="FM2" s="180"/>
      <c r="FN2" s="180"/>
      <c r="FO2" s="180"/>
      <c r="FP2" s="180"/>
      <c r="FQ2" s="180"/>
      <c r="FR2" s="180"/>
      <c r="FS2" s="180"/>
      <c r="FT2" s="180"/>
      <c r="FU2" s="180"/>
      <c r="FV2" s="180"/>
      <c r="FW2" s="180"/>
      <c r="FX2" s="180"/>
      <c r="FY2" s="180"/>
      <c r="FZ2" s="180"/>
      <c r="GA2" s="180"/>
      <c r="GB2" s="180"/>
      <c r="GC2" s="180"/>
      <c r="GD2" s="180"/>
      <c r="GE2" s="180"/>
      <c r="GF2" s="180"/>
      <c r="GG2" s="180"/>
      <c r="GH2" s="180"/>
      <c r="GI2" s="180"/>
      <c r="GJ2" s="180"/>
      <c r="GK2" s="180"/>
      <c r="GL2" s="180"/>
      <c r="GM2" s="180"/>
      <c r="GN2" s="180"/>
      <c r="GO2" s="180"/>
      <c r="GP2" s="180"/>
      <c r="GQ2" s="180"/>
      <c r="GR2" s="180"/>
      <c r="GS2" s="180"/>
      <c r="GT2" s="180"/>
      <c r="GU2" s="180"/>
      <c r="GV2" s="180"/>
      <c r="GW2" s="180"/>
      <c r="GX2" s="180"/>
      <c r="GY2" s="180"/>
      <c r="GZ2" s="180"/>
      <c r="HA2" s="180"/>
      <c r="HB2" s="180"/>
      <c r="HC2" s="180"/>
      <c r="HD2" s="180"/>
      <c r="HE2" s="180"/>
      <c r="HF2" s="180"/>
      <c r="HG2" s="180"/>
      <c r="HH2" s="180"/>
      <c r="HI2" s="180"/>
      <c r="HJ2" s="180"/>
      <c r="HK2" s="180"/>
      <c r="HL2" s="180"/>
      <c r="HM2" s="180"/>
      <c r="HN2" s="180"/>
      <c r="HO2" s="180"/>
      <c r="HP2" s="180"/>
      <c r="HQ2" s="180"/>
      <c r="HR2" s="180"/>
      <c r="HS2" s="180"/>
      <c r="HT2" s="180"/>
      <c r="HU2" s="180"/>
      <c r="HV2" s="180"/>
      <c r="HW2" s="180"/>
      <c r="HX2" s="180"/>
      <c r="HY2" s="180"/>
      <c r="HZ2" s="180"/>
      <c r="IA2" s="180"/>
      <c r="IB2" s="180"/>
      <c r="IC2" s="180"/>
      <c r="ID2" s="180"/>
      <c r="IE2" s="180"/>
      <c r="IF2" s="180"/>
      <c r="IG2" s="180"/>
      <c r="IH2" s="180"/>
      <c r="II2" s="180"/>
      <c r="IJ2" s="180"/>
      <c r="IK2" s="180"/>
      <c r="IL2" s="180"/>
      <c r="IM2" s="180"/>
      <c r="IN2" s="180"/>
      <c r="IO2" s="180"/>
      <c r="IP2" s="180"/>
      <c r="IQ2" s="180"/>
      <c r="IR2" s="180"/>
      <c r="IS2" s="180"/>
      <c r="IT2" s="180"/>
      <c r="IU2" s="180"/>
      <c r="IV2" s="180"/>
      <c r="IW2" s="180"/>
      <c r="IX2" s="180"/>
      <c r="IY2" s="180"/>
      <c r="IZ2" s="180"/>
      <c r="JA2" s="180"/>
      <c r="JB2" s="180"/>
      <c r="JC2" s="180"/>
      <c r="JD2" s="180"/>
      <c r="JE2" s="180"/>
      <c r="JF2" s="180"/>
      <c r="JG2" s="180"/>
      <c r="JH2" s="180"/>
      <c r="JI2" s="180"/>
      <c r="JJ2" s="180"/>
      <c r="JK2" s="180"/>
      <c r="JL2" s="180"/>
      <c r="JM2" s="180"/>
      <c r="JN2" s="180"/>
      <c r="JO2" s="180"/>
      <c r="JP2" s="180"/>
      <c r="JQ2" s="180"/>
      <c r="JR2" s="180"/>
      <c r="JS2" s="180"/>
      <c r="JT2" s="180"/>
      <c r="JU2" s="180"/>
      <c r="JV2" s="180"/>
      <c r="JW2" s="180"/>
      <c r="JX2" s="180"/>
      <c r="JY2" s="180"/>
      <c r="JZ2" s="180"/>
      <c r="KA2" s="180"/>
      <c r="KB2" s="180"/>
      <c r="KC2" s="180"/>
      <c r="KD2" s="180"/>
      <c r="KE2" s="180"/>
      <c r="KF2" s="180"/>
      <c r="KG2" s="180"/>
      <c r="KH2" s="180"/>
      <c r="KI2" s="180"/>
      <c r="KJ2" s="180"/>
      <c r="KK2" s="180"/>
      <c r="KL2" s="180"/>
      <c r="KM2" s="180"/>
      <c r="KN2" s="180"/>
      <c r="KO2" s="180"/>
      <c r="KP2" s="180"/>
      <c r="KQ2" s="180"/>
      <c r="KR2" s="180"/>
      <c r="KS2" s="180"/>
      <c r="KT2" s="180"/>
      <c r="KU2" s="180"/>
      <c r="KV2" s="180"/>
      <c r="KW2" s="180"/>
      <c r="KX2" s="180"/>
      <c r="KY2" s="180"/>
      <c r="KZ2" s="180"/>
      <c r="LA2" s="180"/>
      <c r="LB2" s="180"/>
      <c r="LC2" s="180"/>
      <c r="LD2" s="180"/>
      <c r="LE2" s="180"/>
      <c r="LF2" s="180"/>
      <c r="LG2" s="180"/>
      <c r="LH2" s="180"/>
      <c r="LI2" s="180"/>
      <c r="LJ2" s="180"/>
      <c r="LK2" s="180"/>
      <c r="LL2" s="180"/>
      <c r="LM2" s="180"/>
      <c r="LN2" s="180"/>
      <c r="LO2" s="180"/>
      <c r="LP2" s="180"/>
      <c r="LQ2" s="180"/>
      <c r="LR2" s="180"/>
      <c r="LS2" s="180"/>
      <c r="LT2" s="180"/>
      <c r="LU2" s="180"/>
      <c r="LV2" s="180"/>
      <c r="LW2" s="180"/>
      <c r="LX2" s="180"/>
      <c r="LY2" s="180"/>
      <c r="LZ2" s="180"/>
      <c r="MA2" s="180"/>
      <c r="MB2" s="180"/>
      <c r="MC2" s="180"/>
      <c r="MD2" s="180"/>
      <c r="ME2" s="180"/>
      <c r="MF2" s="180"/>
      <c r="MG2" s="180"/>
      <c r="MH2" s="180"/>
      <c r="MI2" s="180"/>
      <c r="MJ2" s="180"/>
      <c r="MK2" s="180"/>
      <c r="ML2" s="180"/>
      <c r="MM2" s="180"/>
      <c r="MN2" s="180"/>
      <c r="MO2" s="180"/>
      <c r="MP2" s="180"/>
      <c r="MQ2" s="180"/>
      <c r="MR2" s="180"/>
      <c r="MS2" s="180"/>
      <c r="MT2" s="180"/>
      <c r="MU2" s="180"/>
      <c r="MV2" s="180"/>
      <c r="MW2" s="180"/>
      <c r="MX2" s="180"/>
      <c r="MY2" s="180"/>
      <c r="MZ2" s="180"/>
      <c r="NA2" s="180"/>
      <c r="NB2" s="180"/>
      <c r="NC2" s="180"/>
      <c r="ND2" s="180"/>
      <c r="NE2" s="180"/>
      <c r="NF2" s="180"/>
      <c r="NG2" s="180"/>
      <c r="NH2" s="180"/>
      <c r="NI2" s="180"/>
      <c r="NJ2" s="180"/>
      <c r="NK2" s="180"/>
      <c r="NL2" s="180"/>
      <c r="NM2" s="180"/>
      <c r="NN2" s="180"/>
      <c r="NO2" s="180"/>
      <c r="NP2" s="180"/>
      <c r="NQ2" s="180"/>
      <c r="NR2" s="180"/>
      <c r="NS2" s="180"/>
      <c r="NT2" s="180"/>
      <c r="NU2" s="180"/>
      <c r="NV2" s="180"/>
      <c r="NW2" s="180"/>
      <c r="NX2" s="180"/>
      <c r="NY2" s="180"/>
      <c r="NZ2" s="180"/>
      <c r="OA2" s="180"/>
      <c r="OB2" s="180"/>
      <c r="OC2" s="180"/>
      <c r="OD2" s="180"/>
      <c r="OE2" s="180"/>
      <c r="OF2" s="180"/>
      <c r="OG2" s="180"/>
      <c r="OH2" s="180"/>
      <c r="OI2" s="180"/>
      <c r="OJ2" s="180"/>
      <c r="OK2" s="180"/>
      <c r="OL2" s="180"/>
      <c r="OM2" s="180"/>
      <c r="ON2" s="180"/>
      <c r="OO2" s="180"/>
      <c r="OP2" s="180"/>
      <c r="OQ2" s="180"/>
      <c r="OR2" s="180"/>
      <c r="OS2" s="180"/>
      <c r="OT2" s="180"/>
      <c r="OU2" s="180"/>
      <c r="OV2" s="180"/>
      <c r="OW2" s="180"/>
      <c r="OX2" s="180"/>
      <c r="OY2" s="180"/>
      <c r="OZ2" s="180"/>
      <c r="PA2" s="180"/>
      <c r="PB2" s="180"/>
      <c r="PC2" s="180"/>
      <c r="PD2" s="180"/>
      <c r="PE2" s="180"/>
      <c r="PF2" s="180"/>
      <c r="PG2" s="180"/>
      <c r="PH2" s="180"/>
      <c r="PI2" s="180"/>
      <c r="PJ2" s="180"/>
      <c r="PK2" s="180"/>
      <c r="PL2" s="180"/>
      <c r="PM2" s="180"/>
      <c r="PN2" s="180"/>
      <c r="PO2" s="180"/>
      <c r="PP2" s="180"/>
      <c r="PQ2" s="180"/>
      <c r="PR2" s="180"/>
      <c r="PS2" s="180"/>
      <c r="PT2" s="180"/>
      <c r="PU2" s="180"/>
      <c r="PV2" s="180"/>
      <c r="PW2" s="180"/>
      <c r="PX2" s="180"/>
      <c r="PY2" s="180"/>
      <c r="PZ2" s="180"/>
      <c r="QA2" s="180"/>
      <c r="QB2" s="180"/>
      <c r="QC2" s="180"/>
      <c r="QD2" s="180"/>
      <c r="QE2" s="180"/>
      <c r="QF2" s="180"/>
      <c r="QG2" s="180"/>
      <c r="QH2" s="180"/>
      <c r="QI2" s="180"/>
      <c r="QJ2" s="180"/>
      <c r="QK2" s="180"/>
      <c r="QL2" s="180"/>
      <c r="QM2" s="180"/>
      <c r="QN2" s="180"/>
      <c r="QO2" s="180"/>
      <c r="QP2" s="180"/>
      <c r="QQ2" s="180"/>
      <c r="QR2" s="180"/>
      <c r="QS2" s="180"/>
      <c r="QT2" s="180"/>
      <c r="QU2" s="180"/>
      <c r="QV2" s="180"/>
      <c r="QW2" s="180"/>
      <c r="QX2" s="180"/>
      <c r="QY2" s="180"/>
      <c r="QZ2" s="180"/>
      <c r="RA2" s="180"/>
      <c r="RB2" s="180"/>
      <c r="RC2" s="180"/>
      <c r="RD2" s="180"/>
      <c r="RE2" s="180"/>
      <c r="RF2" s="180"/>
      <c r="RG2" s="180"/>
      <c r="RH2" s="180"/>
      <c r="RI2" s="180"/>
      <c r="RJ2" s="180"/>
      <c r="RK2" s="180"/>
      <c r="RL2" s="180"/>
      <c r="RM2" s="180"/>
      <c r="RN2" s="180"/>
      <c r="RO2" s="180"/>
      <c r="RP2" s="180"/>
      <c r="RQ2" s="180"/>
      <c r="RR2" s="180"/>
      <c r="RS2" s="180"/>
      <c r="RT2" s="180"/>
      <c r="RU2" s="180"/>
      <c r="RV2" s="180"/>
      <c r="RW2" s="180"/>
      <c r="RX2" s="180"/>
      <c r="RY2" s="180"/>
      <c r="RZ2" s="180"/>
      <c r="SA2" s="180"/>
      <c r="SB2" s="180"/>
      <c r="SC2" s="180"/>
      <c r="SD2" s="180"/>
      <c r="SE2" s="180"/>
      <c r="SF2" s="180"/>
      <c r="SG2" s="180"/>
      <c r="SH2" s="180"/>
      <c r="SI2" s="180"/>
      <c r="SJ2" s="180"/>
      <c r="SK2" s="180"/>
      <c r="SL2" s="180"/>
      <c r="SM2" s="180"/>
      <c r="SN2" s="180"/>
      <c r="SO2" s="180"/>
      <c r="SP2" s="180"/>
      <c r="SQ2" s="180"/>
      <c r="SR2" s="180"/>
      <c r="SS2" s="180"/>
      <c r="ST2" s="180"/>
      <c r="SU2" s="180"/>
      <c r="SV2" s="180"/>
      <c r="SW2" s="180"/>
      <c r="SX2" s="180"/>
      <c r="SY2" s="180"/>
      <c r="SZ2" s="180"/>
      <c r="TA2" s="180"/>
      <c r="TB2" s="180"/>
      <c r="TC2" s="180"/>
      <c r="TD2" s="180"/>
      <c r="TE2" s="180"/>
      <c r="TF2" s="180"/>
      <c r="TG2" s="180"/>
      <c r="TH2" s="180"/>
      <c r="TI2" s="180"/>
      <c r="TJ2" s="180"/>
      <c r="TK2" s="180"/>
      <c r="TL2" s="180"/>
      <c r="TM2" s="180"/>
      <c r="TN2" s="180"/>
      <c r="TO2" s="180"/>
      <c r="TP2" s="180"/>
      <c r="TQ2" s="180"/>
      <c r="TR2" s="180"/>
      <c r="TS2" s="180"/>
      <c r="TT2" s="180"/>
      <c r="TU2" s="180"/>
      <c r="TV2" s="180"/>
      <c r="TW2" s="180"/>
      <c r="TX2" s="180"/>
      <c r="TY2" s="180"/>
      <c r="TZ2" s="180"/>
      <c r="UA2" s="180"/>
      <c r="UB2" s="180"/>
      <c r="UC2" s="180"/>
      <c r="UD2" s="180"/>
      <c r="UE2" s="180"/>
      <c r="UF2" s="180"/>
      <c r="UG2" s="180"/>
      <c r="UH2" s="180"/>
      <c r="UI2" s="180"/>
      <c r="UJ2" s="180"/>
      <c r="UK2" s="180"/>
      <c r="UL2" s="180"/>
      <c r="UM2" s="180"/>
      <c r="UN2" s="180"/>
      <c r="UO2" s="180"/>
      <c r="UP2" s="180"/>
      <c r="UQ2" s="180"/>
      <c r="UR2" s="180"/>
      <c r="US2" s="180"/>
      <c r="UT2" s="180"/>
      <c r="UU2" s="180"/>
      <c r="UV2" s="180"/>
      <c r="UW2" s="180"/>
      <c r="UX2" s="180"/>
      <c r="UY2" s="180"/>
      <c r="UZ2" s="180"/>
      <c r="VA2" s="180"/>
      <c r="VB2" s="180"/>
      <c r="VC2" s="180"/>
      <c r="VD2" s="180"/>
      <c r="VE2" s="180"/>
      <c r="VF2" s="180"/>
      <c r="VG2" s="180"/>
      <c r="VH2" s="180"/>
      <c r="VI2" s="180"/>
      <c r="VJ2" s="180"/>
      <c r="VK2" s="180"/>
      <c r="VL2" s="180"/>
      <c r="VM2" s="180"/>
      <c r="VN2" s="180"/>
      <c r="VO2" s="180"/>
      <c r="VP2" s="180"/>
      <c r="VQ2" s="180"/>
      <c r="VR2" s="180"/>
      <c r="VS2" s="180"/>
      <c r="VT2" s="180"/>
      <c r="VU2" s="180"/>
      <c r="VV2" s="180"/>
      <c r="VW2" s="180"/>
      <c r="VX2" s="180"/>
      <c r="VY2" s="180"/>
      <c r="VZ2" s="180"/>
      <c r="WA2" s="180"/>
      <c r="WB2" s="180"/>
      <c r="WC2" s="180"/>
      <c r="WD2" s="180"/>
      <c r="WE2" s="180"/>
      <c r="WF2" s="180"/>
      <c r="WG2" s="180"/>
      <c r="WH2" s="180"/>
      <c r="WI2" s="180"/>
      <c r="WJ2" s="180"/>
      <c r="WK2" s="180"/>
      <c r="WL2" s="180"/>
      <c r="WM2" s="180"/>
      <c r="WN2" s="180"/>
      <c r="WO2" s="180"/>
      <c r="WP2" s="180"/>
      <c r="WQ2" s="180"/>
      <c r="WR2" s="180"/>
      <c r="WS2" s="180"/>
      <c r="WT2" s="180"/>
      <c r="WU2" s="180"/>
      <c r="WV2" s="180"/>
      <c r="WW2" s="180"/>
      <c r="WX2" s="180"/>
      <c r="WY2" s="180"/>
      <c r="WZ2" s="180"/>
      <c r="XA2" s="180"/>
      <c r="XB2" s="180"/>
      <c r="XC2" s="180"/>
      <c r="XD2" s="180"/>
      <c r="XE2" s="180"/>
      <c r="XF2" s="180"/>
      <c r="XG2" s="180"/>
      <c r="XH2" s="180"/>
      <c r="XI2" s="180"/>
      <c r="XJ2" s="180"/>
      <c r="XK2" s="180"/>
      <c r="XL2" s="180"/>
      <c r="XM2" s="180"/>
      <c r="XN2" s="180"/>
      <c r="XO2" s="180"/>
      <c r="XP2" s="180"/>
      <c r="XQ2" s="180"/>
      <c r="XR2" s="180"/>
      <c r="XS2" s="180"/>
      <c r="XT2" s="180"/>
      <c r="XU2" s="180"/>
      <c r="XV2" s="180"/>
      <c r="XW2" s="180"/>
      <c r="XX2" s="180"/>
      <c r="XY2" s="180"/>
      <c r="XZ2" s="180"/>
      <c r="YA2" s="180"/>
      <c r="YB2" s="180"/>
      <c r="YC2" s="180"/>
      <c r="YD2" s="180"/>
      <c r="YE2" s="180"/>
      <c r="YF2" s="180"/>
      <c r="YG2" s="180"/>
      <c r="YH2" s="180"/>
      <c r="YI2" s="180"/>
      <c r="YJ2" s="180"/>
      <c r="YK2" s="180"/>
      <c r="YL2" s="180"/>
      <c r="YM2" s="180"/>
      <c r="YN2" s="180"/>
      <c r="YO2" s="180"/>
      <c r="YP2" s="180"/>
      <c r="YQ2" s="180"/>
      <c r="YR2" s="180"/>
      <c r="YS2" s="180"/>
      <c r="YT2" s="180"/>
      <c r="YU2" s="180"/>
      <c r="YV2" s="180"/>
      <c r="YW2" s="180"/>
      <c r="YX2" s="180"/>
      <c r="YY2" s="180"/>
      <c r="YZ2" s="180"/>
      <c r="ZA2" s="180"/>
      <c r="ZB2" s="180"/>
      <c r="ZC2" s="180"/>
      <c r="ZD2" s="180"/>
      <c r="ZE2" s="180"/>
      <c r="ZF2" s="180"/>
      <c r="ZG2" s="180"/>
      <c r="ZH2" s="180"/>
      <c r="ZI2" s="180"/>
      <c r="ZJ2" s="180"/>
      <c r="ZK2" s="180"/>
      <c r="ZL2" s="180"/>
      <c r="ZM2" s="180"/>
      <c r="ZN2" s="180"/>
      <c r="ZO2" s="180"/>
      <c r="ZP2" s="180"/>
      <c r="ZQ2" s="180"/>
      <c r="ZR2" s="180"/>
      <c r="ZS2" s="180"/>
      <c r="ZT2" s="180"/>
      <c r="ZU2" s="180"/>
      <c r="ZV2" s="180"/>
      <c r="ZW2" s="180"/>
      <c r="ZX2" s="180"/>
      <c r="ZY2" s="180"/>
      <c r="ZZ2" s="180"/>
      <c r="AAA2" s="180"/>
      <c r="AAB2" s="180"/>
      <c r="AAC2" s="180"/>
      <c r="AAD2" s="180"/>
      <c r="AAE2" s="180"/>
      <c r="AAF2" s="180"/>
      <c r="AAG2" s="180"/>
      <c r="AAH2" s="180"/>
      <c r="AAI2" s="180"/>
      <c r="AAJ2" s="180"/>
      <c r="AAK2" s="180"/>
      <c r="AAL2" s="180"/>
      <c r="AAM2" s="180"/>
      <c r="AAN2" s="180"/>
      <c r="AAO2" s="180"/>
      <c r="AAP2" s="180"/>
      <c r="AAQ2" s="180"/>
      <c r="AAR2" s="180"/>
      <c r="AAS2" s="180"/>
      <c r="AAT2" s="180"/>
      <c r="AAU2" s="180"/>
      <c r="AAV2" s="180"/>
      <c r="AAW2" s="180"/>
      <c r="AAX2" s="180"/>
      <c r="AAY2" s="180"/>
      <c r="AAZ2" s="180"/>
      <c r="ABA2" s="180"/>
      <c r="ABB2" s="180"/>
      <c r="ABC2" s="180"/>
      <c r="ABD2" s="180"/>
      <c r="ABE2" s="180"/>
      <c r="ABF2" s="180"/>
      <c r="ABG2" s="180"/>
      <c r="ABH2" s="180"/>
      <c r="ABI2" s="180"/>
      <c r="ABJ2" s="180"/>
      <c r="ABK2" s="180"/>
      <c r="ABL2" s="180"/>
      <c r="ABM2" s="180"/>
      <c r="ABN2" s="180"/>
      <c r="ABO2" s="180"/>
      <c r="ABP2" s="180"/>
      <c r="ABQ2" s="180"/>
      <c r="ABR2" s="180"/>
      <c r="ABS2" s="180"/>
      <c r="ABT2" s="180"/>
      <c r="ABU2" s="180"/>
      <c r="ABV2" s="180"/>
      <c r="ABW2" s="180"/>
      <c r="ABX2" s="180"/>
      <c r="ABY2" s="180"/>
      <c r="ABZ2" s="180"/>
      <c r="ACA2" s="180"/>
      <c r="ACB2" s="180"/>
      <c r="ACC2" s="180"/>
      <c r="ACD2" s="180"/>
      <c r="ACE2" s="180"/>
      <c r="ACF2" s="180"/>
      <c r="ACG2" s="180"/>
      <c r="ACH2" s="180"/>
      <c r="ACI2" s="180"/>
      <c r="ACJ2" s="180"/>
      <c r="ACK2" s="180"/>
      <c r="ACL2" s="180"/>
      <c r="ACM2" s="180"/>
      <c r="ACN2" s="180"/>
      <c r="ACO2" s="180"/>
      <c r="ACP2" s="180"/>
      <c r="ACQ2" s="180"/>
      <c r="ACR2" s="180"/>
      <c r="ACS2" s="180"/>
      <c r="ACT2" s="180"/>
      <c r="ACU2" s="180"/>
      <c r="ACV2" s="180"/>
      <c r="ACW2" s="180"/>
      <c r="ACX2" s="180"/>
      <c r="ACY2" s="180"/>
      <c r="ACZ2" s="180"/>
      <c r="ADA2" s="180"/>
      <c r="ADB2" s="180"/>
      <c r="ADC2" s="180"/>
      <c r="ADD2" s="180"/>
      <c r="ADE2" s="180"/>
      <c r="ADF2" s="180"/>
      <c r="ADG2" s="180"/>
      <c r="ADH2" s="180"/>
      <c r="ADI2" s="180"/>
      <c r="ADJ2" s="180"/>
      <c r="ADK2" s="180"/>
      <c r="ADL2" s="180"/>
      <c r="ADM2" s="180"/>
      <c r="ADN2" s="180"/>
      <c r="ADO2" s="180"/>
      <c r="ADP2" s="180"/>
      <c r="ADQ2" s="180"/>
      <c r="ADR2" s="180"/>
      <c r="ADS2" s="180"/>
      <c r="ADT2" s="180"/>
      <c r="ADU2" s="180"/>
      <c r="ADV2" s="180"/>
      <c r="ADW2" s="180"/>
      <c r="ADX2" s="180"/>
      <c r="ADY2" s="180"/>
      <c r="ADZ2" s="180"/>
      <c r="AEA2" s="180"/>
      <c r="AEB2" s="180"/>
      <c r="AEC2" s="180"/>
      <c r="AED2" s="180"/>
      <c r="AEE2" s="180"/>
      <c r="AEF2" s="180"/>
      <c r="AEG2" s="180"/>
      <c r="AEH2" s="180"/>
      <c r="AEI2" s="180"/>
      <c r="AEJ2" s="180"/>
      <c r="AEK2" s="180"/>
      <c r="AEL2" s="180"/>
      <c r="AEM2" s="180"/>
      <c r="AEN2" s="180"/>
      <c r="AEO2" s="180"/>
      <c r="AEP2" s="180"/>
      <c r="AEQ2" s="180"/>
      <c r="AER2" s="180"/>
      <c r="AES2" s="180"/>
      <c r="AET2" s="180"/>
      <c r="AEU2" s="180"/>
      <c r="AEV2" s="180"/>
      <c r="AEW2" s="180"/>
      <c r="AEX2" s="180"/>
      <c r="AEY2" s="180"/>
      <c r="AEZ2" s="180"/>
      <c r="AFA2" s="180"/>
      <c r="AFB2" s="180"/>
      <c r="AFC2" s="180"/>
      <c r="AFD2" s="180"/>
      <c r="AFE2" s="180"/>
      <c r="AFF2" s="180"/>
      <c r="AFG2" s="180"/>
      <c r="AFH2" s="180"/>
      <c r="AFI2" s="180"/>
      <c r="AFJ2" s="180"/>
      <c r="AFK2" s="180"/>
      <c r="AFL2" s="180"/>
      <c r="AFM2" s="180"/>
      <c r="AFN2" s="180"/>
      <c r="AFO2" s="180"/>
      <c r="AFP2" s="180"/>
      <c r="AFQ2" s="180"/>
      <c r="AFR2" s="180"/>
      <c r="AFS2" s="180"/>
      <c r="AFT2" s="180"/>
      <c r="AFU2" s="180"/>
      <c r="AFV2" s="180"/>
      <c r="AFW2" s="180"/>
      <c r="AFX2" s="180"/>
      <c r="AFY2" s="180"/>
      <c r="AFZ2" s="180"/>
      <c r="AGA2" s="180"/>
      <c r="AGB2" s="180"/>
      <c r="AGC2" s="180"/>
      <c r="AGD2" s="180"/>
      <c r="AGE2" s="180"/>
      <c r="AGF2" s="180"/>
      <c r="AGG2" s="180"/>
      <c r="AGH2" s="180"/>
      <c r="AGI2" s="180"/>
      <c r="AGJ2" s="180"/>
      <c r="AGK2" s="180"/>
      <c r="AGL2" s="180"/>
      <c r="AGM2" s="180"/>
      <c r="AGN2" s="180"/>
      <c r="AGO2" s="180"/>
      <c r="AGP2" s="180"/>
      <c r="AGQ2" s="180"/>
      <c r="AGR2" s="180"/>
      <c r="AGS2" s="180"/>
      <c r="AGT2" s="180"/>
      <c r="AGU2" s="180"/>
      <c r="AGV2" s="180"/>
      <c r="AGW2" s="180"/>
      <c r="AGX2" s="180"/>
      <c r="AGY2" s="180"/>
      <c r="AGZ2" s="180"/>
      <c r="AHA2" s="180"/>
      <c r="AHB2" s="180"/>
      <c r="AHC2" s="180"/>
      <c r="AHD2" s="180"/>
      <c r="AHE2" s="180"/>
      <c r="AHF2" s="180"/>
      <c r="AHG2" s="180"/>
      <c r="AHH2" s="180"/>
      <c r="AHI2" s="180"/>
      <c r="AHJ2" s="180"/>
      <c r="AHK2" s="180"/>
      <c r="AHL2" s="180"/>
      <c r="AHM2" s="180"/>
      <c r="AHN2" s="180"/>
      <c r="AHO2" s="180"/>
      <c r="AHP2" s="180"/>
      <c r="AHQ2" s="180"/>
      <c r="AHR2" s="180"/>
      <c r="AHS2" s="180"/>
      <c r="AHT2" s="180"/>
      <c r="AHU2" s="180"/>
      <c r="AHV2" s="180"/>
      <c r="AHW2" s="180"/>
      <c r="AHX2" s="180"/>
      <c r="AHY2" s="180"/>
      <c r="AHZ2" s="180"/>
      <c r="AIA2" s="180"/>
      <c r="AIB2" s="180"/>
      <c r="AIC2" s="180"/>
      <c r="AID2" s="180"/>
      <c r="AIE2" s="180"/>
      <c r="AIF2" s="180"/>
      <c r="AIG2" s="180"/>
      <c r="AIH2" s="180"/>
      <c r="AII2" s="180"/>
      <c r="AIJ2" s="180"/>
      <c r="AIK2" s="180"/>
      <c r="AIL2" s="180"/>
      <c r="AIM2" s="180"/>
      <c r="AIN2" s="180"/>
      <c r="AIO2" s="180"/>
      <c r="AIP2" s="180"/>
      <c r="AIQ2" s="180"/>
      <c r="AIR2" s="180"/>
      <c r="AIS2" s="180"/>
      <c r="AIT2" s="180"/>
      <c r="AIU2" s="180"/>
      <c r="AIV2" s="180"/>
      <c r="AIW2" s="180"/>
      <c r="AIX2" s="180"/>
      <c r="AIY2" s="180"/>
      <c r="AIZ2" s="180"/>
      <c r="AJA2" s="180"/>
      <c r="AJB2" s="180"/>
      <c r="AJC2" s="180"/>
      <c r="AJD2" s="180"/>
      <c r="AJE2" s="180"/>
      <c r="AJF2" s="180"/>
      <c r="AJG2" s="180"/>
      <c r="AJH2" s="180"/>
      <c r="AJI2" s="180"/>
      <c r="AJJ2" s="180"/>
      <c r="AJK2" s="180"/>
      <c r="AJL2" s="180"/>
      <c r="AJM2" s="180"/>
      <c r="AJN2" s="180"/>
      <c r="AJO2" s="180"/>
      <c r="AJP2" s="180"/>
      <c r="AJQ2" s="180"/>
      <c r="AJR2" s="180"/>
      <c r="AJS2" s="180"/>
      <c r="AJT2" s="180"/>
      <c r="AJU2" s="180"/>
      <c r="AJV2" s="180"/>
      <c r="AJW2" s="180"/>
      <c r="AJX2" s="180"/>
      <c r="AJY2" s="180"/>
      <c r="AJZ2" s="180"/>
      <c r="AKA2" s="180"/>
      <c r="AKB2" s="180"/>
      <c r="AKC2" s="180"/>
      <c r="AKD2" s="180"/>
      <c r="AKE2" s="180"/>
      <c r="AKF2" s="180"/>
      <c r="AKG2" s="180"/>
      <c r="AKH2" s="180"/>
      <c r="AKI2" s="180"/>
      <c r="AKJ2" s="180"/>
      <c r="AKK2" s="180"/>
      <c r="AKL2" s="180"/>
      <c r="AKM2" s="180"/>
      <c r="AKN2" s="180"/>
      <c r="AKO2" s="180"/>
      <c r="AKP2" s="180"/>
      <c r="AKQ2" s="180"/>
      <c r="AKR2" s="180"/>
      <c r="AKS2" s="180"/>
      <c r="AKT2" s="180"/>
      <c r="AKU2" s="180"/>
      <c r="AKV2" s="180"/>
      <c r="AKW2" s="180"/>
      <c r="AKX2" s="180"/>
      <c r="AKY2" s="180"/>
      <c r="AKZ2" s="180"/>
      <c r="ALA2" s="180"/>
      <c r="ALB2" s="180"/>
      <c r="ALC2" s="180"/>
      <c r="ALD2" s="180"/>
      <c r="ALE2" s="180"/>
      <c r="ALF2" s="180"/>
      <c r="ALG2" s="180"/>
      <c r="ALH2" s="180"/>
      <c r="ALI2" s="180"/>
      <c r="ALJ2" s="180"/>
      <c r="ALK2" s="180"/>
      <c r="ALL2" s="180"/>
      <c r="ALM2" s="180"/>
      <c r="ALN2" s="180"/>
      <c r="ALO2" s="180"/>
      <c r="ALP2" s="180"/>
      <c r="ALQ2" s="180"/>
      <c r="ALR2" s="180"/>
      <c r="ALS2" s="180"/>
      <c r="ALT2" s="180"/>
      <c r="ALU2" s="180"/>
      <c r="ALV2" s="180"/>
      <c r="ALW2" s="180"/>
      <c r="ALX2" s="180"/>
      <c r="ALY2" s="180"/>
      <c r="ALZ2" s="180"/>
      <c r="AMA2" s="180"/>
      <c r="AMB2" s="180"/>
      <c r="AMC2" s="180"/>
      <c r="AMD2" s="180"/>
      <c r="AME2" s="180"/>
      <c r="AMF2" s="180"/>
      <c r="AMG2" s="180"/>
      <c r="AMH2" s="180"/>
      <c r="AMI2" s="180"/>
      <c r="AMJ2" s="180"/>
      <c r="AMK2" s="180"/>
      <c r="AML2" s="180"/>
      <c r="AMM2" s="180"/>
      <c r="AMN2" s="180"/>
      <c r="AMO2" s="180"/>
      <c r="AMP2" s="180"/>
      <c r="AMQ2" s="180"/>
      <c r="AMR2" s="180"/>
      <c r="AMS2" s="180"/>
      <c r="AMT2" s="180"/>
      <c r="AMU2" s="180"/>
      <c r="AMV2" s="180"/>
      <c r="AMW2" s="180"/>
      <c r="AMX2" s="180"/>
      <c r="AMY2" s="180"/>
      <c r="AMZ2" s="180"/>
      <c r="ANA2" s="180"/>
      <c r="ANB2" s="180"/>
      <c r="ANC2" s="180"/>
      <c r="AND2" s="180"/>
      <c r="ANE2" s="180"/>
      <c r="ANF2" s="180"/>
      <c r="ANG2" s="180"/>
      <c r="ANH2" s="180"/>
      <c r="ANI2" s="180"/>
      <c r="ANJ2" s="180"/>
      <c r="ANK2" s="180"/>
      <c r="ANL2" s="180"/>
      <c r="ANM2" s="180"/>
      <c r="ANN2" s="180"/>
      <c r="ANO2" s="180"/>
      <c r="ANP2" s="180"/>
      <c r="ANQ2" s="180"/>
      <c r="ANR2" s="180"/>
      <c r="ANS2" s="180"/>
      <c r="ANT2" s="180"/>
      <c r="ANU2" s="180"/>
      <c r="ANV2" s="180"/>
      <c r="ANW2" s="180"/>
      <c r="ANX2" s="180"/>
      <c r="ANY2" s="180"/>
      <c r="ANZ2" s="180"/>
      <c r="AOA2" s="180"/>
      <c r="AOB2" s="180"/>
      <c r="AOC2" s="180"/>
      <c r="AOD2" s="180"/>
      <c r="AOE2" s="180"/>
      <c r="AOF2" s="180"/>
      <c r="AOG2" s="180"/>
      <c r="AOH2" s="180"/>
      <c r="AOI2" s="180"/>
      <c r="AOJ2" s="180"/>
      <c r="AOK2" s="180"/>
      <c r="AOL2" s="180"/>
      <c r="AOM2" s="180"/>
      <c r="AON2" s="180"/>
      <c r="AOO2" s="180"/>
      <c r="AOP2" s="180"/>
      <c r="AOQ2" s="180"/>
      <c r="AOR2" s="180"/>
      <c r="AOS2" s="180"/>
      <c r="AOT2" s="180"/>
      <c r="AOU2" s="180"/>
      <c r="AOV2" s="180"/>
      <c r="AOW2" s="180"/>
      <c r="AOX2" s="180"/>
      <c r="AOY2" s="180"/>
      <c r="AOZ2" s="180"/>
      <c r="APA2" s="180"/>
      <c r="APB2" s="180"/>
      <c r="APC2" s="180"/>
      <c r="APD2" s="180"/>
      <c r="APE2" s="180"/>
      <c r="APF2" s="180"/>
      <c r="APG2" s="180"/>
      <c r="APH2" s="180"/>
      <c r="API2" s="180"/>
      <c r="APJ2" s="180"/>
      <c r="APK2" s="180"/>
      <c r="APL2" s="180"/>
      <c r="APM2" s="180"/>
      <c r="APN2" s="180"/>
      <c r="APO2" s="180"/>
      <c r="APP2" s="180"/>
      <c r="APQ2" s="180"/>
      <c r="APR2" s="180"/>
      <c r="APS2" s="180"/>
      <c r="APT2" s="180"/>
      <c r="APU2" s="180"/>
      <c r="APV2" s="180"/>
      <c r="APW2" s="180"/>
      <c r="APX2" s="180"/>
      <c r="APY2" s="180"/>
      <c r="APZ2" s="180"/>
      <c r="AQA2" s="180"/>
      <c r="AQB2" s="180"/>
      <c r="AQC2" s="180"/>
      <c r="AQD2" s="180"/>
      <c r="AQE2" s="180"/>
      <c r="AQF2" s="180"/>
      <c r="AQG2" s="180"/>
      <c r="AQH2" s="180"/>
      <c r="AQI2" s="180"/>
      <c r="AQJ2" s="180"/>
      <c r="AQK2" s="180"/>
      <c r="AQL2" s="180"/>
      <c r="AQM2" s="180"/>
      <c r="AQN2" s="180"/>
      <c r="AQO2" s="180"/>
      <c r="AQP2" s="180"/>
      <c r="AQQ2" s="180"/>
      <c r="AQR2" s="180"/>
      <c r="AQS2" s="180"/>
      <c r="AQT2" s="180"/>
      <c r="AQU2" s="180"/>
      <c r="AQV2" s="180"/>
      <c r="AQW2" s="180"/>
      <c r="AQX2" s="180"/>
      <c r="AQY2" s="180"/>
      <c r="AQZ2" s="180"/>
      <c r="ARA2" s="180"/>
      <c r="ARB2" s="180"/>
      <c r="ARC2" s="180"/>
      <c r="ARD2" s="180"/>
      <c r="ARE2" s="180"/>
      <c r="ARF2" s="180"/>
      <c r="ARG2" s="180"/>
      <c r="ARH2" s="180"/>
      <c r="ARI2" s="180"/>
      <c r="ARJ2" s="180"/>
      <c r="ARK2" s="180"/>
      <c r="ARL2" s="180"/>
      <c r="ARM2" s="180"/>
      <c r="ARN2" s="180"/>
      <c r="ARO2" s="180"/>
      <c r="ARP2" s="180"/>
      <c r="ARQ2" s="180"/>
      <c r="ARR2" s="180"/>
      <c r="ARS2" s="180"/>
      <c r="ART2" s="180"/>
      <c r="ARU2" s="180"/>
      <c r="ARV2" s="180"/>
      <c r="ARW2" s="180"/>
      <c r="ARX2" s="180"/>
      <c r="ARY2" s="180"/>
      <c r="ARZ2" s="180"/>
      <c r="ASA2" s="180"/>
      <c r="ASB2" s="180"/>
      <c r="ASC2" s="180"/>
      <c r="ASD2" s="180"/>
      <c r="ASE2" s="180"/>
      <c r="ASF2" s="180"/>
      <c r="ASG2" s="180"/>
      <c r="ASH2" s="180"/>
      <c r="ASI2" s="180"/>
      <c r="ASJ2" s="180"/>
      <c r="ASK2" s="180"/>
      <c r="ASL2" s="180"/>
      <c r="ASM2" s="180"/>
      <c r="ASN2" s="180"/>
      <c r="ASO2" s="180"/>
      <c r="ASP2" s="180"/>
      <c r="ASQ2" s="180"/>
      <c r="ASR2" s="180"/>
      <c r="ASS2" s="180"/>
      <c r="AST2" s="180"/>
      <c r="ASU2" s="180"/>
      <c r="ASV2" s="180"/>
      <c r="ASW2" s="180"/>
      <c r="ASX2" s="180"/>
      <c r="ASY2" s="180"/>
      <c r="ASZ2" s="180"/>
      <c r="ATA2" s="180"/>
      <c r="ATB2" s="180"/>
      <c r="ATC2" s="180"/>
      <c r="ATD2" s="180"/>
      <c r="ATE2" s="180"/>
      <c r="ATF2" s="180"/>
      <c r="ATG2" s="180"/>
      <c r="ATH2" s="180"/>
      <c r="ATI2" s="180"/>
      <c r="ATJ2" s="180"/>
      <c r="ATK2" s="180"/>
      <c r="ATL2" s="180"/>
      <c r="ATM2" s="180"/>
      <c r="ATN2" s="180"/>
      <c r="ATO2" s="180"/>
      <c r="ATP2" s="180"/>
      <c r="ATQ2" s="180"/>
      <c r="ATR2" s="180"/>
      <c r="ATS2" s="180"/>
      <c r="ATT2" s="180"/>
      <c r="ATU2" s="180"/>
      <c r="ATV2" s="180"/>
      <c r="ATW2" s="180"/>
      <c r="ATX2" s="180"/>
      <c r="ATY2" s="180"/>
      <c r="ATZ2" s="180"/>
      <c r="AUA2" s="180"/>
      <c r="AUB2" s="180"/>
      <c r="AUC2" s="180"/>
      <c r="AUD2" s="180"/>
      <c r="AUE2" s="180"/>
      <c r="AUF2" s="180"/>
      <c r="AUG2" s="180"/>
      <c r="AUH2" s="180"/>
      <c r="AUI2" s="180"/>
      <c r="AUJ2" s="180"/>
      <c r="AUK2" s="180"/>
      <c r="AUL2" s="180"/>
      <c r="AUM2" s="180"/>
      <c r="AUN2" s="180"/>
      <c r="AUO2" s="180"/>
      <c r="AUP2" s="180"/>
      <c r="AUQ2" s="180"/>
      <c r="AUR2" s="180"/>
      <c r="AUS2" s="180"/>
      <c r="AUT2" s="180"/>
      <c r="AUU2" s="180"/>
      <c r="AUV2" s="180"/>
      <c r="AUW2" s="180"/>
      <c r="AUX2" s="180"/>
      <c r="AUY2" s="180"/>
      <c r="AUZ2" s="180"/>
      <c r="AVA2" s="180"/>
      <c r="AVB2" s="180"/>
      <c r="AVC2" s="180"/>
      <c r="AVD2" s="180"/>
      <c r="AVE2" s="180"/>
      <c r="AVF2" s="180"/>
      <c r="AVG2" s="180"/>
      <c r="AVH2" s="180"/>
      <c r="AVI2" s="180"/>
      <c r="AVJ2" s="180"/>
      <c r="AVK2" s="180"/>
      <c r="AVL2" s="180"/>
      <c r="AVM2" s="180"/>
      <c r="AVN2" s="180"/>
      <c r="AVO2" s="180"/>
      <c r="AVP2" s="180"/>
      <c r="AVQ2" s="180"/>
      <c r="AVR2" s="180"/>
      <c r="AVS2" s="180"/>
      <c r="AVT2" s="180"/>
      <c r="AVU2" s="180"/>
      <c r="AVV2" s="180"/>
      <c r="AVW2" s="180"/>
      <c r="AVX2" s="180"/>
      <c r="AVY2" s="180"/>
      <c r="AVZ2" s="180"/>
      <c r="AWA2" s="180"/>
      <c r="AWB2" s="180"/>
      <c r="AWC2" s="180"/>
      <c r="AWD2" s="180"/>
      <c r="AWE2" s="180"/>
      <c r="AWF2" s="180"/>
      <c r="AWG2" s="180"/>
      <c r="AWH2" s="180"/>
      <c r="AWI2" s="180"/>
      <c r="AWJ2" s="180"/>
      <c r="AWK2" s="180"/>
      <c r="AWL2" s="180"/>
      <c r="AWM2" s="180"/>
      <c r="AWN2" s="180"/>
      <c r="AWO2" s="180"/>
      <c r="AWP2" s="180"/>
      <c r="AWQ2" s="180"/>
      <c r="AWR2" s="180"/>
      <c r="AWS2" s="180"/>
      <c r="AWT2" s="180"/>
      <c r="AWU2" s="180"/>
      <c r="AWV2" s="180"/>
      <c r="AWW2" s="180"/>
      <c r="AWX2" s="180"/>
      <c r="AWY2" s="180"/>
      <c r="AWZ2" s="180"/>
      <c r="AXA2" s="180"/>
      <c r="AXB2" s="180"/>
      <c r="AXC2" s="180"/>
      <c r="AXD2" s="180"/>
      <c r="AXE2" s="180"/>
      <c r="AXF2" s="180"/>
      <c r="AXG2" s="180"/>
      <c r="AXH2" s="180"/>
      <c r="AXI2" s="180"/>
      <c r="AXJ2" s="180"/>
      <c r="AXK2" s="180"/>
      <c r="AXL2" s="180"/>
      <c r="AXM2" s="180"/>
      <c r="AXN2" s="180"/>
      <c r="AXO2" s="180"/>
      <c r="AXP2" s="180"/>
      <c r="AXQ2" s="180"/>
      <c r="AXR2" s="180"/>
      <c r="AXS2" s="180"/>
      <c r="AXT2" s="180"/>
      <c r="AXU2" s="180"/>
      <c r="AXV2" s="180"/>
      <c r="AXW2" s="180"/>
      <c r="AXX2" s="180"/>
      <c r="AXY2" s="180"/>
      <c r="AXZ2" s="180"/>
      <c r="AYA2" s="180"/>
      <c r="AYB2" s="180"/>
      <c r="AYC2" s="180"/>
      <c r="AYD2" s="180"/>
      <c r="AYE2" s="180"/>
      <c r="AYF2" s="180"/>
      <c r="AYG2" s="180"/>
      <c r="AYH2" s="180"/>
      <c r="AYI2" s="180"/>
      <c r="AYJ2" s="180"/>
      <c r="AYK2" s="180"/>
      <c r="AYL2" s="180"/>
      <c r="AYM2" s="180"/>
      <c r="AYN2" s="180"/>
      <c r="AYO2" s="180"/>
      <c r="AYP2" s="180"/>
      <c r="AYQ2" s="180"/>
      <c r="AYR2" s="180"/>
      <c r="AYS2" s="180"/>
      <c r="AYT2" s="180"/>
      <c r="AYU2" s="180"/>
      <c r="AYV2" s="180"/>
      <c r="AYW2" s="180"/>
      <c r="AYX2" s="180"/>
      <c r="AYY2" s="180"/>
      <c r="AYZ2" s="180"/>
      <c r="AZA2" s="180"/>
      <c r="AZB2" s="180"/>
      <c r="AZC2" s="180"/>
      <c r="AZD2" s="180"/>
      <c r="AZE2" s="180"/>
      <c r="AZF2" s="180"/>
      <c r="AZG2" s="180"/>
      <c r="AZH2" s="180"/>
      <c r="AZI2" s="180"/>
      <c r="AZJ2" s="180"/>
      <c r="AZK2" s="180"/>
      <c r="AZL2" s="180"/>
      <c r="AZM2" s="180"/>
      <c r="AZN2" s="180"/>
      <c r="AZO2" s="180"/>
      <c r="AZP2" s="180"/>
      <c r="AZQ2" s="180"/>
      <c r="AZR2" s="180"/>
      <c r="AZS2" s="180"/>
      <c r="AZT2" s="180"/>
      <c r="AZU2" s="180"/>
      <c r="AZV2" s="180"/>
      <c r="AZW2" s="180"/>
      <c r="AZX2" s="180"/>
      <c r="AZY2" s="180"/>
      <c r="AZZ2" s="180"/>
      <c r="BAA2" s="180"/>
      <c r="BAB2" s="180"/>
      <c r="BAC2" s="180"/>
      <c r="BAD2" s="180"/>
      <c r="BAE2" s="180"/>
      <c r="BAF2" s="180"/>
      <c r="BAG2" s="180"/>
      <c r="BAH2" s="180"/>
      <c r="BAI2" s="180"/>
      <c r="BAJ2" s="180"/>
      <c r="BAK2" s="180"/>
      <c r="BAL2" s="180"/>
      <c r="BAM2" s="180"/>
      <c r="BAN2" s="180"/>
      <c r="BAO2" s="180"/>
      <c r="BAP2" s="180"/>
      <c r="BAQ2" s="180"/>
      <c r="BAR2" s="180"/>
      <c r="BAS2" s="180"/>
      <c r="BAT2" s="180"/>
      <c r="BAU2" s="180"/>
      <c r="BAV2" s="180"/>
      <c r="BAW2" s="180"/>
      <c r="BAX2" s="180"/>
      <c r="BAY2" s="180"/>
      <c r="BAZ2" s="180"/>
      <c r="BBA2" s="180"/>
      <c r="BBB2" s="180"/>
      <c r="BBC2" s="180"/>
      <c r="BBD2" s="180"/>
      <c r="BBE2" s="180"/>
      <c r="BBF2" s="180"/>
      <c r="BBG2" s="180"/>
      <c r="BBH2" s="180"/>
      <c r="BBI2" s="180"/>
      <c r="BBJ2" s="180"/>
      <c r="BBK2" s="180"/>
      <c r="BBL2" s="180"/>
      <c r="BBM2" s="180"/>
      <c r="BBN2" s="180"/>
      <c r="BBO2" s="180"/>
      <c r="BBP2" s="180"/>
      <c r="BBQ2" s="180"/>
      <c r="BBR2" s="180"/>
      <c r="BBS2" s="180"/>
      <c r="BBT2" s="180"/>
      <c r="BBU2" s="180"/>
      <c r="BBV2" s="180"/>
      <c r="BBW2" s="180"/>
      <c r="BBX2" s="180"/>
      <c r="BBY2" s="180"/>
      <c r="BBZ2" s="180"/>
      <c r="BCA2" s="180"/>
      <c r="BCB2" s="180"/>
      <c r="BCC2" s="180"/>
      <c r="BCD2" s="180"/>
      <c r="BCE2" s="180"/>
      <c r="BCF2" s="180"/>
      <c r="BCG2" s="180"/>
      <c r="BCH2" s="180"/>
      <c r="BCI2" s="180"/>
      <c r="BCJ2" s="180"/>
      <c r="BCK2" s="180"/>
      <c r="BCL2" s="180"/>
      <c r="BCM2" s="180"/>
      <c r="BCN2" s="180"/>
      <c r="BCO2" s="180"/>
      <c r="BCP2" s="180"/>
      <c r="BCQ2" s="180"/>
      <c r="BCR2" s="180"/>
      <c r="BCS2" s="180"/>
      <c r="BCT2" s="180"/>
      <c r="BCU2" s="180"/>
      <c r="BCV2" s="180"/>
      <c r="BCW2" s="180"/>
      <c r="BCX2" s="180"/>
      <c r="BCY2" s="180"/>
      <c r="BCZ2" s="180"/>
      <c r="BDA2" s="180"/>
      <c r="BDB2" s="180"/>
      <c r="BDC2" s="180"/>
      <c r="BDD2" s="180"/>
      <c r="BDE2" s="180"/>
      <c r="BDF2" s="180"/>
      <c r="BDG2" s="180"/>
      <c r="BDH2" s="180"/>
      <c r="BDI2" s="180"/>
      <c r="BDJ2" s="180"/>
      <c r="BDK2" s="180"/>
      <c r="BDL2" s="180"/>
      <c r="BDM2" s="180"/>
      <c r="BDN2" s="180"/>
      <c r="BDO2" s="180"/>
      <c r="BDP2" s="180"/>
      <c r="BDQ2" s="180"/>
      <c r="BDR2" s="180"/>
      <c r="BDS2" s="180"/>
      <c r="BDT2" s="180"/>
      <c r="BDU2" s="180"/>
      <c r="BDV2" s="180"/>
      <c r="BDW2" s="180"/>
      <c r="BDX2" s="180"/>
      <c r="BDY2" s="180"/>
      <c r="BDZ2" s="180"/>
      <c r="BEA2" s="180"/>
      <c r="BEB2" s="180"/>
      <c r="BEC2" s="180"/>
      <c r="BED2" s="180"/>
      <c r="BEE2" s="180"/>
      <c r="BEF2" s="180"/>
      <c r="BEG2" s="180"/>
      <c r="BEH2" s="180"/>
      <c r="BEI2" s="180"/>
      <c r="BEJ2" s="180"/>
      <c r="BEK2" s="180"/>
      <c r="BEL2" s="180"/>
      <c r="BEM2" s="180"/>
      <c r="BEN2" s="180"/>
      <c r="BEO2" s="180"/>
      <c r="BEP2" s="180"/>
      <c r="BEQ2" s="180"/>
      <c r="BER2" s="180"/>
      <c r="BES2" s="180"/>
      <c r="BET2" s="180"/>
      <c r="BEU2" s="180"/>
      <c r="BEV2" s="180"/>
      <c r="BEW2" s="180"/>
      <c r="BEX2" s="180"/>
      <c r="BEY2" s="180"/>
      <c r="BEZ2" s="180"/>
      <c r="BFA2" s="180"/>
      <c r="BFB2" s="180"/>
      <c r="BFC2" s="180"/>
      <c r="BFD2" s="180"/>
      <c r="BFE2" s="180"/>
      <c r="BFF2" s="180"/>
      <c r="BFG2" s="180"/>
      <c r="BFH2" s="180"/>
      <c r="BFI2" s="180"/>
      <c r="BFJ2" s="180"/>
      <c r="BFK2" s="180"/>
      <c r="BFL2" s="180"/>
      <c r="BFM2" s="180"/>
      <c r="BFN2" s="180"/>
      <c r="BFO2" s="180"/>
      <c r="BFP2" s="180"/>
      <c r="BFQ2" s="180"/>
      <c r="BFR2" s="180"/>
      <c r="BFS2" s="180"/>
      <c r="BFT2" s="180"/>
      <c r="BFU2" s="180"/>
      <c r="BFV2" s="180"/>
      <c r="BFW2" s="180"/>
      <c r="BFX2" s="180"/>
      <c r="BFY2" s="180"/>
      <c r="BFZ2" s="180"/>
      <c r="BGA2" s="180"/>
      <c r="BGB2" s="180"/>
      <c r="BGC2" s="180"/>
      <c r="BGD2" s="180"/>
      <c r="BGE2" s="180"/>
      <c r="BGF2" s="180"/>
      <c r="BGG2" s="180"/>
      <c r="BGH2" s="180"/>
      <c r="BGI2" s="180"/>
      <c r="BGJ2" s="180"/>
      <c r="BGK2" s="180"/>
      <c r="BGL2" s="180"/>
      <c r="BGM2" s="180"/>
      <c r="BGN2" s="180"/>
      <c r="BGO2" s="180"/>
      <c r="BGP2" s="180"/>
      <c r="BGQ2" s="180"/>
      <c r="BGR2" s="180"/>
      <c r="BGS2" s="180"/>
      <c r="BGT2" s="180"/>
      <c r="BGU2" s="180"/>
      <c r="BGV2" s="180"/>
      <c r="BGW2" s="180"/>
      <c r="BGX2" s="180"/>
      <c r="BGY2" s="180"/>
      <c r="BGZ2" s="180"/>
      <c r="BHA2" s="180"/>
      <c r="BHB2" s="180"/>
      <c r="BHC2" s="180"/>
      <c r="BHD2" s="180"/>
      <c r="BHE2" s="180"/>
      <c r="BHF2" s="180"/>
      <c r="BHG2" s="180"/>
      <c r="BHH2" s="180"/>
      <c r="BHI2" s="180"/>
      <c r="BHJ2" s="180"/>
      <c r="BHK2" s="180"/>
      <c r="BHL2" s="180"/>
      <c r="BHM2" s="180"/>
      <c r="BHN2" s="180"/>
      <c r="BHO2" s="180"/>
      <c r="BHP2" s="180"/>
      <c r="BHQ2" s="180"/>
      <c r="BHR2" s="180"/>
      <c r="BHS2" s="180"/>
      <c r="BHT2" s="180"/>
      <c r="BHU2" s="180"/>
      <c r="BHV2" s="180"/>
      <c r="BHW2" s="180"/>
      <c r="BHX2" s="180"/>
      <c r="BHY2" s="180"/>
      <c r="BHZ2" s="180"/>
      <c r="BIA2" s="180"/>
      <c r="BIB2" s="180"/>
      <c r="BIC2" s="180"/>
      <c r="BID2" s="180"/>
      <c r="BIE2" s="180"/>
      <c r="BIF2" s="180"/>
      <c r="BIG2" s="180"/>
      <c r="BIH2" s="180"/>
      <c r="BII2" s="180"/>
      <c r="BIJ2" s="180"/>
      <c r="BIK2" s="180"/>
      <c r="BIL2" s="180"/>
      <c r="BIM2" s="180"/>
      <c r="BIN2" s="180"/>
      <c r="BIO2" s="180"/>
      <c r="BIP2" s="180"/>
      <c r="BIQ2" s="180"/>
      <c r="BIR2" s="180"/>
      <c r="BIS2" s="180"/>
      <c r="BIT2" s="180"/>
      <c r="BIU2" s="180"/>
      <c r="BIV2" s="180"/>
      <c r="BIW2" s="180"/>
      <c r="BIX2" s="180"/>
      <c r="BIY2" s="180"/>
      <c r="BIZ2" s="180"/>
      <c r="BJA2" s="180"/>
      <c r="BJB2" s="180"/>
      <c r="BJC2" s="180"/>
      <c r="BJD2" s="180"/>
      <c r="BJE2" s="180"/>
      <c r="BJF2" s="180"/>
      <c r="BJG2" s="180"/>
      <c r="BJH2" s="180"/>
      <c r="BJI2" s="180"/>
      <c r="BJJ2" s="180"/>
      <c r="BJK2" s="180"/>
      <c r="BJL2" s="180"/>
      <c r="BJM2" s="180"/>
      <c r="BJN2" s="180"/>
      <c r="BJO2" s="180"/>
      <c r="BJP2" s="180"/>
      <c r="BJQ2" s="180"/>
      <c r="BJR2" s="180"/>
      <c r="BJS2" s="180"/>
      <c r="BJT2" s="180"/>
      <c r="BJU2" s="180"/>
      <c r="BJV2" s="180"/>
      <c r="BJW2" s="180"/>
      <c r="BJX2" s="180"/>
      <c r="BJY2" s="180"/>
      <c r="BJZ2" s="180"/>
      <c r="BKA2" s="180"/>
      <c r="BKB2" s="180"/>
      <c r="BKC2" s="180"/>
      <c r="BKD2" s="180"/>
      <c r="BKE2" s="180"/>
      <c r="BKF2" s="180"/>
      <c r="BKG2" s="180"/>
      <c r="BKH2" s="180"/>
      <c r="BKI2" s="180"/>
      <c r="BKJ2" s="180"/>
      <c r="BKK2" s="180"/>
      <c r="BKL2" s="180"/>
      <c r="BKM2" s="180"/>
      <c r="BKN2" s="180"/>
      <c r="BKO2" s="180"/>
      <c r="BKP2" s="180"/>
      <c r="BKQ2" s="180"/>
      <c r="BKR2" s="180"/>
      <c r="BKS2" s="180"/>
      <c r="BKT2" s="180"/>
      <c r="BKU2" s="180"/>
      <c r="BKV2" s="180"/>
      <c r="BKW2" s="180"/>
      <c r="BKX2" s="180"/>
      <c r="BKY2" s="180"/>
      <c r="BKZ2" s="180"/>
      <c r="BLA2" s="180"/>
      <c r="BLB2" s="180"/>
      <c r="BLC2" s="180"/>
      <c r="BLD2" s="180"/>
      <c r="BLE2" s="180"/>
      <c r="BLF2" s="180"/>
      <c r="BLG2" s="180"/>
      <c r="BLH2" s="180"/>
      <c r="BLI2" s="180"/>
      <c r="BLJ2" s="180"/>
      <c r="BLK2" s="180"/>
      <c r="BLL2" s="180"/>
      <c r="BLM2" s="180"/>
      <c r="BLN2" s="180"/>
      <c r="BLO2" s="180"/>
      <c r="BLP2" s="180"/>
      <c r="BLQ2" s="180"/>
      <c r="BLR2" s="180"/>
      <c r="BLS2" s="180"/>
      <c r="BLT2" s="180"/>
      <c r="BLU2" s="180"/>
      <c r="BLV2" s="180"/>
      <c r="BLW2" s="180"/>
      <c r="BLX2" s="180"/>
      <c r="BLY2" s="180"/>
      <c r="BLZ2" s="180"/>
      <c r="BMA2" s="180"/>
      <c r="BMB2" s="180"/>
      <c r="BMC2" s="180"/>
      <c r="BMD2" s="180"/>
      <c r="BME2" s="180"/>
      <c r="BMF2" s="180"/>
      <c r="BMG2" s="180"/>
      <c r="BMH2" s="180"/>
      <c r="BMI2" s="180"/>
      <c r="BMJ2" s="180"/>
      <c r="BMK2" s="180"/>
      <c r="BML2" s="180"/>
      <c r="BMM2" s="180"/>
      <c r="BMN2" s="180"/>
      <c r="BMO2" s="180"/>
      <c r="BMP2" s="180"/>
      <c r="BMQ2" s="180"/>
      <c r="BMR2" s="180"/>
      <c r="BMS2" s="180"/>
      <c r="BMT2" s="180"/>
      <c r="BMU2" s="180"/>
      <c r="BMV2" s="180"/>
      <c r="BMW2" s="180"/>
      <c r="BMX2" s="180"/>
      <c r="BMY2" s="180"/>
      <c r="BMZ2" s="180"/>
      <c r="BNA2" s="180"/>
      <c r="BNB2" s="180"/>
      <c r="BNC2" s="180"/>
      <c r="BND2" s="180"/>
      <c r="BNE2" s="180"/>
      <c r="BNF2" s="180"/>
      <c r="BNG2" s="180"/>
      <c r="BNH2" s="180"/>
      <c r="BNI2" s="180"/>
      <c r="BNJ2" s="180"/>
      <c r="BNK2" s="180"/>
      <c r="BNL2" s="180"/>
      <c r="BNM2" s="180"/>
      <c r="BNN2" s="180"/>
      <c r="BNO2" s="180"/>
      <c r="BNP2" s="180"/>
      <c r="BNQ2" s="180"/>
      <c r="BNR2" s="180"/>
      <c r="BNS2" s="180"/>
      <c r="BNT2" s="180"/>
      <c r="BNU2" s="180"/>
      <c r="BNV2" s="180"/>
      <c r="BNW2" s="180"/>
      <c r="BNX2" s="180"/>
      <c r="BNY2" s="180"/>
      <c r="BNZ2" s="180"/>
      <c r="BOA2" s="180"/>
      <c r="BOB2" s="180"/>
      <c r="BOC2" s="180"/>
      <c r="BOD2" s="180"/>
      <c r="BOE2" s="180"/>
      <c r="BOF2" s="180"/>
      <c r="BOG2" s="180"/>
      <c r="BOH2" s="180"/>
      <c r="BOI2" s="180"/>
      <c r="BOJ2" s="180"/>
      <c r="BOK2" s="180"/>
      <c r="BOL2" s="180"/>
      <c r="BOM2" s="180"/>
      <c r="BON2" s="180"/>
      <c r="BOO2" s="180"/>
      <c r="BOP2" s="180"/>
      <c r="BOQ2" s="180"/>
      <c r="BOR2" s="180"/>
      <c r="BOS2" s="180"/>
      <c r="BOT2" s="180"/>
      <c r="BOU2" s="180"/>
      <c r="BOV2" s="180"/>
      <c r="BOW2" s="180"/>
      <c r="BOX2" s="180"/>
      <c r="BOY2" s="180"/>
      <c r="BOZ2" s="180"/>
      <c r="BPA2" s="180"/>
      <c r="BPB2" s="180"/>
      <c r="BPC2" s="180"/>
      <c r="BPD2" s="180"/>
      <c r="BPE2" s="180"/>
      <c r="BPF2" s="180"/>
      <c r="BPG2" s="180"/>
      <c r="BPH2" s="180"/>
      <c r="BPI2" s="180"/>
      <c r="BPJ2" s="180"/>
      <c r="BPK2" s="180"/>
      <c r="BPL2" s="180"/>
      <c r="BPM2" s="180"/>
      <c r="BPN2" s="180"/>
      <c r="BPO2" s="180"/>
      <c r="BPP2" s="180"/>
      <c r="BPQ2" s="180"/>
      <c r="BPR2" s="180"/>
      <c r="BPS2" s="180"/>
      <c r="BPT2" s="180"/>
      <c r="BPU2" s="180"/>
      <c r="BPV2" s="180"/>
      <c r="BPW2" s="180"/>
      <c r="BPX2" s="180"/>
      <c r="BPY2" s="180"/>
      <c r="BPZ2" s="180"/>
      <c r="BQA2" s="180"/>
      <c r="BQB2" s="180"/>
      <c r="BQC2" s="180"/>
      <c r="BQD2" s="180"/>
      <c r="BQE2" s="180"/>
      <c r="BQF2" s="180"/>
      <c r="BQG2" s="180"/>
      <c r="BQH2" s="180"/>
      <c r="BQI2" s="180"/>
      <c r="BQJ2" s="180"/>
      <c r="BQK2" s="180"/>
      <c r="BQL2" s="180"/>
      <c r="BQM2" s="180"/>
      <c r="BQN2" s="180"/>
      <c r="BQO2" s="180"/>
      <c r="BQP2" s="180"/>
      <c r="BQQ2" s="180"/>
      <c r="BQR2" s="180"/>
      <c r="BQS2" s="180"/>
      <c r="BQT2" s="180"/>
      <c r="BQU2" s="180"/>
      <c r="BQV2" s="180"/>
      <c r="BQW2" s="180"/>
      <c r="BQX2" s="180"/>
      <c r="BQY2" s="180"/>
      <c r="BQZ2" s="180"/>
      <c r="BRA2" s="180"/>
      <c r="BRB2" s="180"/>
      <c r="BRC2" s="180"/>
      <c r="BRD2" s="180"/>
      <c r="BRE2" s="180"/>
      <c r="BRF2" s="180"/>
      <c r="BRG2" s="180"/>
      <c r="BRH2" s="180"/>
      <c r="BRI2" s="180"/>
      <c r="BRJ2" s="180"/>
      <c r="BRK2" s="180"/>
      <c r="BRL2" s="180"/>
      <c r="BRM2" s="180"/>
      <c r="BRN2" s="180"/>
      <c r="BRO2" s="180"/>
      <c r="BRP2" s="180"/>
      <c r="BRQ2" s="180"/>
      <c r="BRR2" s="180"/>
      <c r="BRS2" s="180"/>
      <c r="BRT2" s="180"/>
      <c r="BRU2" s="180"/>
      <c r="BRV2" s="180"/>
      <c r="BRW2" s="180"/>
      <c r="BRX2" s="180"/>
      <c r="BRY2" s="180"/>
      <c r="BRZ2" s="180"/>
      <c r="BSA2" s="180"/>
      <c r="BSB2" s="180"/>
      <c r="BSC2" s="180"/>
      <c r="BSD2" s="180"/>
      <c r="BSE2" s="180"/>
      <c r="BSF2" s="180"/>
      <c r="BSG2" s="180"/>
      <c r="BSH2" s="180"/>
      <c r="BSI2" s="180"/>
      <c r="BSJ2" s="180"/>
      <c r="BSK2" s="180"/>
      <c r="BSL2" s="180"/>
      <c r="BSM2" s="180"/>
      <c r="BSN2" s="180"/>
      <c r="BSO2" s="180"/>
      <c r="BSP2" s="180"/>
      <c r="BSQ2" s="180"/>
      <c r="BSR2" s="180"/>
      <c r="BSS2" s="180"/>
      <c r="BST2" s="180"/>
      <c r="BSU2" s="180"/>
      <c r="BSV2" s="180"/>
      <c r="BSW2" s="180"/>
      <c r="BSX2" s="180"/>
      <c r="BSY2" s="180"/>
      <c r="BSZ2" s="180"/>
      <c r="BTA2" s="180"/>
      <c r="BTB2" s="180"/>
      <c r="BTC2" s="180"/>
      <c r="BTD2" s="180"/>
      <c r="BTE2" s="180"/>
      <c r="BTF2" s="180"/>
      <c r="BTG2" s="180"/>
      <c r="BTH2" s="180"/>
      <c r="BTI2" s="180"/>
      <c r="BTJ2" s="180"/>
      <c r="BTK2" s="180"/>
      <c r="BTL2" s="180"/>
      <c r="BTM2" s="180"/>
      <c r="BTN2" s="180"/>
      <c r="BTO2" s="180"/>
      <c r="BTP2" s="180"/>
      <c r="BTQ2" s="180"/>
      <c r="BTR2" s="180"/>
      <c r="BTS2" s="180"/>
      <c r="BTT2" s="180"/>
      <c r="BTU2" s="180"/>
      <c r="BTV2" s="180"/>
      <c r="BTW2" s="180"/>
      <c r="BTX2" s="180"/>
      <c r="BTY2" s="180"/>
      <c r="BTZ2" s="180"/>
      <c r="BUA2" s="180"/>
      <c r="BUB2" s="180"/>
      <c r="BUC2" s="180"/>
      <c r="BUD2" s="180"/>
      <c r="BUE2" s="180"/>
      <c r="BUF2" s="180"/>
      <c r="BUG2" s="180"/>
      <c r="BUH2" s="180"/>
      <c r="BUI2" s="180"/>
      <c r="BUJ2" s="180"/>
      <c r="BUK2" s="180"/>
      <c r="BUL2" s="180"/>
      <c r="BUM2" s="180"/>
      <c r="BUN2" s="180"/>
      <c r="BUO2" s="180"/>
      <c r="BUP2" s="180"/>
      <c r="BUQ2" s="180"/>
      <c r="BUR2" s="180"/>
      <c r="BUS2" s="180"/>
      <c r="BUT2" s="180"/>
      <c r="BUU2" s="180"/>
      <c r="BUV2" s="180"/>
      <c r="BUW2" s="180"/>
      <c r="BUX2" s="180"/>
      <c r="BUY2" s="180"/>
      <c r="BUZ2" s="180"/>
      <c r="BVA2" s="180"/>
      <c r="BVB2" s="180"/>
      <c r="BVC2" s="180"/>
      <c r="BVD2" s="180"/>
      <c r="BVE2" s="180"/>
      <c r="BVF2" s="180"/>
      <c r="BVG2" s="180"/>
      <c r="BVH2" s="180"/>
      <c r="BVI2" s="180"/>
      <c r="BVJ2" s="180"/>
      <c r="BVK2" s="180"/>
      <c r="BVL2" s="180"/>
      <c r="BVM2" s="180"/>
      <c r="BVN2" s="180"/>
      <c r="BVO2" s="180"/>
      <c r="BVP2" s="180"/>
      <c r="BVQ2" s="180"/>
      <c r="BVR2" s="180"/>
      <c r="BVS2" s="180"/>
      <c r="BVT2" s="180"/>
      <c r="BVU2" s="180"/>
      <c r="BVV2" s="180"/>
      <c r="BVW2" s="180"/>
      <c r="BVX2" s="180"/>
      <c r="BVY2" s="180"/>
      <c r="BVZ2" s="180"/>
      <c r="BWA2" s="180"/>
      <c r="BWB2" s="180"/>
      <c r="BWC2" s="180"/>
      <c r="BWD2" s="180"/>
      <c r="BWE2" s="180"/>
      <c r="BWF2" s="180"/>
      <c r="BWG2" s="180"/>
      <c r="BWH2" s="180"/>
      <c r="BWI2" s="180"/>
      <c r="BWJ2" s="180"/>
      <c r="BWK2" s="180"/>
      <c r="BWL2" s="180"/>
      <c r="BWM2" s="180"/>
      <c r="BWN2" s="180"/>
      <c r="BWO2" s="180"/>
      <c r="BWP2" s="180"/>
      <c r="BWQ2" s="180"/>
      <c r="BWR2" s="180"/>
      <c r="BWS2" s="180"/>
      <c r="BWT2" s="180"/>
      <c r="BWU2" s="180"/>
      <c r="BWV2" s="180"/>
      <c r="BWW2" s="180"/>
      <c r="BWX2" s="180"/>
      <c r="BWY2" s="180"/>
      <c r="BWZ2" s="180"/>
      <c r="BXA2" s="180"/>
      <c r="BXB2" s="180"/>
      <c r="BXC2" s="180"/>
      <c r="BXD2" s="180"/>
      <c r="BXE2" s="180"/>
      <c r="BXF2" s="180"/>
      <c r="BXG2" s="180"/>
      <c r="BXH2" s="180"/>
      <c r="BXI2" s="180"/>
      <c r="BXJ2" s="180"/>
      <c r="BXK2" s="180"/>
      <c r="BXL2" s="180"/>
      <c r="BXM2" s="180"/>
      <c r="BXN2" s="180"/>
      <c r="BXO2" s="180"/>
      <c r="BXP2" s="180"/>
      <c r="BXQ2" s="180"/>
      <c r="BXR2" s="180"/>
      <c r="BXS2" s="180"/>
      <c r="BXT2" s="180"/>
      <c r="BXU2" s="180"/>
      <c r="BXV2" s="180"/>
      <c r="BXW2" s="180"/>
      <c r="BXX2" s="180"/>
      <c r="BXY2" s="180"/>
      <c r="BXZ2" s="180"/>
      <c r="BYA2" s="180"/>
      <c r="BYB2" s="180"/>
      <c r="BYC2" s="180"/>
      <c r="BYD2" s="180"/>
      <c r="BYE2" s="180"/>
      <c r="BYF2" s="180"/>
      <c r="BYG2" s="180"/>
      <c r="BYH2" s="180"/>
      <c r="BYI2" s="180"/>
      <c r="BYJ2" s="180"/>
      <c r="BYK2" s="180"/>
      <c r="BYL2" s="180"/>
      <c r="BYM2" s="180"/>
      <c r="BYN2" s="180"/>
      <c r="BYO2" s="180"/>
      <c r="BYP2" s="180"/>
      <c r="BYQ2" s="180"/>
      <c r="BYR2" s="180"/>
      <c r="BYS2" s="180"/>
      <c r="BYT2" s="180"/>
      <c r="BYU2" s="180"/>
      <c r="BYV2" s="180"/>
      <c r="BYW2" s="180"/>
      <c r="BYX2" s="180"/>
      <c r="BYY2" s="180"/>
      <c r="BYZ2" s="180"/>
      <c r="BZA2" s="180"/>
      <c r="BZB2" s="180"/>
      <c r="BZC2" s="180"/>
      <c r="BZD2" s="180"/>
      <c r="BZE2" s="180"/>
      <c r="BZF2" s="180"/>
      <c r="BZG2" s="180"/>
      <c r="BZH2" s="180"/>
      <c r="BZI2" s="180"/>
      <c r="BZJ2" s="180"/>
      <c r="BZK2" s="180"/>
      <c r="BZL2" s="180"/>
      <c r="BZM2" s="180"/>
      <c r="BZN2" s="180"/>
      <c r="BZO2" s="180"/>
      <c r="BZP2" s="180"/>
      <c r="BZQ2" s="180"/>
      <c r="BZR2" s="180"/>
      <c r="BZS2" s="180"/>
      <c r="BZT2" s="180"/>
      <c r="BZU2" s="180"/>
      <c r="BZV2" s="180"/>
      <c r="BZW2" s="180"/>
      <c r="BZX2" s="180"/>
      <c r="BZY2" s="180"/>
      <c r="BZZ2" s="180"/>
      <c r="CAA2" s="180"/>
      <c r="CAB2" s="180"/>
      <c r="CAC2" s="180"/>
      <c r="CAD2" s="180"/>
      <c r="CAE2" s="180"/>
      <c r="CAF2" s="180"/>
      <c r="CAG2" s="180"/>
      <c r="CAH2" s="180"/>
      <c r="CAI2" s="180"/>
      <c r="CAJ2" s="180"/>
      <c r="CAK2" s="180"/>
      <c r="CAL2" s="180"/>
      <c r="CAM2" s="180"/>
      <c r="CAN2" s="180"/>
      <c r="CAO2" s="180"/>
      <c r="CAP2" s="180"/>
      <c r="CAQ2" s="180"/>
      <c r="CAR2" s="180"/>
      <c r="CAS2" s="180"/>
      <c r="CAT2" s="180"/>
      <c r="CAU2" s="180"/>
      <c r="CAV2" s="180"/>
      <c r="CAW2" s="180"/>
      <c r="CAX2" s="180"/>
      <c r="CAY2" s="180"/>
      <c r="CAZ2" s="180"/>
      <c r="CBA2" s="180"/>
      <c r="CBB2" s="180"/>
      <c r="CBC2" s="180"/>
      <c r="CBD2" s="180"/>
      <c r="CBE2" s="180"/>
      <c r="CBF2" s="180"/>
      <c r="CBG2" s="180"/>
      <c r="CBH2" s="180"/>
      <c r="CBI2" s="180"/>
      <c r="CBJ2" s="180"/>
      <c r="CBK2" s="180"/>
      <c r="CBL2" s="180"/>
      <c r="CBM2" s="180"/>
      <c r="CBN2" s="180"/>
      <c r="CBO2" s="180"/>
      <c r="CBP2" s="180"/>
      <c r="CBQ2" s="180"/>
      <c r="CBR2" s="180"/>
      <c r="CBS2" s="180"/>
      <c r="CBT2" s="180"/>
      <c r="CBU2" s="180"/>
      <c r="CBV2" s="180"/>
      <c r="CBW2" s="180"/>
      <c r="CBX2" s="180"/>
      <c r="CBY2" s="180"/>
      <c r="CBZ2" s="180"/>
      <c r="CCA2" s="180"/>
      <c r="CCB2" s="180"/>
      <c r="CCC2" s="180"/>
      <c r="CCD2" s="180"/>
      <c r="CCE2" s="180"/>
      <c r="CCF2" s="180"/>
      <c r="CCG2" s="180"/>
      <c r="CCH2" s="180"/>
      <c r="CCI2" s="180"/>
      <c r="CCJ2" s="180"/>
      <c r="CCK2" s="180"/>
      <c r="CCL2" s="180"/>
      <c r="CCM2" s="180"/>
      <c r="CCN2" s="180"/>
      <c r="CCO2" s="180"/>
      <c r="CCP2" s="180"/>
      <c r="CCQ2" s="180"/>
      <c r="CCR2" s="180"/>
      <c r="CCS2" s="180"/>
      <c r="CCT2" s="180"/>
      <c r="CCU2" s="180"/>
      <c r="CCV2" s="180"/>
      <c r="CCW2" s="180"/>
      <c r="CCX2" s="180"/>
      <c r="CCY2" s="180"/>
      <c r="CCZ2" s="180"/>
      <c r="CDA2" s="180"/>
      <c r="CDB2" s="180"/>
      <c r="CDC2" s="180"/>
      <c r="CDD2" s="180"/>
      <c r="CDE2" s="180"/>
      <c r="CDF2" s="180"/>
      <c r="CDG2" s="180"/>
      <c r="CDH2" s="180"/>
      <c r="CDI2" s="180"/>
      <c r="CDJ2" s="180"/>
      <c r="CDK2" s="180"/>
      <c r="CDL2" s="180"/>
      <c r="CDM2" s="180"/>
      <c r="CDN2" s="180"/>
      <c r="CDO2" s="180"/>
      <c r="CDP2" s="180"/>
      <c r="CDQ2" s="180"/>
      <c r="CDR2" s="180"/>
      <c r="CDS2" s="180"/>
      <c r="CDT2" s="180"/>
      <c r="CDU2" s="180"/>
      <c r="CDV2" s="180"/>
      <c r="CDW2" s="180"/>
      <c r="CDX2" s="180"/>
      <c r="CDY2" s="180"/>
      <c r="CDZ2" s="180"/>
      <c r="CEA2" s="180"/>
      <c r="CEB2" s="180"/>
      <c r="CEC2" s="180"/>
      <c r="CED2" s="180"/>
      <c r="CEE2" s="180"/>
      <c r="CEF2" s="180"/>
      <c r="CEG2" s="180"/>
      <c r="CEH2" s="180"/>
      <c r="CEI2" s="180"/>
      <c r="CEJ2" s="180"/>
      <c r="CEK2" s="180"/>
      <c r="CEL2" s="180"/>
      <c r="CEM2" s="180"/>
      <c r="CEN2" s="180"/>
      <c r="CEO2" s="180"/>
      <c r="CEP2" s="180"/>
      <c r="CEQ2" s="180"/>
      <c r="CER2" s="180"/>
      <c r="CES2" s="180"/>
      <c r="CET2" s="180"/>
      <c r="CEU2" s="180"/>
      <c r="CEV2" s="180"/>
      <c r="CEW2" s="180"/>
      <c r="CEX2" s="180"/>
      <c r="CEY2" s="180"/>
      <c r="CEZ2" s="180"/>
      <c r="CFA2" s="180"/>
      <c r="CFB2" s="180"/>
      <c r="CFC2" s="180"/>
      <c r="CFD2" s="180"/>
      <c r="CFE2" s="180"/>
      <c r="CFF2" s="180"/>
      <c r="CFG2" s="180"/>
      <c r="CFH2" s="180"/>
      <c r="CFI2" s="180"/>
      <c r="CFJ2" s="180"/>
      <c r="CFK2" s="180"/>
      <c r="CFL2" s="180"/>
      <c r="CFM2" s="180"/>
      <c r="CFN2" s="180"/>
      <c r="CFO2" s="180"/>
      <c r="CFP2" s="180"/>
      <c r="CFQ2" s="180"/>
      <c r="CFR2" s="180"/>
      <c r="CFS2" s="180"/>
      <c r="CFT2" s="180"/>
      <c r="CFU2" s="180"/>
      <c r="CFV2" s="180"/>
      <c r="CFW2" s="180"/>
      <c r="CFX2" s="180"/>
      <c r="CFY2" s="180"/>
      <c r="CFZ2" s="180"/>
      <c r="CGA2" s="180"/>
      <c r="CGB2" s="180"/>
      <c r="CGC2" s="180"/>
      <c r="CGD2" s="180"/>
      <c r="CGE2" s="180"/>
      <c r="CGF2" s="180"/>
      <c r="CGG2" s="180"/>
      <c r="CGH2" s="180"/>
      <c r="CGI2" s="180"/>
      <c r="CGJ2" s="180"/>
      <c r="CGK2" s="180"/>
      <c r="CGL2" s="180"/>
      <c r="CGM2" s="180"/>
      <c r="CGN2" s="180"/>
      <c r="CGO2" s="180"/>
      <c r="CGP2" s="180"/>
      <c r="CGQ2" s="180"/>
      <c r="CGR2" s="180"/>
      <c r="CGS2" s="180"/>
      <c r="CGT2" s="180"/>
      <c r="CGU2" s="180"/>
      <c r="CGV2" s="180"/>
      <c r="CGW2" s="180"/>
      <c r="CGX2" s="180"/>
      <c r="CGY2" s="180"/>
      <c r="CGZ2" s="180"/>
      <c r="CHA2" s="180"/>
      <c r="CHB2" s="180"/>
      <c r="CHC2" s="180"/>
      <c r="CHD2" s="180"/>
      <c r="CHE2" s="180"/>
      <c r="CHF2" s="180"/>
      <c r="CHG2" s="180"/>
      <c r="CHH2" s="180"/>
      <c r="CHI2" s="180"/>
      <c r="CHJ2" s="180"/>
      <c r="CHK2" s="180"/>
      <c r="CHL2" s="180"/>
      <c r="CHM2" s="180"/>
      <c r="CHN2" s="180"/>
      <c r="CHO2" s="180"/>
      <c r="CHP2" s="180"/>
      <c r="CHQ2" s="180"/>
      <c r="CHR2" s="180"/>
      <c r="CHS2" s="180"/>
      <c r="CHT2" s="180"/>
      <c r="CHU2" s="180"/>
      <c r="CHV2" s="180"/>
      <c r="CHW2" s="180"/>
      <c r="CHX2" s="180"/>
      <c r="CHY2" s="180"/>
      <c r="CHZ2" s="180"/>
      <c r="CIA2" s="180"/>
      <c r="CIB2" s="180"/>
      <c r="CIC2" s="180"/>
      <c r="CID2" s="180"/>
      <c r="CIE2" s="180"/>
      <c r="CIF2" s="180"/>
      <c r="CIG2" s="180"/>
      <c r="CIH2" s="180"/>
      <c r="CII2" s="180"/>
      <c r="CIJ2" s="180"/>
      <c r="CIK2" s="180"/>
      <c r="CIL2" s="180"/>
      <c r="CIM2" s="180"/>
      <c r="CIN2" s="180"/>
      <c r="CIO2" s="180"/>
      <c r="CIP2" s="180"/>
      <c r="CIQ2" s="180"/>
      <c r="CIR2" s="180"/>
      <c r="CIS2" s="180"/>
      <c r="CIT2" s="180"/>
      <c r="CIU2" s="180"/>
      <c r="CIV2" s="180"/>
      <c r="CIW2" s="180"/>
      <c r="CIX2" s="180"/>
      <c r="CIY2" s="180"/>
      <c r="CIZ2" s="180"/>
      <c r="CJA2" s="180"/>
      <c r="CJB2" s="180"/>
      <c r="CJC2" s="180"/>
      <c r="CJD2" s="180"/>
      <c r="CJE2" s="180"/>
      <c r="CJF2" s="180"/>
      <c r="CJG2" s="180"/>
      <c r="CJH2" s="180"/>
      <c r="CJI2" s="180"/>
      <c r="CJJ2" s="180"/>
      <c r="CJK2" s="180"/>
      <c r="CJL2" s="180"/>
      <c r="CJM2" s="180"/>
      <c r="CJN2" s="180"/>
      <c r="CJO2" s="180"/>
      <c r="CJP2" s="180"/>
      <c r="CJQ2" s="180"/>
      <c r="CJR2" s="180"/>
      <c r="CJS2" s="180"/>
      <c r="CJT2" s="180"/>
      <c r="CJU2" s="180"/>
      <c r="CJV2" s="180"/>
      <c r="CJW2" s="180"/>
      <c r="CJX2" s="180"/>
      <c r="CJY2" s="180"/>
      <c r="CJZ2" s="180"/>
      <c r="CKA2" s="180"/>
      <c r="CKB2" s="180"/>
      <c r="CKC2" s="180"/>
      <c r="CKD2" s="180"/>
      <c r="CKE2" s="180"/>
      <c r="CKF2" s="180"/>
      <c r="CKG2" s="180"/>
      <c r="CKH2" s="180"/>
      <c r="CKI2" s="180"/>
      <c r="CKJ2" s="180"/>
      <c r="CKK2" s="180"/>
      <c r="CKL2" s="180"/>
      <c r="CKM2" s="180"/>
      <c r="CKN2" s="180"/>
      <c r="CKO2" s="180"/>
      <c r="CKP2" s="180"/>
      <c r="CKQ2" s="180"/>
      <c r="CKR2" s="180"/>
      <c r="CKS2" s="180"/>
      <c r="CKT2" s="180"/>
      <c r="CKU2" s="180"/>
      <c r="CKV2" s="180"/>
      <c r="CKW2" s="180"/>
      <c r="CKX2" s="180"/>
      <c r="CKY2" s="180"/>
      <c r="CKZ2" s="180"/>
      <c r="CLA2" s="180"/>
      <c r="CLB2" s="180"/>
      <c r="CLC2" s="180"/>
      <c r="CLD2" s="180"/>
      <c r="CLE2" s="180"/>
      <c r="CLF2" s="180"/>
      <c r="CLG2" s="180"/>
      <c r="CLH2" s="180"/>
      <c r="CLI2" s="180"/>
      <c r="CLJ2" s="180"/>
      <c r="CLK2" s="180"/>
      <c r="CLL2" s="180"/>
      <c r="CLM2" s="180"/>
      <c r="CLN2" s="180"/>
      <c r="CLO2" s="180"/>
      <c r="CLP2" s="180"/>
      <c r="CLQ2" s="180"/>
      <c r="CLR2" s="180"/>
      <c r="CLS2" s="180"/>
      <c r="CLT2" s="180"/>
      <c r="CLU2" s="180"/>
      <c r="CLV2" s="180"/>
      <c r="CLW2" s="180"/>
      <c r="CLX2" s="180"/>
      <c r="CLY2" s="180"/>
      <c r="CLZ2" s="180"/>
      <c r="CMA2" s="180"/>
      <c r="CMB2" s="180"/>
      <c r="CMC2" s="180"/>
      <c r="CMD2" s="180"/>
      <c r="CME2" s="180"/>
      <c r="CMF2" s="180"/>
      <c r="CMG2" s="180"/>
      <c r="CMH2" s="180"/>
      <c r="CMI2" s="180"/>
      <c r="CMJ2" s="180"/>
      <c r="CMK2" s="180"/>
      <c r="CML2" s="180"/>
      <c r="CMM2" s="180"/>
      <c r="CMN2" s="180"/>
      <c r="CMO2" s="180"/>
      <c r="CMP2" s="180"/>
      <c r="CMQ2" s="180"/>
      <c r="CMR2" s="180"/>
      <c r="CMS2" s="180"/>
      <c r="CMT2" s="180"/>
      <c r="CMU2" s="180"/>
      <c r="CMV2" s="180"/>
      <c r="CMW2" s="180"/>
      <c r="CMX2" s="180"/>
      <c r="CMY2" s="180"/>
      <c r="CMZ2" s="180"/>
      <c r="CNA2" s="180"/>
      <c r="CNB2" s="180"/>
      <c r="CNC2" s="180"/>
      <c r="CND2" s="180"/>
      <c r="CNE2" s="180"/>
      <c r="CNF2" s="180"/>
      <c r="CNG2" s="180"/>
      <c r="CNH2" s="180"/>
      <c r="CNI2" s="180"/>
      <c r="CNJ2" s="180"/>
      <c r="CNK2" s="180"/>
      <c r="CNL2" s="180"/>
      <c r="CNM2" s="180"/>
      <c r="CNN2" s="180"/>
      <c r="CNO2" s="180"/>
      <c r="CNP2" s="180"/>
      <c r="CNQ2" s="180"/>
      <c r="CNR2" s="180"/>
      <c r="CNS2" s="180"/>
      <c r="CNT2" s="180"/>
      <c r="CNU2" s="180"/>
      <c r="CNV2" s="180"/>
      <c r="CNW2" s="180"/>
      <c r="CNX2" s="180"/>
      <c r="CNY2" s="180"/>
      <c r="CNZ2" s="180"/>
      <c r="COA2" s="180"/>
      <c r="COB2" s="180"/>
      <c r="COC2" s="180"/>
      <c r="COD2" s="180"/>
      <c r="COE2" s="180"/>
      <c r="COF2" s="180"/>
      <c r="COG2" s="180"/>
      <c r="COH2" s="180"/>
      <c r="COI2" s="180"/>
      <c r="COJ2" s="180"/>
      <c r="COK2" s="180"/>
      <c r="COL2" s="180"/>
      <c r="COM2" s="180"/>
      <c r="CON2" s="180"/>
      <c r="COO2" s="180"/>
      <c r="COP2" s="180"/>
      <c r="COQ2" s="180"/>
      <c r="COR2" s="180"/>
      <c r="COS2" s="180"/>
      <c r="COT2" s="180"/>
      <c r="COU2" s="180"/>
      <c r="COV2" s="180"/>
      <c r="COW2" s="180"/>
      <c r="COX2" s="180"/>
      <c r="COY2" s="180"/>
      <c r="COZ2" s="180"/>
      <c r="CPA2" s="180"/>
      <c r="CPB2" s="180"/>
      <c r="CPC2" s="180"/>
      <c r="CPD2" s="180"/>
      <c r="CPE2" s="180"/>
      <c r="CPF2" s="180"/>
      <c r="CPG2" s="180"/>
      <c r="CPH2" s="180"/>
      <c r="CPI2" s="180"/>
      <c r="CPJ2" s="180"/>
      <c r="CPK2" s="180"/>
      <c r="CPL2" s="180"/>
      <c r="CPM2" s="180"/>
      <c r="CPN2" s="180"/>
      <c r="CPO2" s="180"/>
      <c r="CPP2" s="180"/>
      <c r="CPQ2" s="180"/>
      <c r="CPR2" s="180"/>
      <c r="CPS2" s="180"/>
      <c r="CPT2" s="180"/>
      <c r="CPU2" s="180"/>
      <c r="CPV2" s="180"/>
      <c r="CPW2" s="180"/>
      <c r="CPX2" s="180"/>
      <c r="CPY2" s="180"/>
      <c r="CPZ2" s="180"/>
      <c r="CQA2" s="180"/>
      <c r="CQB2" s="180"/>
      <c r="CQC2" s="180"/>
      <c r="CQD2" s="180"/>
      <c r="CQE2" s="180"/>
      <c r="CQF2" s="180"/>
      <c r="CQG2" s="180"/>
      <c r="CQH2" s="180"/>
      <c r="CQI2" s="180"/>
      <c r="CQJ2" s="180"/>
      <c r="CQK2" s="180"/>
      <c r="CQL2" s="180"/>
      <c r="CQM2" s="180"/>
      <c r="CQN2" s="180"/>
      <c r="CQO2" s="180"/>
      <c r="CQP2" s="180"/>
      <c r="CQQ2" s="180"/>
      <c r="CQR2" s="180"/>
      <c r="CQS2" s="180"/>
      <c r="CQT2" s="180"/>
      <c r="CQU2" s="180"/>
      <c r="CQV2" s="180"/>
      <c r="CQW2" s="180"/>
      <c r="CQX2" s="180"/>
      <c r="CQY2" s="180"/>
      <c r="CQZ2" s="180"/>
      <c r="CRA2" s="180"/>
      <c r="CRB2" s="180"/>
      <c r="CRC2" s="180"/>
      <c r="CRD2" s="180"/>
      <c r="CRE2" s="180"/>
      <c r="CRF2" s="180"/>
      <c r="CRG2" s="180"/>
      <c r="CRH2" s="180"/>
      <c r="CRI2" s="180"/>
      <c r="CRJ2" s="180"/>
      <c r="CRK2" s="180"/>
      <c r="CRL2" s="180"/>
      <c r="CRM2" s="180"/>
      <c r="CRN2" s="180"/>
      <c r="CRO2" s="180"/>
      <c r="CRP2" s="180"/>
      <c r="CRQ2" s="180"/>
      <c r="CRR2" s="180"/>
      <c r="CRS2" s="180"/>
      <c r="CRT2" s="180"/>
      <c r="CRU2" s="180"/>
      <c r="CRV2" s="180"/>
      <c r="CRW2" s="180"/>
      <c r="CRX2" s="180"/>
      <c r="CRY2" s="180"/>
      <c r="CRZ2" s="180"/>
      <c r="CSA2" s="180"/>
      <c r="CSB2" s="180"/>
      <c r="CSC2" s="180"/>
      <c r="CSD2" s="180"/>
      <c r="CSE2" s="180"/>
      <c r="CSF2" s="180"/>
      <c r="CSG2" s="180"/>
      <c r="CSH2" s="180"/>
      <c r="CSI2" s="180"/>
      <c r="CSJ2" s="180"/>
      <c r="CSK2" s="180"/>
      <c r="CSL2" s="180"/>
      <c r="CSM2" s="180"/>
      <c r="CSN2" s="180"/>
      <c r="CSO2" s="180"/>
      <c r="CSP2" s="180"/>
      <c r="CSQ2" s="180"/>
      <c r="CSR2" s="180"/>
      <c r="CSS2" s="180"/>
      <c r="CST2" s="180"/>
      <c r="CSU2" s="180"/>
      <c r="CSV2" s="180"/>
      <c r="CSW2" s="180"/>
      <c r="CSX2" s="180"/>
      <c r="CSY2" s="180"/>
      <c r="CSZ2" s="180"/>
      <c r="CTA2" s="180"/>
      <c r="CTB2" s="180"/>
      <c r="CTC2" s="180"/>
      <c r="CTD2" s="180"/>
      <c r="CTE2" s="180"/>
      <c r="CTF2" s="180"/>
      <c r="CTG2" s="180"/>
      <c r="CTH2" s="180"/>
      <c r="CTI2" s="180"/>
      <c r="CTJ2" s="180"/>
      <c r="CTK2" s="180"/>
      <c r="CTL2" s="180"/>
      <c r="CTM2" s="180"/>
      <c r="CTN2" s="180"/>
      <c r="CTO2" s="180"/>
      <c r="CTP2" s="180"/>
      <c r="CTQ2" s="180"/>
      <c r="CTR2" s="180"/>
      <c r="CTS2" s="180"/>
      <c r="CTT2" s="180"/>
      <c r="CTU2" s="180"/>
      <c r="CTV2" s="180"/>
      <c r="CTW2" s="180"/>
      <c r="CTX2" s="180"/>
      <c r="CTY2" s="180"/>
      <c r="CTZ2" s="180"/>
      <c r="CUA2" s="180"/>
      <c r="CUB2" s="180"/>
      <c r="CUC2" s="180"/>
      <c r="CUD2" s="180"/>
      <c r="CUE2" s="180"/>
      <c r="CUF2" s="180"/>
      <c r="CUG2" s="180"/>
      <c r="CUH2" s="180"/>
      <c r="CUI2" s="180"/>
      <c r="CUJ2" s="180"/>
      <c r="CUK2" s="180"/>
      <c r="CUL2" s="180"/>
      <c r="CUM2" s="180"/>
      <c r="CUN2" s="180"/>
      <c r="CUO2" s="180"/>
      <c r="CUP2" s="180"/>
      <c r="CUQ2" s="180"/>
      <c r="CUR2" s="180"/>
      <c r="CUS2" s="180"/>
      <c r="CUT2" s="180"/>
      <c r="CUU2" s="180"/>
      <c r="CUV2" s="180"/>
      <c r="CUW2" s="180"/>
      <c r="CUX2" s="180"/>
      <c r="CUY2" s="180"/>
      <c r="CUZ2" s="180"/>
      <c r="CVA2" s="180"/>
      <c r="CVB2" s="180"/>
      <c r="CVC2" s="180"/>
      <c r="CVD2" s="180"/>
      <c r="CVE2" s="180"/>
      <c r="CVF2" s="180"/>
      <c r="CVG2" s="180"/>
      <c r="CVH2" s="180"/>
      <c r="CVI2" s="180"/>
      <c r="CVJ2" s="180"/>
      <c r="CVK2" s="180"/>
      <c r="CVL2" s="180"/>
      <c r="CVM2" s="180"/>
      <c r="CVN2" s="180"/>
      <c r="CVO2" s="180"/>
      <c r="CVP2" s="180"/>
      <c r="CVQ2" s="180"/>
      <c r="CVR2" s="180"/>
      <c r="CVS2" s="180"/>
      <c r="CVT2" s="180"/>
      <c r="CVU2" s="180"/>
      <c r="CVV2" s="180"/>
      <c r="CVW2" s="180"/>
      <c r="CVX2" s="180"/>
      <c r="CVY2" s="180"/>
      <c r="CVZ2" s="180"/>
      <c r="CWA2" s="180"/>
      <c r="CWB2" s="180"/>
      <c r="CWC2" s="180"/>
      <c r="CWD2" s="180"/>
      <c r="CWE2" s="180"/>
      <c r="CWF2" s="180"/>
      <c r="CWG2" s="180"/>
      <c r="CWH2" s="180"/>
      <c r="CWI2" s="180"/>
      <c r="CWJ2" s="180"/>
      <c r="CWK2" s="180"/>
      <c r="CWL2" s="180"/>
      <c r="CWM2" s="180"/>
      <c r="CWN2" s="180"/>
      <c r="CWO2" s="180"/>
      <c r="CWP2" s="180"/>
      <c r="CWQ2" s="180"/>
      <c r="CWR2" s="180"/>
      <c r="CWS2" s="180"/>
      <c r="CWT2" s="180"/>
      <c r="CWU2" s="180"/>
      <c r="CWV2" s="180"/>
      <c r="CWW2" s="180"/>
      <c r="CWX2" s="180"/>
      <c r="CWY2" s="180"/>
      <c r="CWZ2" s="180"/>
      <c r="CXA2" s="180"/>
      <c r="CXB2" s="180"/>
      <c r="CXC2" s="180"/>
      <c r="CXD2" s="180"/>
      <c r="CXE2" s="180"/>
      <c r="CXF2" s="180"/>
      <c r="CXG2" s="180"/>
      <c r="CXH2" s="180"/>
      <c r="CXI2" s="180"/>
      <c r="CXJ2" s="180"/>
      <c r="CXK2" s="180"/>
      <c r="CXL2" s="180"/>
      <c r="CXM2" s="180"/>
      <c r="CXN2" s="180"/>
      <c r="CXO2" s="180"/>
      <c r="CXP2" s="180"/>
      <c r="CXQ2" s="180"/>
      <c r="CXR2" s="180"/>
      <c r="CXS2" s="180"/>
      <c r="CXT2" s="180"/>
      <c r="CXU2" s="180"/>
      <c r="CXV2" s="180"/>
      <c r="CXW2" s="180"/>
      <c r="CXX2" s="180"/>
      <c r="CXY2" s="180"/>
      <c r="CXZ2" s="180"/>
      <c r="CYA2" s="180"/>
      <c r="CYB2" s="180"/>
      <c r="CYC2" s="180"/>
      <c r="CYD2" s="180"/>
      <c r="CYE2" s="180"/>
      <c r="CYF2" s="180"/>
      <c r="CYG2" s="180"/>
      <c r="CYH2" s="180"/>
      <c r="CYI2" s="180"/>
      <c r="CYJ2" s="180"/>
      <c r="CYK2" s="180"/>
      <c r="CYL2" s="180"/>
      <c r="CYM2" s="180"/>
      <c r="CYN2" s="180"/>
      <c r="CYO2" s="180"/>
      <c r="CYP2" s="180"/>
      <c r="CYQ2" s="180"/>
      <c r="CYR2" s="180"/>
      <c r="CYS2" s="180"/>
      <c r="CYT2" s="180"/>
      <c r="CYU2" s="180"/>
      <c r="CYV2" s="180"/>
      <c r="CYW2" s="180"/>
      <c r="CYX2" s="180"/>
      <c r="CYY2" s="180"/>
      <c r="CYZ2" s="180"/>
      <c r="CZA2" s="180"/>
      <c r="CZB2" s="180"/>
      <c r="CZC2" s="180"/>
      <c r="CZD2" s="180"/>
      <c r="CZE2" s="180"/>
      <c r="CZF2" s="180"/>
      <c r="CZG2" s="180"/>
      <c r="CZH2" s="180"/>
      <c r="CZI2" s="180"/>
      <c r="CZJ2" s="180"/>
      <c r="CZK2" s="180"/>
      <c r="CZL2" s="180"/>
      <c r="CZM2" s="180"/>
      <c r="CZN2" s="180"/>
      <c r="CZO2" s="180"/>
      <c r="CZP2" s="180"/>
      <c r="CZQ2" s="180"/>
      <c r="CZR2" s="180"/>
      <c r="CZS2" s="180"/>
      <c r="CZT2" s="180"/>
      <c r="CZU2" s="180"/>
      <c r="CZV2" s="180"/>
      <c r="CZW2" s="180"/>
      <c r="CZX2" s="180"/>
      <c r="CZY2" s="180"/>
      <c r="CZZ2" s="180"/>
      <c r="DAA2" s="180"/>
      <c r="DAB2" s="180"/>
      <c r="DAC2" s="180"/>
      <c r="DAD2" s="180"/>
      <c r="DAE2" s="180"/>
      <c r="DAF2" s="180"/>
      <c r="DAG2" s="180"/>
      <c r="DAH2" s="180"/>
      <c r="DAI2" s="180"/>
      <c r="DAJ2" s="180"/>
      <c r="DAK2" s="180"/>
      <c r="DAL2" s="180"/>
      <c r="DAM2" s="180"/>
      <c r="DAN2" s="180"/>
      <c r="DAO2" s="180"/>
      <c r="DAP2" s="180"/>
      <c r="DAQ2" s="180"/>
      <c r="DAR2" s="180"/>
      <c r="DAS2" s="180"/>
      <c r="DAT2" s="180"/>
      <c r="DAU2" s="180"/>
      <c r="DAV2" s="180"/>
      <c r="DAW2" s="180"/>
      <c r="DAX2" s="180"/>
      <c r="DAY2" s="180"/>
      <c r="DAZ2" s="180"/>
      <c r="DBA2" s="180"/>
      <c r="DBB2" s="180"/>
      <c r="DBC2" s="180"/>
      <c r="DBD2" s="180"/>
      <c r="DBE2" s="180"/>
      <c r="DBF2" s="180"/>
      <c r="DBG2" s="180"/>
      <c r="DBH2" s="180"/>
      <c r="DBI2" s="180"/>
      <c r="DBJ2" s="180"/>
      <c r="DBK2" s="180"/>
      <c r="DBL2" s="180"/>
      <c r="DBM2" s="180"/>
      <c r="DBN2" s="180"/>
      <c r="DBO2" s="180"/>
      <c r="DBP2" s="180"/>
      <c r="DBQ2" s="180"/>
      <c r="DBR2" s="180"/>
      <c r="DBS2" s="180"/>
      <c r="DBT2" s="180"/>
      <c r="DBU2" s="180"/>
      <c r="DBV2" s="180"/>
      <c r="DBW2" s="180"/>
      <c r="DBX2" s="180"/>
      <c r="DBY2" s="180"/>
      <c r="DBZ2" s="180"/>
      <c r="DCA2" s="180"/>
      <c r="DCB2" s="180"/>
      <c r="DCC2" s="180"/>
      <c r="DCD2" s="180"/>
      <c r="DCE2" s="180"/>
      <c r="DCF2" s="180"/>
      <c r="DCG2" s="180"/>
      <c r="DCH2" s="180"/>
      <c r="DCI2" s="180"/>
      <c r="DCJ2" s="180"/>
      <c r="DCK2" s="180"/>
      <c r="DCL2" s="180"/>
      <c r="DCM2" s="180"/>
      <c r="DCN2" s="180"/>
      <c r="DCO2" s="180"/>
      <c r="DCP2" s="180"/>
      <c r="DCQ2" s="180"/>
      <c r="DCR2" s="180"/>
      <c r="DCS2" s="180"/>
      <c r="DCT2" s="180"/>
      <c r="DCU2" s="180"/>
      <c r="DCV2" s="180"/>
      <c r="DCW2" s="180"/>
      <c r="DCX2" s="180"/>
      <c r="DCY2" s="180"/>
      <c r="DCZ2" s="180"/>
      <c r="DDA2" s="180"/>
      <c r="DDB2" s="180"/>
      <c r="DDC2" s="180"/>
      <c r="DDD2" s="180"/>
      <c r="DDE2" s="180"/>
      <c r="DDF2" s="180"/>
      <c r="DDG2" s="180"/>
      <c r="DDH2" s="180"/>
      <c r="DDI2" s="180"/>
      <c r="DDJ2" s="180"/>
      <c r="DDK2" s="180"/>
      <c r="DDL2" s="180"/>
      <c r="DDM2" s="180"/>
      <c r="DDN2" s="180"/>
      <c r="DDO2" s="180"/>
      <c r="DDP2" s="180"/>
      <c r="DDQ2" s="180"/>
      <c r="DDR2" s="180"/>
      <c r="DDS2" s="180"/>
      <c r="DDT2" s="180"/>
      <c r="DDU2" s="180"/>
      <c r="DDV2" s="180"/>
      <c r="DDW2" s="180"/>
      <c r="DDX2" s="180"/>
      <c r="DDY2" s="180"/>
      <c r="DDZ2" s="180"/>
      <c r="DEA2" s="180"/>
      <c r="DEB2" s="180"/>
      <c r="DEC2" s="180"/>
      <c r="DED2" s="180"/>
      <c r="DEE2" s="180"/>
      <c r="DEF2" s="180"/>
      <c r="DEG2" s="180"/>
      <c r="DEH2" s="180"/>
      <c r="DEI2" s="180"/>
      <c r="DEJ2" s="180"/>
      <c r="DEK2" s="180"/>
      <c r="DEL2" s="180"/>
      <c r="DEM2" s="180"/>
      <c r="DEN2" s="180"/>
      <c r="DEO2" s="180"/>
      <c r="DEP2" s="180"/>
      <c r="DEQ2" s="180"/>
      <c r="DER2" s="180"/>
      <c r="DES2" s="180"/>
      <c r="DET2" s="180"/>
      <c r="DEU2" s="180"/>
      <c r="DEV2" s="180"/>
      <c r="DEW2" s="180"/>
      <c r="DEX2" s="180"/>
      <c r="DEY2" s="180"/>
      <c r="DEZ2" s="180"/>
      <c r="DFA2" s="180"/>
      <c r="DFB2" s="180"/>
      <c r="DFC2" s="180"/>
      <c r="DFD2" s="180"/>
      <c r="DFE2" s="180"/>
      <c r="DFF2" s="180"/>
      <c r="DFG2" s="180"/>
      <c r="DFH2" s="180"/>
      <c r="DFI2" s="180"/>
      <c r="DFJ2" s="180"/>
      <c r="DFK2" s="180"/>
      <c r="DFL2" s="180"/>
      <c r="DFM2" s="180"/>
      <c r="DFN2" s="180"/>
      <c r="DFO2" s="180"/>
      <c r="DFP2" s="180"/>
      <c r="DFQ2" s="180"/>
      <c r="DFR2" s="180"/>
      <c r="DFS2" s="180"/>
      <c r="DFT2" s="180"/>
      <c r="DFU2" s="180"/>
      <c r="DFV2" s="180"/>
      <c r="DFW2" s="180"/>
      <c r="DFX2" s="180"/>
      <c r="DFY2" s="180"/>
      <c r="DFZ2" s="180"/>
      <c r="DGA2" s="180"/>
      <c r="DGB2" s="180"/>
      <c r="DGC2" s="180"/>
      <c r="DGD2" s="180"/>
      <c r="DGE2" s="180"/>
      <c r="DGF2" s="180"/>
      <c r="DGG2" s="180"/>
      <c r="DGH2" s="180"/>
      <c r="DGI2" s="180"/>
      <c r="DGJ2" s="180"/>
      <c r="DGK2" s="180"/>
      <c r="DGL2" s="180"/>
      <c r="DGM2" s="180"/>
      <c r="DGN2" s="180"/>
      <c r="DGO2" s="180"/>
      <c r="DGP2" s="180"/>
      <c r="DGQ2" s="180"/>
      <c r="DGR2" s="180"/>
      <c r="DGS2" s="180"/>
      <c r="DGT2" s="180"/>
      <c r="DGU2" s="180"/>
      <c r="DGV2" s="180"/>
      <c r="DGW2" s="180"/>
      <c r="DGX2" s="180"/>
      <c r="DGY2" s="180"/>
      <c r="DGZ2" s="180"/>
      <c r="DHA2" s="180"/>
      <c r="DHB2" s="180"/>
      <c r="DHC2" s="180"/>
      <c r="DHD2" s="180"/>
      <c r="DHE2" s="180"/>
      <c r="DHF2" s="180"/>
      <c r="DHG2" s="180"/>
      <c r="DHH2" s="180"/>
      <c r="DHI2" s="180"/>
      <c r="DHJ2" s="180"/>
      <c r="DHK2" s="180"/>
      <c r="DHL2" s="180"/>
      <c r="DHM2" s="180"/>
      <c r="DHN2" s="180"/>
      <c r="DHO2" s="180"/>
      <c r="DHP2" s="180"/>
      <c r="DHQ2" s="180"/>
      <c r="DHR2" s="180"/>
      <c r="DHS2" s="180"/>
      <c r="DHT2" s="180"/>
      <c r="DHU2" s="180"/>
      <c r="DHV2" s="180"/>
      <c r="DHW2" s="180"/>
      <c r="DHX2" s="180"/>
      <c r="DHY2" s="180"/>
      <c r="DHZ2" s="180"/>
      <c r="DIA2" s="180"/>
      <c r="DIB2" s="180"/>
      <c r="DIC2" s="180"/>
      <c r="DID2" s="180"/>
      <c r="DIE2" s="180"/>
      <c r="DIF2" s="180"/>
      <c r="DIG2" s="180"/>
      <c r="DIH2" s="180"/>
      <c r="DII2" s="180"/>
      <c r="DIJ2" s="180"/>
      <c r="DIK2" s="180"/>
      <c r="DIL2" s="180"/>
      <c r="DIM2" s="180"/>
      <c r="DIN2" s="180"/>
      <c r="DIO2" s="180"/>
      <c r="DIP2" s="180"/>
      <c r="DIQ2" s="180"/>
      <c r="DIR2" s="180"/>
      <c r="DIS2" s="180"/>
      <c r="DIT2" s="180"/>
      <c r="DIU2" s="180"/>
      <c r="DIV2" s="180"/>
      <c r="DIW2" s="180"/>
      <c r="DIX2" s="180"/>
      <c r="DIY2" s="180"/>
      <c r="DIZ2" s="180"/>
      <c r="DJA2" s="180"/>
      <c r="DJB2" s="180"/>
      <c r="DJC2" s="180"/>
      <c r="DJD2" s="180"/>
      <c r="DJE2" s="180"/>
      <c r="DJF2" s="180"/>
      <c r="DJG2" s="180"/>
      <c r="DJH2" s="180"/>
      <c r="DJI2" s="180"/>
      <c r="DJJ2" s="180"/>
      <c r="DJK2" s="180"/>
      <c r="DJL2" s="180"/>
      <c r="DJM2" s="180"/>
      <c r="DJN2" s="180"/>
      <c r="DJO2" s="180"/>
      <c r="DJP2" s="180"/>
      <c r="DJQ2" s="180"/>
      <c r="DJR2" s="180"/>
      <c r="DJS2" s="180"/>
      <c r="DJT2" s="180"/>
      <c r="DJU2" s="180"/>
      <c r="DJV2" s="180"/>
      <c r="DJW2" s="180"/>
      <c r="DJX2" s="180"/>
      <c r="DJY2" s="180"/>
      <c r="DJZ2" s="180"/>
      <c r="DKA2" s="180"/>
      <c r="DKB2" s="180"/>
      <c r="DKC2" s="180"/>
      <c r="DKD2" s="180"/>
      <c r="DKE2" s="180"/>
      <c r="DKF2" s="180"/>
      <c r="DKG2" s="180"/>
      <c r="DKH2" s="180"/>
      <c r="DKI2" s="180"/>
      <c r="DKJ2" s="180"/>
      <c r="DKK2" s="180"/>
      <c r="DKL2" s="180"/>
      <c r="DKM2" s="180"/>
      <c r="DKN2" s="180"/>
      <c r="DKO2" s="180"/>
      <c r="DKP2" s="180"/>
      <c r="DKQ2" s="180"/>
      <c r="DKR2" s="180"/>
      <c r="DKS2" s="180"/>
      <c r="DKT2" s="180"/>
      <c r="DKU2" s="180"/>
      <c r="DKV2" s="180"/>
      <c r="DKW2" s="180"/>
      <c r="DKX2" s="180"/>
      <c r="DKY2" s="180"/>
      <c r="DKZ2" s="180"/>
      <c r="DLA2" s="180"/>
      <c r="DLB2" s="180"/>
      <c r="DLC2" s="180"/>
      <c r="DLD2" s="180"/>
      <c r="DLE2" s="180"/>
      <c r="DLF2" s="180"/>
      <c r="DLG2" s="180"/>
      <c r="DLH2" s="180"/>
      <c r="DLI2" s="180"/>
      <c r="DLJ2" s="180"/>
      <c r="DLK2" s="180"/>
      <c r="DLL2" s="180"/>
      <c r="DLM2" s="180"/>
      <c r="DLN2" s="180"/>
      <c r="DLO2" s="180"/>
      <c r="DLP2" s="180"/>
      <c r="DLQ2" s="180"/>
      <c r="DLR2" s="180"/>
      <c r="DLS2" s="180"/>
      <c r="DLT2" s="180"/>
      <c r="DLU2" s="180"/>
      <c r="DLV2" s="180"/>
      <c r="DLW2" s="180"/>
      <c r="DLX2" s="180"/>
      <c r="DLY2" s="180"/>
      <c r="DLZ2" s="180"/>
      <c r="DMA2" s="180"/>
      <c r="DMB2" s="180"/>
      <c r="DMC2" s="180"/>
      <c r="DMD2" s="180"/>
      <c r="DME2" s="180"/>
      <c r="DMF2" s="180"/>
      <c r="DMG2" s="180"/>
      <c r="DMH2" s="180"/>
      <c r="DMI2" s="180"/>
      <c r="DMJ2" s="180"/>
      <c r="DMK2" s="180"/>
      <c r="DML2" s="180"/>
      <c r="DMM2" s="180"/>
      <c r="DMN2" s="180"/>
      <c r="DMO2" s="180"/>
      <c r="DMP2" s="180"/>
      <c r="DMQ2" s="180"/>
      <c r="DMR2" s="180"/>
      <c r="DMS2" s="180"/>
      <c r="DMT2" s="180"/>
      <c r="DMU2" s="180"/>
      <c r="DMV2" s="180"/>
      <c r="DMW2" s="180"/>
      <c r="DMX2" s="180"/>
      <c r="DMY2" s="180"/>
      <c r="DMZ2" s="180"/>
      <c r="DNA2" s="180"/>
      <c r="DNB2" s="180"/>
      <c r="DNC2" s="180"/>
      <c r="DND2" s="180"/>
      <c r="DNE2" s="180"/>
      <c r="DNF2" s="180"/>
      <c r="DNG2" s="180"/>
      <c r="DNH2" s="180"/>
      <c r="DNI2" s="180"/>
      <c r="DNJ2" s="180"/>
      <c r="DNK2" s="180"/>
      <c r="DNL2" s="180"/>
      <c r="DNM2" s="180"/>
      <c r="DNN2" s="180"/>
      <c r="DNO2" s="180"/>
      <c r="DNP2" s="180"/>
      <c r="DNQ2" s="180"/>
      <c r="DNR2" s="180"/>
      <c r="DNS2" s="180"/>
      <c r="DNT2" s="180"/>
      <c r="DNU2" s="180"/>
      <c r="DNV2" s="180"/>
      <c r="DNW2" s="180"/>
      <c r="DNX2" s="180"/>
      <c r="DNY2" s="180"/>
      <c r="DNZ2" s="180"/>
      <c r="DOA2" s="180"/>
      <c r="DOB2" s="180"/>
      <c r="DOC2" s="180"/>
      <c r="DOD2" s="180"/>
      <c r="DOE2" s="180"/>
      <c r="DOF2" s="180"/>
      <c r="DOG2" s="180"/>
      <c r="DOH2" s="180"/>
      <c r="DOI2" s="180"/>
      <c r="DOJ2" s="180"/>
      <c r="DOK2" s="180"/>
      <c r="DOL2" s="180"/>
      <c r="DOM2" s="180"/>
      <c r="DON2" s="180"/>
      <c r="DOO2" s="180"/>
      <c r="DOP2" s="180"/>
      <c r="DOQ2" s="180"/>
      <c r="DOR2" s="180"/>
      <c r="DOS2" s="180"/>
      <c r="DOT2" s="180"/>
      <c r="DOU2" s="180"/>
      <c r="DOV2" s="180"/>
      <c r="DOW2" s="180"/>
      <c r="DOX2" s="180"/>
      <c r="DOY2" s="180"/>
      <c r="DOZ2" s="180"/>
      <c r="DPA2" s="180"/>
      <c r="DPB2" s="180"/>
      <c r="DPC2" s="180"/>
      <c r="DPD2" s="180"/>
      <c r="DPE2" s="180"/>
      <c r="DPF2" s="180"/>
      <c r="DPG2" s="180"/>
      <c r="DPH2" s="180"/>
      <c r="DPI2" s="180"/>
      <c r="DPJ2" s="180"/>
      <c r="DPK2" s="180"/>
      <c r="DPL2" s="180"/>
      <c r="DPM2" s="180"/>
      <c r="DPN2" s="180"/>
      <c r="DPO2" s="180"/>
      <c r="DPP2" s="180"/>
      <c r="DPQ2" s="180"/>
      <c r="DPR2" s="180"/>
      <c r="DPS2" s="180"/>
      <c r="DPT2" s="180"/>
      <c r="DPU2" s="180"/>
      <c r="DPV2" s="180"/>
      <c r="DPW2" s="180"/>
      <c r="DPX2" s="180"/>
      <c r="DPY2" s="180"/>
      <c r="DPZ2" s="180"/>
      <c r="DQA2" s="180"/>
      <c r="DQB2" s="180"/>
      <c r="DQC2" s="180"/>
      <c r="DQD2" s="180"/>
      <c r="DQE2" s="180"/>
      <c r="DQF2" s="180"/>
      <c r="DQG2" s="180"/>
      <c r="DQH2" s="180"/>
      <c r="DQI2" s="180"/>
      <c r="DQJ2" s="180"/>
      <c r="DQK2" s="180"/>
      <c r="DQL2" s="180"/>
      <c r="DQM2" s="180"/>
      <c r="DQN2" s="180"/>
      <c r="DQO2" s="180"/>
      <c r="DQP2" s="180"/>
      <c r="DQQ2" s="180"/>
      <c r="DQR2" s="180"/>
      <c r="DQS2" s="180"/>
      <c r="DQT2" s="180"/>
      <c r="DQU2" s="180"/>
      <c r="DQV2" s="180"/>
      <c r="DQW2" s="180"/>
      <c r="DQX2" s="180"/>
      <c r="DQY2" s="180"/>
      <c r="DQZ2" s="180"/>
      <c r="DRA2" s="180"/>
      <c r="DRB2" s="180"/>
      <c r="DRC2" s="180"/>
      <c r="DRD2" s="180"/>
      <c r="DRE2" s="180"/>
      <c r="DRF2" s="180"/>
      <c r="DRG2" s="180"/>
      <c r="DRH2" s="180"/>
      <c r="DRI2" s="180"/>
      <c r="DRJ2" s="180"/>
      <c r="DRK2" s="180"/>
      <c r="DRL2" s="180"/>
      <c r="DRM2" s="180"/>
      <c r="DRN2" s="180"/>
      <c r="DRO2" s="180"/>
      <c r="DRP2" s="180"/>
      <c r="DRQ2" s="180"/>
      <c r="DRR2" s="180"/>
      <c r="DRS2" s="180"/>
      <c r="DRT2" s="180"/>
      <c r="DRU2" s="180"/>
      <c r="DRV2" s="180"/>
      <c r="DRW2" s="180"/>
      <c r="DRX2" s="180"/>
      <c r="DRY2" s="180"/>
      <c r="DRZ2" s="180"/>
      <c r="DSA2" s="180"/>
      <c r="DSB2" s="180"/>
      <c r="DSC2" s="180"/>
      <c r="DSD2" s="180"/>
      <c r="DSE2" s="180"/>
      <c r="DSF2" s="180"/>
      <c r="DSG2" s="180"/>
      <c r="DSH2" s="180"/>
      <c r="DSI2" s="180"/>
      <c r="DSJ2" s="180"/>
      <c r="DSK2" s="180"/>
      <c r="DSL2" s="180"/>
      <c r="DSM2" s="180"/>
      <c r="DSN2" s="180"/>
      <c r="DSO2" s="180"/>
      <c r="DSP2" s="180"/>
      <c r="DSQ2" s="180"/>
      <c r="DSR2" s="180"/>
      <c r="DSS2" s="180"/>
      <c r="DST2" s="180"/>
      <c r="DSU2" s="180"/>
      <c r="DSV2" s="180"/>
      <c r="DSW2" s="180"/>
      <c r="DSX2" s="180"/>
      <c r="DSY2" s="180"/>
      <c r="DSZ2" s="180"/>
      <c r="DTA2" s="180"/>
      <c r="DTB2" s="180"/>
      <c r="DTC2" s="180"/>
      <c r="DTD2" s="180"/>
      <c r="DTE2" s="180"/>
      <c r="DTF2" s="180"/>
      <c r="DTG2" s="180"/>
      <c r="DTH2" s="180"/>
      <c r="DTI2" s="180"/>
      <c r="DTJ2" s="180"/>
      <c r="DTK2" s="180"/>
      <c r="DTL2" s="180"/>
      <c r="DTM2" s="180"/>
      <c r="DTN2" s="180"/>
      <c r="DTO2" s="180"/>
      <c r="DTP2" s="180"/>
      <c r="DTQ2" s="180"/>
      <c r="DTR2" s="180"/>
      <c r="DTS2" s="180"/>
      <c r="DTT2" s="180"/>
      <c r="DTU2" s="180"/>
      <c r="DTV2" s="180"/>
      <c r="DTW2" s="180"/>
      <c r="DTX2" s="180"/>
      <c r="DTY2" s="180"/>
      <c r="DTZ2" s="180"/>
      <c r="DUA2" s="180"/>
      <c r="DUB2" s="180"/>
      <c r="DUC2" s="180"/>
      <c r="DUD2" s="180"/>
      <c r="DUE2" s="180"/>
      <c r="DUF2" s="180"/>
      <c r="DUG2" s="180"/>
      <c r="DUH2" s="180"/>
      <c r="DUI2" s="180"/>
      <c r="DUJ2" s="180"/>
      <c r="DUK2" s="180"/>
      <c r="DUL2" s="180"/>
      <c r="DUM2" s="180"/>
      <c r="DUN2" s="180"/>
      <c r="DUO2" s="180"/>
      <c r="DUP2" s="180"/>
      <c r="DUQ2" s="180"/>
      <c r="DUR2" s="180"/>
      <c r="DUS2" s="180"/>
      <c r="DUT2" s="180"/>
      <c r="DUU2" s="180"/>
      <c r="DUV2" s="180"/>
      <c r="DUW2" s="180"/>
      <c r="DUX2" s="180"/>
      <c r="DUY2" s="180"/>
      <c r="DUZ2" s="180"/>
      <c r="DVA2" s="180"/>
      <c r="DVB2" s="180"/>
      <c r="DVC2" s="180"/>
      <c r="DVD2" s="180"/>
      <c r="DVE2" s="180"/>
      <c r="DVF2" s="180"/>
      <c r="DVG2" s="180"/>
      <c r="DVH2" s="180"/>
      <c r="DVI2" s="180"/>
      <c r="DVJ2" s="180"/>
      <c r="DVK2" s="180"/>
      <c r="DVL2" s="180"/>
      <c r="DVM2" s="180"/>
      <c r="DVN2" s="180"/>
      <c r="DVO2" s="180"/>
      <c r="DVP2" s="180"/>
      <c r="DVQ2" s="180"/>
      <c r="DVR2" s="180"/>
      <c r="DVS2" s="180"/>
      <c r="DVT2" s="180"/>
      <c r="DVU2" s="180"/>
      <c r="DVV2" s="180"/>
      <c r="DVW2" s="180"/>
      <c r="DVX2" s="180"/>
      <c r="DVY2" s="180"/>
      <c r="DVZ2" s="180"/>
      <c r="DWA2" s="180"/>
      <c r="DWB2" s="180"/>
      <c r="DWC2" s="180"/>
      <c r="DWD2" s="180"/>
      <c r="DWE2" s="180"/>
      <c r="DWF2" s="180"/>
      <c r="DWG2" s="180"/>
      <c r="DWH2" s="180"/>
      <c r="DWI2" s="180"/>
      <c r="DWJ2" s="180"/>
      <c r="DWK2" s="180"/>
      <c r="DWL2" s="180"/>
      <c r="DWM2" s="180"/>
      <c r="DWN2" s="180"/>
      <c r="DWO2" s="180"/>
      <c r="DWP2" s="180"/>
      <c r="DWQ2" s="180"/>
      <c r="DWR2" s="180"/>
      <c r="DWS2" s="180"/>
      <c r="DWT2" s="180"/>
      <c r="DWU2" s="180"/>
      <c r="DWV2" s="180"/>
      <c r="DWW2" s="180"/>
      <c r="DWX2" s="180"/>
      <c r="DWY2" s="180"/>
      <c r="DWZ2" s="180"/>
      <c r="DXA2" s="180"/>
      <c r="DXB2" s="180"/>
      <c r="DXC2" s="180"/>
      <c r="DXD2" s="180"/>
      <c r="DXE2" s="180"/>
      <c r="DXF2" s="180"/>
      <c r="DXG2" s="180"/>
      <c r="DXH2" s="180"/>
      <c r="DXI2" s="180"/>
      <c r="DXJ2" s="180"/>
      <c r="DXK2" s="180"/>
      <c r="DXL2" s="180"/>
      <c r="DXM2" s="180"/>
      <c r="DXN2" s="180"/>
      <c r="DXO2" s="180"/>
      <c r="DXP2" s="180"/>
      <c r="DXQ2" s="180"/>
      <c r="DXR2" s="180"/>
      <c r="DXS2" s="180"/>
      <c r="DXT2" s="180"/>
      <c r="DXU2" s="180"/>
      <c r="DXV2" s="180"/>
      <c r="DXW2" s="180"/>
      <c r="DXX2" s="180"/>
      <c r="DXY2" s="180"/>
      <c r="DXZ2" s="180"/>
      <c r="DYA2" s="180"/>
      <c r="DYB2" s="180"/>
      <c r="DYC2" s="180"/>
      <c r="DYD2" s="180"/>
      <c r="DYE2" s="180"/>
      <c r="DYF2" s="180"/>
      <c r="DYG2" s="180"/>
      <c r="DYH2" s="180"/>
      <c r="DYI2" s="180"/>
      <c r="DYJ2" s="180"/>
      <c r="DYK2" s="180"/>
      <c r="DYL2" s="180"/>
      <c r="DYM2" s="180"/>
      <c r="DYN2" s="180"/>
      <c r="DYO2" s="180"/>
      <c r="DYP2" s="180"/>
      <c r="DYQ2" s="180"/>
      <c r="DYR2" s="180"/>
      <c r="DYS2" s="180"/>
      <c r="DYT2" s="180"/>
      <c r="DYU2" s="180"/>
      <c r="DYV2" s="180"/>
      <c r="DYW2" s="180"/>
      <c r="DYX2" s="180"/>
      <c r="DYY2" s="180"/>
      <c r="DYZ2" s="180"/>
      <c r="DZA2" s="180"/>
      <c r="DZB2" s="180"/>
      <c r="DZC2" s="180"/>
      <c r="DZD2" s="180"/>
      <c r="DZE2" s="180"/>
      <c r="DZF2" s="180"/>
      <c r="DZG2" s="180"/>
      <c r="DZH2" s="180"/>
      <c r="DZI2" s="180"/>
      <c r="DZJ2" s="180"/>
      <c r="DZK2" s="180"/>
      <c r="DZL2" s="180"/>
      <c r="DZM2" s="180"/>
      <c r="DZN2" s="180"/>
      <c r="DZO2" s="180"/>
      <c r="DZP2" s="180"/>
      <c r="DZQ2" s="180"/>
      <c r="DZR2" s="180"/>
      <c r="DZS2" s="180"/>
      <c r="DZT2" s="180"/>
      <c r="DZU2" s="180"/>
      <c r="DZV2" s="180"/>
      <c r="DZW2" s="180"/>
      <c r="DZX2" s="180"/>
      <c r="DZY2" s="180"/>
      <c r="DZZ2" s="180"/>
      <c r="EAA2" s="180"/>
      <c r="EAB2" s="180"/>
      <c r="EAC2" s="180"/>
      <c r="EAD2" s="180"/>
      <c r="EAE2" s="180"/>
      <c r="EAF2" s="180"/>
      <c r="EAG2" s="180"/>
      <c r="EAH2" s="180"/>
      <c r="EAI2" s="180"/>
      <c r="EAJ2" s="180"/>
      <c r="EAK2" s="180"/>
      <c r="EAL2" s="180"/>
      <c r="EAM2" s="180"/>
      <c r="EAN2" s="180"/>
      <c r="EAO2" s="180"/>
      <c r="EAP2" s="180"/>
      <c r="EAQ2" s="180"/>
      <c r="EAR2" s="180"/>
      <c r="EAS2" s="180"/>
      <c r="EAT2" s="180"/>
      <c r="EAU2" s="180"/>
      <c r="EAV2" s="180"/>
      <c r="EAW2" s="180"/>
      <c r="EAX2" s="180"/>
      <c r="EAY2" s="180"/>
      <c r="EAZ2" s="180"/>
      <c r="EBA2" s="180"/>
      <c r="EBB2" s="180"/>
      <c r="EBC2" s="180"/>
      <c r="EBD2" s="180"/>
      <c r="EBE2" s="180"/>
      <c r="EBF2" s="180"/>
      <c r="EBG2" s="180"/>
      <c r="EBH2" s="180"/>
      <c r="EBI2" s="180"/>
      <c r="EBJ2" s="180"/>
      <c r="EBK2" s="180"/>
      <c r="EBL2" s="180"/>
      <c r="EBM2" s="180"/>
      <c r="EBN2" s="180"/>
      <c r="EBO2" s="180"/>
      <c r="EBP2" s="180"/>
      <c r="EBQ2" s="180"/>
      <c r="EBR2" s="180"/>
      <c r="EBS2" s="180"/>
      <c r="EBT2" s="180"/>
      <c r="EBU2" s="180"/>
      <c r="EBV2" s="180"/>
      <c r="EBW2" s="180"/>
      <c r="EBX2" s="180"/>
      <c r="EBY2" s="180"/>
      <c r="EBZ2" s="180"/>
      <c r="ECA2" s="180"/>
      <c r="ECB2" s="180"/>
      <c r="ECC2" s="180"/>
      <c r="ECD2" s="180"/>
      <c r="ECE2" s="180"/>
      <c r="ECF2" s="180"/>
      <c r="ECG2" s="180"/>
      <c r="ECH2" s="180"/>
      <c r="ECI2" s="180"/>
      <c r="ECJ2" s="180"/>
      <c r="ECK2" s="180"/>
      <c r="ECL2" s="180"/>
      <c r="ECM2" s="180"/>
      <c r="ECN2" s="180"/>
      <c r="ECO2" s="180"/>
      <c r="ECP2" s="180"/>
      <c r="ECQ2" s="180"/>
      <c r="ECR2" s="180"/>
      <c r="ECS2" s="180"/>
      <c r="ECT2" s="180"/>
      <c r="ECU2" s="180"/>
      <c r="ECV2" s="180"/>
      <c r="ECW2" s="180"/>
      <c r="ECX2" s="180"/>
      <c r="ECY2" s="180"/>
      <c r="ECZ2" s="180"/>
      <c r="EDA2" s="180"/>
      <c r="EDB2" s="180"/>
      <c r="EDC2" s="180"/>
      <c r="EDD2" s="180"/>
      <c r="EDE2" s="180"/>
      <c r="EDF2" s="180"/>
      <c r="EDG2" s="180"/>
      <c r="EDH2" s="180"/>
      <c r="EDI2" s="180"/>
      <c r="EDJ2" s="180"/>
      <c r="EDK2" s="180"/>
      <c r="EDL2" s="180"/>
      <c r="EDM2" s="180"/>
      <c r="EDN2" s="180"/>
      <c r="EDO2" s="180"/>
      <c r="EDP2" s="180"/>
      <c r="EDQ2" s="180"/>
      <c r="EDR2" s="180"/>
      <c r="EDS2" s="180"/>
      <c r="EDT2" s="180"/>
      <c r="EDU2" s="180"/>
      <c r="EDV2" s="180"/>
      <c r="EDW2" s="180"/>
      <c r="EDX2" s="180"/>
      <c r="EDY2" s="180"/>
      <c r="EDZ2" s="180"/>
      <c r="EEA2" s="180"/>
      <c r="EEB2" s="180"/>
      <c r="EEC2" s="180"/>
      <c r="EED2" s="180"/>
      <c r="EEE2" s="180"/>
      <c r="EEF2" s="180"/>
      <c r="EEG2" s="180"/>
      <c r="EEH2" s="180"/>
      <c r="EEI2" s="180"/>
      <c r="EEJ2" s="180"/>
      <c r="EEK2" s="180"/>
      <c r="EEL2" s="180"/>
      <c r="EEM2" s="180"/>
      <c r="EEN2" s="180"/>
      <c r="EEO2" s="180"/>
      <c r="EEP2" s="180"/>
      <c r="EEQ2" s="180"/>
      <c r="EER2" s="180"/>
      <c r="EES2" s="180"/>
      <c r="EET2" s="180"/>
      <c r="EEU2" s="180"/>
      <c r="EEV2" s="180"/>
      <c r="EEW2" s="180"/>
      <c r="EEX2" s="180"/>
      <c r="EEY2" s="180"/>
      <c r="EEZ2" s="180"/>
      <c r="EFA2" s="180"/>
      <c r="EFB2" s="180"/>
      <c r="EFC2" s="180"/>
      <c r="EFD2" s="180"/>
      <c r="EFE2" s="180"/>
      <c r="EFF2" s="180"/>
      <c r="EFG2" s="180"/>
      <c r="EFH2" s="180"/>
      <c r="EFI2" s="180"/>
      <c r="EFJ2" s="180"/>
      <c r="EFK2" s="180"/>
      <c r="EFL2" s="180"/>
      <c r="EFM2" s="180"/>
      <c r="EFN2" s="180"/>
      <c r="EFO2" s="180"/>
      <c r="EFP2" s="180"/>
      <c r="EFQ2" s="180"/>
      <c r="EFR2" s="180"/>
      <c r="EFS2" s="180"/>
      <c r="EFT2" s="180"/>
      <c r="EFU2" s="180"/>
      <c r="EFV2" s="180"/>
      <c r="EFW2" s="180"/>
      <c r="EFX2" s="180"/>
      <c r="EFY2" s="180"/>
      <c r="EFZ2" s="180"/>
      <c r="EGA2" s="180"/>
      <c r="EGB2" s="180"/>
      <c r="EGC2" s="180"/>
      <c r="EGD2" s="180"/>
      <c r="EGE2" s="180"/>
      <c r="EGF2" s="180"/>
      <c r="EGG2" s="180"/>
      <c r="EGH2" s="180"/>
      <c r="EGI2" s="180"/>
      <c r="EGJ2" s="180"/>
      <c r="EGK2" s="180"/>
      <c r="EGL2" s="180"/>
      <c r="EGM2" s="180"/>
      <c r="EGN2" s="180"/>
      <c r="EGO2" s="180"/>
      <c r="EGP2" s="180"/>
      <c r="EGQ2" s="180"/>
      <c r="EGR2" s="180"/>
      <c r="EGS2" s="180"/>
      <c r="EGT2" s="180"/>
      <c r="EGU2" s="180"/>
      <c r="EGV2" s="180"/>
      <c r="EGW2" s="180"/>
      <c r="EGX2" s="180"/>
      <c r="EGY2" s="180"/>
      <c r="EGZ2" s="180"/>
      <c r="EHA2" s="180"/>
      <c r="EHB2" s="180"/>
      <c r="EHC2" s="180"/>
      <c r="EHD2" s="180"/>
      <c r="EHE2" s="180"/>
      <c r="EHF2" s="180"/>
      <c r="EHG2" s="180"/>
      <c r="EHH2" s="180"/>
      <c r="EHI2" s="180"/>
      <c r="EHJ2" s="180"/>
      <c r="EHK2" s="180"/>
      <c r="EHL2" s="180"/>
      <c r="EHM2" s="180"/>
      <c r="EHN2" s="180"/>
      <c r="EHO2" s="180"/>
      <c r="EHP2" s="180"/>
      <c r="EHQ2" s="180"/>
      <c r="EHR2" s="180"/>
      <c r="EHS2" s="180"/>
      <c r="EHT2" s="180"/>
      <c r="EHU2" s="180"/>
      <c r="EHV2" s="180"/>
      <c r="EHW2" s="180"/>
      <c r="EHX2" s="180"/>
      <c r="EHY2" s="180"/>
      <c r="EHZ2" s="180"/>
      <c r="EIA2" s="180"/>
      <c r="EIB2" s="180"/>
      <c r="EIC2" s="180"/>
      <c r="EID2" s="180"/>
      <c r="EIE2" s="180"/>
      <c r="EIF2" s="180"/>
      <c r="EIG2" s="180"/>
      <c r="EIH2" s="180"/>
      <c r="EII2" s="180"/>
      <c r="EIJ2" s="180"/>
      <c r="EIK2" s="180"/>
      <c r="EIL2" s="180"/>
      <c r="EIM2" s="180"/>
      <c r="EIN2" s="180"/>
      <c r="EIO2" s="180"/>
      <c r="EIP2" s="180"/>
      <c r="EIQ2" s="180"/>
      <c r="EIR2" s="180"/>
      <c r="EIS2" s="180"/>
      <c r="EIT2" s="180"/>
      <c r="EIU2" s="180"/>
      <c r="EIV2" s="180"/>
      <c r="EIW2" s="180"/>
      <c r="EIX2" s="180"/>
      <c r="EIY2" s="180"/>
      <c r="EIZ2" s="180"/>
      <c r="EJA2" s="180"/>
      <c r="EJB2" s="180"/>
      <c r="EJC2" s="180"/>
      <c r="EJD2" s="180"/>
      <c r="EJE2" s="180"/>
      <c r="EJF2" s="180"/>
      <c r="EJG2" s="180"/>
      <c r="EJH2" s="180"/>
      <c r="EJI2" s="180"/>
      <c r="EJJ2" s="180"/>
      <c r="EJK2" s="180"/>
      <c r="EJL2" s="180"/>
      <c r="EJM2" s="180"/>
      <c r="EJN2" s="180"/>
      <c r="EJO2" s="180"/>
      <c r="EJP2" s="180"/>
      <c r="EJQ2" s="180"/>
      <c r="EJR2" s="180"/>
      <c r="EJS2" s="180"/>
      <c r="EJT2" s="180"/>
      <c r="EJU2" s="180"/>
      <c r="EJV2" s="180"/>
      <c r="EJW2" s="180"/>
      <c r="EJX2" s="180"/>
      <c r="EJY2" s="180"/>
      <c r="EJZ2" s="180"/>
      <c r="EKA2" s="180"/>
      <c r="EKB2" s="180"/>
      <c r="EKC2" s="180"/>
      <c r="EKD2" s="180"/>
      <c r="EKE2" s="180"/>
      <c r="EKF2" s="180"/>
      <c r="EKG2" s="180"/>
      <c r="EKH2" s="180"/>
      <c r="EKI2" s="180"/>
      <c r="EKJ2" s="180"/>
      <c r="EKK2" s="180"/>
      <c r="EKL2" s="180"/>
      <c r="EKM2" s="180"/>
      <c r="EKN2" s="180"/>
      <c r="EKO2" s="180"/>
      <c r="EKP2" s="180"/>
      <c r="EKQ2" s="180"/>
      <c r="EKR2" s="180"/>
      <c r="EKS2" s="180"/>
      <c r="EKT2" s="180"/>
      <c r="EKU2" s="180"/>
      <c r="EKV2" s="180"/>
      <c r="EKW2" s="180"/>
      <c r="EKX2" s="180"/>
      <c r="EKY2" s="180"/>
      <c r="EKZ2" s="180"/>
      <c r="ELA2" s="180"/>
      <c r="ELB2" s="180"/>
      <c r="ELC2" s="180"/>
      <c r="ELD2" s="180"/>
      <c r="ELE2" s="180"/>
      <c r="ELF2" s="180"/>
      <c r="ELG2" s="180"/>
      <c r="ELH2" s="180"/>
      <c r="ELI2" s="180"/>
      <c r="ELJ2" s="180"/>
      <c r="ELK2" s="180"/>
      <c r="ELL2" s="180"/>
      <c r="ELM2" s="180"/>
      <c r="ELN2" s="180"/>
      <c r="ELO2" s="180"/>
      <c r="ELP2" s="180"/>
      <c r="ELQ2" s="180"/>
      <c r="ELR2" s="180"/>
      <c r="ELS2" s="180"/>
      <c r="ELT2" s="180"/>
      <c r="ELU2" s="180"/>
      <c r="ELV2" s="180"/>
      <c r="ELW2" s="180"/>
      <c r="ELX2" s="180"/>
      <c r="ELY2" s="180"/>
      <c r="ELZ2" s="180"/>
      <c r="EMA2" s="180"/>
      <c r="EMB2" s="180"/>
      <c r="EMC2" s="180"/>
      <c r="EMD2" s="180"/>
      <c r="EME2" s="180"/>
      <c r="EMF2" s="180"/>
      <c r="EMG2" s="180"/>
      <c r="EMH2" s="180"/>
      <c r="EMI2" s="180"/>
      <c r="EMJ2" s="180"/>
      <c r="EMK2" s="180"/>
      <c r="EML2" s="180"/>
      <c r="EMM2" s="180"/>
      <c r="EMN2" s="180"/>
      <c r="EMO2" s="180"/>
      <c r="EMP2" s="180"/>
      <c r="EMQ2" s="180"/>
      <c r="EMR2" s="180"/>
      <c r="EMS2" s="180"/>
      <c r="EMT2" s="180"/>
      <c r="EMU2" s="180"/>
      <c r="EMV2" s="180"/>
      <c r="EMW2" s="180"/>
      <c r="EMX2" s="180"/>
      <c r="EMY2" s="180"/>
      <c r="EMZ2" s="180"/>
      <c r="ENA2" s="180"/>
      <c r="ENB2" s="180"/>
      <c r="ENC2" s="180"/>
      <c r="END2" s="180"/>
      <c r="ENE2" s="180"/>
      <c r="ENF2" s="180"/>
      <c r="ENG2" s="180"/>
      <c r="ENH2" s="180"/>
      <c r="ENI2" s="180"/>
      <c r="ENJ2" s="180"/>
      <c r="ENK2" s="180"/>
      <c r="ENL2" s="180"/>
      <c r="ENM2" s="180"/>
      <c r="ENN2" s="180"/>
      <c r="ENO2" s="180"/>
      <c r="ENP2" s="180"/>
      <c r="ENQ2" s="180"/>
      <c r="ENR2" s="180"/>
      <c r="ENS2" s="180"/>
      <c r="ENT2" s="180"/>
      <c r="ENU2" s="180"/>
      <c r="ENV2" s="180"/>
      <c r="ENW2" s="180"/>
      <c r="ENX2" s="180"/>
      <c r="ENY2" s="180"/>
      <c r="ENZ2" s="180"/>
      <c r="EOA2" s="180"/>
      <c r="EOB2" s="180"/>
      <c r="EOC2" s="180"/>
      <c r="EOD2" s="180"/>
      <c r="EOE2" s="180"/>
      <c r="EOF2" s="180"/>
      <c r="EOG2" s="180"/>
      <c r="EOH2" s="180"/>
      <c r="EOI2" s="180"/>
      <c r="EOJ2" s="180"/>
      <c r="EOK2" s="180"/>
      <c r="EOL2" s="180"/>
      <c r="EOM2" s="180"/>
      <c r="EON2" s="180"/>
      <c r="EOO2" s="180"/>
      <c r="EOP2" s="180"/>
      <c r="EOQ2" s="180"/>
      <c r="EOR2" s="180"/>
      <c r="EOS2" s="180"/>
      <c r="EOT2" s="180"/>
      <c r="EOU2" s="180"/>
      <c r="EOV2" s="180"/>
      <c r="EOW2" s="180"/>
      <c r="EOX2" s="180"/>
      <c r="EOY2" s="180"/>
      <c r="EOZ2" s="180"/>
      <c r="EPA2" s="180"/>
      <c r="EPB2" s="180"/>
      <c r="EPC2" s="180"/>
      <c r="EPD2" s="180"/>
      <c r="EPE2" s="180"/>
      <c r="EPF2" s="180"/>
      <c r="EPG2" s="180"/>
      <c r="EPH2" s="180"/>
      <c r="EPI2" s="180"/>
      <c r="EPJ2" s="180"/>
      <c r="EPK2" s="180"/>
      <c r="EPL2" s="180"/>
      <c r="EPM2" s="180"/>
      <c r="EPN2" s="180"/>
      <c r="EPO2" s="180"/>
      <c r="EPP2" s="180"/>
      <c r="EPQ2" s="180"/>
      <c r="EPR2" s="180"/>
      <c r="EPS2" s="180"/>
      <c r="EPT2" s="180"/>
      <c r="EPU2" s="180"/>
      <c r="EPV2" s="180"/>
      <c r="EPW2" s="180"/>
      <c r="EPX2" s="180"/>
      <c r="EPY2" s="180"/>
      <c r="EPZ2" s="180"/>
      <c r="EQA2" s="180"/>
      <c r="EQB2" s="180"/>
      <c r="EQC2" s="180"/>
      <c r="EQD2" s="180"/>
      <c r="EQE2" s="180"/>
      <c r="EQF2" s="180"/>
      <c r="EQG2" s="180"/>
      <c r="EQH2" s="180"/>
      <c r="EQI2" s="180"/>
      <c r="EQJ2" s="180"/>
      <c r="EQK2" s="180"/>
      <c r="EQL2" s="180"/>
      <c r="EQM2" s="180"/>
      <c r="EQN2" s="180"/>
      <c r="EQO2" s="180"/>
      <c r="EQP2" s="180"/>
      <c r="EQQ2" s="180"/>
      <c r="EQR2" s="180"/>
      <c r="EQS2" s="180"/>
      <c r="EQT2" s="180"/>
      <c r="EQU2" s="180"/>
      <c r="EQV2" s="180"/>
      <c r="EQW2" s="180"/>
      <c r="EQX2" s="180"/>
      <c r="EQY2" s="180"/>
      <c r="EQZ2" s="180"/>
      <c r="ERA2" s="180"/>
      <c r="ERB2" s="180"/>
      <c r="ERC2" s="180"/>
      <c r="ERD2" s="180"/>
      <c r="ERE2" s="180"/>
      <c r="ERF2" s="180"/>
      <c r="ERG2" s="180"/>
      <c r="ERH2" s="180"/>
      <c r="ERI2" s="180"/>
      <c r="ERJ2" s="180"/>
      <c r="ERK2" s="180"/>
      <c r="ERL2" s="180"/>
      <c r="ERM2" s="180"/>
      <c r="ERN2" s="180"/>
      <c r="ERO2" s="180"/>
      <c r="ERP2" s="180"/>
      <c r="ERQ2" s="180"/>
      <c r="ERR2" s="180"/>
      <c r="ERS2" s="180"/>
      <c r="ERT2" s="180"/>
      <c r="ERU2" s="180"/>
      <c r="ERV2" s="180"/>
      <c r="ERW2" s="180"/>
      <c r="ERX2" s="180"/>
      <c r="ERY2" s="180"/>
      <c r="ERZ2" s="180"/>
      <c r="ESA2" s="180"/>
      <c r="ESB2" s="180"/>
      <c r="ESC2" s="180"/>
      <c r="ESD2" s="180"/>
      <c r="ESE2" s="180"/>
      <c r="ESF2" s="180"/>
      <c r="ESG2" s="180"/>
      <c r="ESH2" s="180"/>
      <c r="ESI2" s="180"/>
      <c r="ESJ2" s="180"/>
      <c r="ESK2" s="180"/>
      <c r="ESL2" s="180"/>
      <c r="ESM2" s="180"/>
      <c r="ESN2" s="180"/>
      <c r="ESO2" s="180"/>
      <c r="ESP2" s="180"/>
      <c r="ESQ2" s="180"/>
      <c r="ESR2" s="180"/>
      <c r="ESS2" s="180"/>
      <c r="EST2" s="180"/>
      <c r="ESU2" s="180"/>
      <c r="ESV2" s="180"/>
      <c r="ESW2" s="180"/>
      <c r="ESX2" s="180"/>
      <c r="ESY2" s="180"/>
      <c r="ESZ2" s="180"/>
      <c r="ETA2" s="180"/>
      <c r="ETB2" s="180"/>
      <c r="ETC2" s="180"/>
      <c r="ETD2" s="180"/>
      <c r="ETE2" s="180"/>
      <c r="ETF2" s="180"/>
      <c r="ETG2" s="180"/>
      <c r="ETH2" s="180"/>
      <c r="ETI2" s="180"/>
      <c r="ETJ2" s="180"/>
      <c r="ETK2" s="180"/>
      <c r="ETL2" s="180"/>
      <c r="ETM2" s="180"/>
      <c r="ETN2" s="180"/>
      <c r="ETO2" s="180"/>
      <c r="ETP2" s="180"/>
      <c r="ETQ2" s="180"/>
      <c r="ETR2" s="180"/>
      <c r="ETS2" s="180"/>
      <c r="ETT2" s="180"/>
      <c r="ETU2" s="180"/>
      <c r="ETV2" s="180"/>
      <c r="ETW2" s="180"/>
      <c r="ETX2" s="180"/>
      <c r="ETY2" s="180"/>
      <c r="ETZ2" s="180"/>
      <c r="EUA2" s="180"/>
      <c r="EUB2" s="180"/>
      <c r="EUC2" s="180"/>
      <c r="EUD2" s="180"/>
      <c r="EUE2" s="180"/>
      <c r="EUF2" s="180"/>
      <c r="EUG2" s="180"/>
      <c r="EUH2" s="180"/>
      <c r="EUI2" s="180"/>
      <c r="EUJ2" s="180"/>
      <c r="EUK2" s="180"/>
      <c r="EUL2" s="180"/>
      <c r="EUM2" s="180"/>
      <c r="EUN2" s="180"/>
      <c r="EUO2" s="180"/>
      <c r="EUP2" s="180"/>
      <c r="EUQ2" s="180"/>
      <c r="EUR2" s="180"/>
      <c r="EUS2" s="180"/>
      <c r="EUT2" s="180"/>
      <c r="EUU2" s="180"/>
      <c r="EUV2" s="180"/>
      <c r="EUW2" s="180"/>
      <c r="EUX2" s="180"/>
      <c r="EUY2" s="180"/>
      <c r="EUZ2" s="180"/>
      <c r="EVA2" s="180"/>
      <c r="EVB2" s="180"/>
      <c r="EVC2" s="180"/>
      <c r="EVD2" s="180"/>
      <c r="EVE2" s="180"/>
      <c r="EVF2" s="180"/>
      <c r="EVG2" s="180"/>
      <c r="EVH2" s="180"/>
      <c r="EVI2" s="180"/>
      <c r="EVJ2" s="180"/>
      <c r="EVK2" s="180"/>
      <c r="EVL2" s="180"/>
      <c r="EVM2" s="180"/>
      <c r="EVN2" s="180"/>
      <c r="EVO2" s="180"/>
      <c r="EVP2" s="180"/>
      <c r="EVQ2" s="180"/>
      <c r="EVR2" s="180"/>
      <c r="EVS2" s="180"/>
      <c r="EVT2" s="180"/>
      <c r="EVU2" s="180"/>
      <c r="EVV2" s="180"/>
      <c r="EVW2" s="180"/>
      <c r="EVX2" s="180"/>
      <c r="EVY2" s="180"/>
      <c r="EVZ2" s="180"/>
      <c r="EWA2" s="180"/>
      <c r="EWB2" s="180"/>
      <c r="EWC2" s="180"/>
      <c r="EWD2" s="180"/>
      <c r="EWE2" s="180"/>
      <c r="EWF2" s="180"/>
      <c r="EWG2" s="180"/>
      <c r="EWH2" s="180"/>
      <c r="EWI2" s="180"/>
      <c r="EWJ2" s="180"/>
      <c r="EWK2" s="180"/>
      <c r="EWL2" s="180"/>
      <c r="EWM2" s="180"/>
      <c r="EWN2" s="180"/>
      <c r="EWO2" s="180"/>
      <c r="EWP2" s="180"/>
      <c r="EWQ2" s="180"/>
      <c r="EWR2" s="180"/>
      <c r="EWS2" s="180"/>
      <c r="EWT2" s="180"/>
      <c r="EWU2" s="180"/>
      <c r="EWV2" s="180"/>
      <c r="EWW2" s="180"/>
      <c r="EWX2" s="180"/>
      <c r="EWY2" s="180"/>
      <c r="EWZ2" s="180"/>
      <c r="EXA2" s="180"/>
      <c r="EXB2" s="180"/>
      <c r="EXC2" s="180"/>
      <c r="EXD2" s="180"/>
      <c r="EXE2" s="180"/>
      <c r="EXF2" s="180"/>
      <c r="EXG2" s="180"/>
      <c r="EXH2" s="180"/>
      <c r="EXI2" s="180"/>
      <c r="EXJ2" s="180"/>
      <c r="EXK2" s="180"/>
      <c r="EXL2" s="180"/>
      <c r="EXM2" s="180"/>
      <c r="EXN2" s="180"/>
      <c r="EXO2" s="180"/>
      <c r="EXP2" s="180"/>
      <c r="EXQ2" s="180"/>
      <c r="EXR2" s="180"/>
      <c r="EXS2" s="180"/>
      <c r="EXT2" s="180"/>
      <c r="EXU2" s="180"/>
      <c r="EXV2" s="180"/>
      <c r="EXW2" s="180"/>
      <c r="EXX2" s="180"/>
      <c r="EXY2" s="180"/>
      <c r="EXZ2" s="180"/>
      <c r="EYA2" s="180"/>
      <c r="EYB2" s="180"/>
      <c r="EYC2" s="180"/>
      <c r="EYD2" s="180"/>
      <c r="EYE2" s="180"/>
      <c r="EYF2" s="180"/>
      <c r="EYG2" s="180"/>
      <c r="EYH2" s="180"/>
      <c r="EYI2" s="180"/>
      <c r="EYJ2" s="180"/>
      <c r="EYK2" s="180"/>
      <c r="EYL2" s="180"/>
      <c r="EYM2" s="180"/>
      <c r="EYN2" s="180"/>
      <c r="EYO2" s="180"/>
      <c r="EYP2" s="180"/>
      <c r="EYQ2" s="180"/>
      <c r="EYR2" s="180"/>
      <c r="EYS2" s="180"/>
      <c r="EYT2" s="180"/>
      <c r="EYU2" s="180"/>
      <c r="EYV2" s="180"/>
      <c r="EYW2" s="180"/>
      <c r="EYX2" s="180"/>
      <c r="EYY2" s="180"/>
      <c r="EYZ2" s="180"/>
      <c r="EZA2" s="180"/>
      <c r="EZB2" s="180"/>
      <c r="EZC2" s="180"/>
      <c r="EZD2" s="180"/>
      <c r="EZE2" s="180"/>
      <c r="EZF2" s="180"/>
      <c r="EZG2" s="180"/>
      <c r="EZH2" s="180"/>
      <c r="EZI2" s="180"/>
      <c r="EZJ2" s="180"/>
      <c r="EZK2" s="180"/>
      <c r="EZL2" s="180"/>
      <c r="EZM2" s="180"/>
      <c r="EZN2" s="180"/>
      <c r="EZO2" s="180"/>
      <c r="EZP2" s="180"/>
      <c r="EZQ2" s="180"/>
      <c r="EZR2" s="180"/>
      <c r="EZS2" s="180"/>
      <c r="EZT2" s="180"/>
      <c r="EZU2" s="180"/>
      <c r="EZV2" s="180"/>
      <c r="EZW2" s="180"/>
      <c r="EZX2" s="180"/>
      <c r="EZY2" s="180"/>
      <c r="EZZ2" s="180"/>
      <c r="FAA2" s="180"/>
      <c r="FAB2" s="180"/>
      <c r="FAC2" s="180"/>
      <c r="FAD2" s="180"/>
      <c r="FAE2" s="180"/>
      <c r="FAF2" s="180"/>
      <c r="FAG2" s="180"/>
      <c r="FAH2" s="180"/>
      <c r="FAI2" s="180"/>
      <c r="FAJ2" s="180"/>
      <c r="FAK2" s="180"/>
      <c r="FAL2" s="180"/>
      <c r="FAM2" s="180"/>
      <c r="FAN2" s="180"/>
      <c r="FAO2" s="180"/>
      <c r="FAP2" s="180"/>
      <c r="FAQ2" s="180"/>
      <c r="FAR2" s="180"/>
      <c r="FAS2" s="180"/>
      <c r="FAT2" s="180"/>
      <c r="FAU2" s="180"/>
      <c r="FAV2" s="180"/>
      <c r="FAW2" s="180"/>
      <c r="FAX2" s="180"/>
      <c r="FAY2" s="180"/>
      <c r="FAZ2" s="180"/>
      <c r="FBA2" s="180"/>
      <c r="FBB2" s="180"/>
      <c r="FBC2" s="180"/>
      <c r="FBD2" s="180"/>
      <c r="FBE2" s="180"/>
      <c r="FBF2" s="180"/>
      <c r="FBG2" s="180"/>
      <c r="FBH2" s="180"/>
      <c r="FBI2" s="180"/>
      <c r="FBJ2" s="180"/>
      <c r="FBK2" s="180"/>
      <c r="FBL2" s="180"/>
      <c r="FBM2" s="180"/>
      <c r="FBN2" s="180"/>
      <c r="FBO2" s="180"/>
      <c r="FBP2" s="180"/>
      <c r="FBQ2" s="180"/>
      <c r="FBR2" s="180"/>
      <c r="FBS2" s="180"/>
      <c r="FBT2" s="180"/>
      <c r="FBU2" s="180"/>
      <c r="FBV2" s="180"/>
      <c r="FBW2" s="180"/>
      <c r="FBX2" s="180"/>
      <c r="FBY2" s="180"/>
      <c r="FBZ2" s="180"/>
      <c r="FCA2" s="180"/>
      <c r="FCB2" s="180"/>
      <c r="FCC2" s="180"/>
      <c r="FCD2" s="180"/>
      <c r="FCE2" s="180"/>
      <c r="FCF2" s="180"/>
      <c r="FCG2" s="180"/>
      <c r="FCH2" s="180"/>
      <c r="FCI2" s="180"/>
      <c r="FCJ2" s="180"/>
      <c r="FCK2" s="180"/>
      <c r="FCL2" s="180"/>
      <c r="FCM2" s="180"/>
      <c r="FCN2" s="180"/>
      <c r="FCO2" s="180"/>
      <c r="FCP2" s="180"/>
      <c r="FCQ2" s="180"/>
      <c r="FCR2" s="180"/>
      <c r="FCS2" s="180"/>
      <c r="FCT2" s="180"/>
      <c r="FCU2" s="180"/>
      <c r="FCV2" s="180"/>
      <c r="FCW2" s="180"/>
      <c r="FCX2" s="180"/>
      <c r="FCY2" s="180"/>
      <c r="FCZ2" s="180"/>
      <c r="FDA2" s="180"/>
      <c r="FDB2" s="180"/>
      <c r="FDC2" s="180"/>
      <c r="FDD2" s="180"/>
      <c r="FDE2" s="180"/>
      <c r="FDF2" s="180"/>
      <c r="FDG2" s="180"/>
      <c r="FDH2" s="180"/>
      <c r="FDI2" s="180"/>
      <c r="FDJ2" s="180"/>
      <c r="FDK2" s="180"/>
      <c r="FDL2" s="180"/>
      <c r="FDM2" s="180"/>
      <c r="FDN2" s="180"/>
      <c r="FDO2" s="180"/>
      <c r="FDP2" s="180"/>
      <c r="FDQ2" s="180"/>
      <c r="FDR2" s="180"/>
      <c r="FDS2" s="180"/>
      <c r="FDT2" s="180"/>
      <c r="FDU2" s="180"/>
      <c r="FDV2" s="180"/>
      <c r="FDW2" s="180"/>
      <c r="FDX2" s="180"/>
      <c r="FDY2" s="180"/>
      <c r="FDZ2" s="180"/>
      <c r="FEA2" s="180"/>
      <c r="FEB2" s="180"/>
      <c r="FEC2" s="180"/>
      <c r="FED2" s="180"/>
      <c r="FEE2" s="180"/>
      <c r="FEF2" s="180"/>
      <c r="FEG2" s="180"/>
      <c r="FEH2" s="180"/>
      <c r="FEI2" s="180"/>
      <c r="FEJ2" s="180"/>
      <c r="FEK2" s="180"/>
      <c r="FEL2" s="180"/>
      <c r="FEM2" s="180"/>
      <c r="FEN2" s="180"/>
      <c r="FEO2" s="180"/>
      <c r="FEP2" s="180"/>
      <c r="FEQ2" s="180"/>
      <c r="FER2" s="180"/>
      <c r="FES2" s="180"/>
      <c r="FET2" s="180"/>
      <c r="FEU2" s="180"/>
      <c r="FEV2" s="180"/>
      <c r="FEW2" s="180"/>
      <c r="FEX2" s="180"/>
      <c r="FEY2" s="180"/>
      <c r="FEZ2" s="180"/>
      <c r="FFA2" s="180"/>
      <c r="FFB2" s="180"/>
      <c r="FFC2" s="180"/>
      <c r="FFD2" s="180"/>
      <c r="FFE2" s="180"/>
      <c r="FFF2" s="180"/>
      <c r="FFG2" s="180"/>
      <c r="FFH2" s="180"/>
      <c r="FFI2" s="180"/>
      <c r="FFJ2" s="180"/>
      <c r="FFK2" s="180"/>
      <c r="FFL2" s="180"/>
      <c r="FFM2" s="180"/>
      <c r="FFN2" s="180"/>
      <c r="FFO2" s="180"/>
      <c r="FFP2" s="180"/>
      <c r="FFQ2" s="180"/>
      <c r="FFR2" s="180"/>
      <c r="FFS2" s="180"/>
      <c r="FFT2" s="180"/>
      <c r="FFU2" s="180"/>
      <c r="FFV2" s="180"/>
      <c r="FFW2" s="180"/>
      <c r="FFX2" s="180"/>
      <c r="FFY2" s="180"/>
      <c r="FFZ2" s="180"/>
      <c r="FGA2" s="180"/>
      <c r="FGB2" s="180"/>
      <c r="FGC2" s="180"/>
      <c r="FGD2" s="180"/>
      <c r="FGE2" s="180"/>
      <c r="FGF2" s="180"/>
      <c r="FGG2" s="180"/>
      <c r="FGH2" s="180"/>
      <c r="FGI2" s="180"/>
      <c r="FGJ2" s="180"/>
      <c r="FGK2" s="180"/>
      <c r="FGL2" s="180"/>
      <c r="FGM2" s="180"/>
      <c r="FGN2" s="180"/>
      <c r="FGO2" s="180"/>
      <c r="FGP2" s="180"/>
      <c r="FGQ2" s="180"/>
      <c r="FGR2" s="180"/>
      <c r="FGS2" s="180"/>
      <c r="FGT2" s="180"/>
      <c r="FGU2" s="180"/>
      <c r="FGV2" s="180"/>
      <c r="FGW2" s="180"/>
      <c r="FGX2" s="180"/>
      <c r="FGY2" s="180"/>
      <c r="FGZ2" s="180"/>
      <c r="FHA2" s="180"/>
      <c r="FHB2" s="180"/>
      <c r="FHC2" s="180"/>
      <c r="FHD2" s="180"/>
      <c r="FHE2" s="180"/>
      <c r="FHF2" s="180"/>
      <c r="FHG2" s="180"/>
      <c r="FHH2" s="180"/>
      <c r="FHI2" s="180"/>
      <c r="FHJ2" s="180"/>
      <c r="FHK2" s="180"/>
      <c r="FHL2" s="180"/>
      <c r="FHM2" s="180"/>
      <c r="FHN2" s="180"/>
      <c r="FHO2" s="180"/>
      <c r="FHP2" s="180"/>
      <c r="FHQ2" s="180"/>
      <c r="FHR2" s="180"/>
      <c r="FHS2" s="180"/>
      <c r="FHT2" s="180"/>
      <c r="FHU2" s="180"/>
      <c r="FHV2" s="180"/>
      <c r="FHW2" s="180"/>
      <c r="FHX2" s="180"/>
      <c r="FHY2" s="180"/>
      <c r="FHZ2" s="180"/>
      <c r="FIA2" s="180"/>
      <c r="FIB2" s="180"/>
      <c r="FIC2" s="180"/>
      <c r="FID2" s="180"/>
      <c r="FIE2" s="180"/>
      <c r="FIF2" s="180"/>
      <c r="FIG2" s="180"/>
      <c r="FIH2" s="180"/>
      <c r="FII2" s="180"/>
      <c r="FIJ2" s="180"/>
      <c r="FIK2" s="180"/>
      <c r="FIL2" s="180"/>
      <c r="FIM2" s="180"/>
      <c r="FIN2" s="180"/>
      <c r="FIO2" s="180"/>
      <c r="FIP2" s="180"/>
      <c r="FIQ2" s="180"/>
      <c r="FIR2" s="180"/>
      <c r="FIS2" s="180"/>
      <c r="FIT2" s="180"/>
      <c r="FIU2" s="180"/>
      <c r="FIV2" s="180"/>
      <c r="FIW2" s="180"/>
      <c r="FIX2" s="180"/>
      <c r="FIY2" s="180"/>
      <c r="FIZ2" s="180"/>
      <c r="FJA2" s="180"/>
      <c r="FJB2" s="180"/>
      <c r="FJC2" s="180"/>
      <c r="FJD2" s="180"/>
      <c r="FJE2" s="180"/>
      <c r="FJF2" s="180"/>
      <c r="FJG2" s="180"/>
      <c r="FJH2" s="180"/>
      <c r="FJI2" s="180"/>
      <c r="FJJ2" s="180"/>
      <c r="FJK2" s="180"/>
      <c r="FJL2" s="180"/>
      <c r="FJM2" s="180"/>
      <c r="FJN2" s="180"/>
      <c r="FJO2" s="180"/>
      <c r="FJP2" s="180"/>
      <c r="FJQ2" s="180"/>
      <c r="FJR2" s="180"/>
      <c r="FJS2" s="180"/>
      <c r="FJT2" s="180"/>
      <c r="FJU2" s="180"/>
      <c r="FJV2" s="180"/>
      <c r="FJW2" s="180"/>
      <c r="FJX2" s="180"/>
      <c r="FJY2" s="180"/>
      <c r="FJZ2" s="180"/>
      <c r="FKA2" s="180"/>
      <c r="FKB2" s="180"/>
      <c r="FKC2" s="180"/>
      <c r="FKD2" s="180"/>
      <c r="FKE2" s="180"/>
      <c r="FKF2" s="180"/>
      <c r="FKG2" s="180"/>
      <c r="FKH2" s="180"/>
      <c r="FKI2" s="180"/>
      <c r="FKJ2" s="180"/>
      <c r="FKK2" s="180"/>
      <c r="FKL2" s="180"/>
      <c r="FKM2" s="180"/>
      <c r="FKN2" s="180"/>
      <c r="FKO2" s="180"/>
      <c r="FKP2" s="180"/>
      <c r="FKQ2" s="180"/>
      <c r="FKR2" s="180"/>
      <c r="FKS2" s="180"/>
      <c r="FKT2" s="180"/>
      <c r="FKU2" s="180"/>
      <c r="FKV2" s="180"/>
      <c r="FKW2" s="180"/>
      <c r="FKX2" s="180"/>
      <c r="FKY2" s="180"/>
      <c r="FKZ2" s="180"/>
      <c r="FLA2" s="180"/>
      <c r="FLB2" s="180"/>
      <c r="FLC2" s="180"/>
      <c r="FLD2" s="180"/>
      <c r="FLE2" s="180"/>
      <c r="FLF2" s="180"/>
      <c r="FLG2" s="180"/>
      <c r="FLH2" s="180"/>
      <c r="FLI2" s="180"/>
      <c r="FLJ2" s="180"/>
      <c r="FLK2" s="180"/>
      <c r="FLL2" s="180"/>
      <c r="FLM2" s="180"/>
      <c r="FLN2" s="180"/>
      <c r="FLO2" s="180"/>
      <c r="FLP2" s="180"/>
      <c r="FLQ2" s="180"/>
      <c r="FLR2" s="180"/>
      <c r="FLS2" s="180"/>
      <c r="FLT2" s="180"/>
      <c r="FLU2" s="180"/>
      <c r="FLV2" s="180"/>
      <c r="FLW2" s="180"/>
      <c r="FLX2" s="180"/>
      <c r="FLY2" s="180"/>
      <c r="FLZ2" s="180"/>
      <c r="FMA2" s="180"/>
      <c r="FMB2" s="180"/>
      <c r="FMC2" s="180"/>
      <c r="FMD2" s="180"/>
      <c r="FME2" s="180"/>
      <c r="FMF2" s="180"/>
      <c r="FMG2" s="180"/>
      <c r="FMH2" s="180"/>
      <c r="FMI2" s="180"/>
      <c r="FMJ2" s="180"/>
      <c r="FMK2" s="180"/>
      <c r="FML2" s="180"/>
      <c r="FMM2" s="180"/>
      <c r="FMN2" s="180"/>
      <c r="FMO2" s="180"/>
      <c r="FMP2" s="180"/>
      <c r="FMQ2" s="180"/>
      <c r="FMR2" s="180"/>
      <c r="FMS2" s="180"/>
      <c r="FMT2" s="180"/>
      <c r="FMU2" s="180"/>
      <c r="FMV2" s="180"/>
      <c r="FMW2" s="180"/>
      <c r="FMX2" s="180"/>
      <c r="FMY2" s="180"/>
      <c r="FMZ2" s="180"/>
      <c r="FNA2" s="180"/>
      <c r="FNB2" s="180"/>
      <c r="FNC2" s="180"/>
      <c r="FND2" s="180"/>
      <c r="FNE2" s="180"/>
      <c r="FNF2" s="180"/>
      <c r="FNG2" s="180"/>
      <c r="FNH2" s="180"/>
      <c r="FNI2" s="180"/>
      <c r="FNJ2" s="180"/>
      <c r="FNK2" s="180"/>
      <c r="FNL2" s="180"/>
      <c r="FNM2" s="180"/>
      <c r="FNN2" s="180"/>
      <c r="FNO2" s="180"/>
      <c r="FNP2" s="180"/>
      <c r="FNQ2" s="180"/>
      <c r="FNR2" s="180"/>
      <c r="FNS2" s="180"/>
      <c r="FNT2" s="180"/>
      <c r="FNU2" s="180"/>
      <c r="FNV2" s="180"/>
      <c r="FNW2" s="180"/>
      <c r="FNX2" s="180"/>
      <c r="FNY2" s="180"/>
      <c r="FNZ2" s="180"/>
      <c r="FOA2" s="180"/>
      <c r="FOB2" s="180"/>
      <c r="FOC2" s="180"/>
      <c r="FOD2" s="180"/>
      <c r="FOE2" s="180"/>
      <c r="FOF2" s="180"/>
      <c r="FOG2" s="180"/>
      <c r="FOH2" s="180"/>
      <c r="FOI2" s="180"/>
      <c r="FOJ2" s="180"/>
      <c r="FOK2" s="180"/>
      <c r="FOL2" s="180"/>
      <c r="FOM2" s="180"/>
      <c r="FON2" s="180"/>
      <c r="FOO2" s="180"/>
      <c r="FOP2" s="180"/>
      <c r="FOQ2" s="180"/>
      <c r="FOR2" s="180"/>
      <c r="FOS2" s="180"/>
      <c r="FOT2" s="180"/>
      <c r="FOU2" s="180"/>
      <c r="FOV2" s="180"/>
      <c r="FOW2" s="180"/>
      <c r="FOX2" s="180"/>
      <c r="FOY2" s="180"/>
      <c r="FOZ2" s="180"/>
      <c r="FPA2" s="180"/>
      <c r="FPB2" s="180"/>
      <c r="FPC2" s="180"/>
      <c r="FPD2" s="180"/>
      <c r="FPE2" s="180"/>
      <c r="FPF2" s="180"/>
      <c r="FPG2" s="180"/>
      <c r="FPH2" s="180"/>
      <c r="FPI2" s="180"/>
      <c r="FPJ2" s="180"/>
      <c r="FPK2" s="180"/>
      <c r="FPL2" s="180"/>
      <c r="FPM2" s="180"/>
      <c r="FPN2" s="180"/>
      <c r="FPO2" s="180"/>
      <c r="FPP2" s="180"/>
      <c r="FPQ2" s="180"/>
      <c r="FPR2" s="180"/>
      <c r="FPS2" s="180"/>
      <c r="FPT2" s="180"/>
      <c r="FPU2" s="180"/>
      <c r="FPV2" s="180"/>
      <c r="FPW2" s="180"/>
      <c r="FPX2" s="180"/>
      <c r="FPY2" s="180"/>
      <c r="FPZ2" s="180"/>
      <c r="FQA2" s="180"/>
      <c r="FQB2" s="180"/>
      <c r="FQC2" s="180"/>
      <c r="FQD2" s="180"/>
      <c r="FQE2" s="180"/>
      <c r="FQF2" s="180"/>
      <c r="FQG2" s="180"/>
      <c r="FQH2" s="180"/>
      <c r="FQI2" s="180"/>
      <c r="FQJ2" s="180"/>
      <c r="FQK2" s="180"/>
      <c r="FQL2" s="180"/>
      <c r="FQM2" s="180"/>
      <c r="FQN2" s="180"/>
      <c r="FQO2" s="180"/>
      <c r="FQP2" s="180"/>
      <c r="FQQ2" s="180"/>
      <c r="FQR2" s="180"/>
      <c r="FQS2" s="180"/>
      <c r="FQT2" s="180"/>
      <c r="FQU2" s="180"/>
      <c r="FQV2" s="180"/>
      <c r="FQW2" s="180"/>
      <c r="FQX2" s="180"/>
      <c r="FQY2" s="180"/>
      <c r="FQZ2" s="180"/>
      <c r="FRA2" s="180"/>
      <c r="FRB2" s="180"/>
      <c r="FRC2" s="180"/>
      <c r="FRD2" s="180"/>
      <c r="FRE2" s="180"/>
      <c r="FRF2" s="180"/>
      <c r="FRG2" s="180"/>
      <c r="FRH2" s="180"/>
      <c r="FRI2" s="180"/>
      <c r="FRJ2" s="180"/>
      <c r="FRK2" s="180"/>
      <c r="FRL2" s="180"/>
      <c r="FRM2" s="180"/>
      <c r="FRN2" s="180"/>
      <c r="FRO2" s="180"/>
      <c r="FRP2" s="180"/>
      <c r="FRQ2" s="180"/>
      <c r="FRR2" s="180"/>
      <c r="FRS2" s="180"/>
      <c r="FRT2" s="180"/>
      <c r="FRU2" s="180"/>
      <c r="FRV2" s="180"/>
      <c r="FRW2" s="180"/>
      <c r="FRX2" s="180"/>
      <c r="FRY2" s="180"/>
      <c r="FRZ2" s="180"/>
      <c r="FSA2" s="180"/>
      <c r="FSB2" s="180"/>
      <c r="FSC2" s="180"/>
      <c r="FSD2" s="180"/>
      <c r="FSE2" s="180"/>
      <c r="FSF2" s="180"/>
      <c r="FSG2" s="180"/>
      <c r="FSH2" s="180"/>
      <c r="FSI2" s="180"/>
      <c r="FSJ2" s="180"/>
      <c r="FSK2" s="180"/>
      <c r="FSL2" s="180"/>
      <c r="FSM2" s="180"/>
      <c r="FSN2" s="180"/>
      <c r="FSO2" s="180"/>
      <c r="FSP2" s="180"/>
      <c r="FSQ2" s="180"/>
      <c r="FSR2" s="180"/>
      <c r="FSS2" s="180"/>
      <c r="FST2" s="180"/>
      <c r="FSU2" s="180"/>
      <c r="FSV2" s="180"/>
      <c r="FSW2" s="180"/>
      <c r="FSX2" s="180"/>
      <c r="FSY2" s="180"/>
      <c r="FSZ2" s="180"/>
      <c r="FTA2" s="180"/>
      <c r="FTB2" s="180"/>
      <c r="FTC2" s="180"/>
      <c r="FTD2" s="180"/>
      <c r="FTE2" s="180"/>
      <c r="FTF2" s="180"/>
      <c r="FTG2" s="180"/>
      <c r="FTH2" s="180"/>
      <c r="FTI2" s="180"/>
      <c r="FTJ2" s="180"/>
      <c r="FTK2" s="180"/>
      <c r="FTL2" s="180"/>
      <c r="FTM2" s="180"/>
      <c r="FTN2" s="180"/>
      <c r="FTO2" s="180"/>
      <c r="FTP2" s="180"/>
      <c r="FTQ2" s="180"/>
      <c r="FTR2" s="180"/>
      <c r="FTS2" s="180"/>
      <c r="FTT2" s="180"/>
      <c r="FTU2" s="180"/>
      <c r="FTV2" s="180"/>
      <c r="FTW2" s="180"/>
      <c r="FTX2" s="180"/>
      <c r="FTY2" s="180"/>
      <c r="FTZ2" s="180"/>
      <c r="FUA2" s="180"/>
      <c r="FUB2" s="180"/>
      <c r="FUC2" s="180"/>
      <c r="FUD2" s="180"/>
      <c r="FUE2" s="180"/>
      <c r="FUF2" s="180"/>
      <c r="FUG2" s="180"/>
      <c r="FUH2" s="180"/>
      <c r="FUI2" s="180"/>
      <c r="FUJ2" s="180"/>
      <c r="FUK2" s="180"/>
      <c r="FUL2" s="180"/>
      <c r="FUM2" s="180"/>
      <c r="FUN2" s="180"/>
      <c r="FUO2" s="180"/>
      <c r="FUP2" s="180"/>
      <c r="FUQ2" s="180"/>
      <c r="FUR2" s="180"/>
      <c r="FUS2" s="180"/>
      <c r="FUT2" s="180"/>
      <c r="FUU2" s="180"/>
      <c r="FUV2" s="180"/>
      <c r="FUW2" s="180"/>
      <c r="FUX2" s="180"/>
      <c r="FUY2" s="180"/>
      <c r="FUZ2" s="180"/>
      <c r="FVA2" s="180"/>
      <c r="FVB2" s="180"/>
      <c r="FVC2" s="180"/>
      <c r="FVD2" s="180"/>
      <c r="FVE2" s="180"/>
      <c r="FVF2" s="180"/>
      <c r="FVG2" s="180"/>
      <c r="FVH2" s="180"/>
      <c r="FVI2" s="180"/>
      <c r="FVJ2" s="180"/>
      <c r="FVK2" s="180"/>
      <c r="FVL2" s="180"/>
      <c r="FVM2" s="180"/>
      <c r="FVN2" s="180"/>
      <c r="FVO2" s="180"/>
      <c r="FVP2" s="180"/>
      <c r="FVQ2" s="180"/>
      <c r="FVR2" s="180"/>
      <c r="FVS2" s="180"/>
      <c r="FVT2" s="180"/>
      <c r="FVU2" s="180"/>
      <c r="FVV2" s="180"/>
      <c r="FVW2" s="180"/>
      <c r="FVX2" s="180"/>
      <c r="FVY2" s="180"/>
      <c r="FVZ2" s="180"/>
      <c r="FWA2" s="180"/>
      <c r="FWB2" s="180"/>
      <c r="FWC2" s="180"/>
      <c r="FWD2" s="180"/>
      <c r="FWE2" s="180"/>
      <c r="FWF2" s="180"/>
      <c r="FWG2" s="180"/>
      <c r="FWH2" s="180"/>
      <c r="FWI2" s="180"/>
      <c r="FWJ2" s="180"/>
      <c r="FWK2" s="180"/>
      <c r="FWL2" s="180"/>
      <c r="FWM2" s="180"/>
      <c r="FWN2" s="180"/>
      <c r="FWO2" s="180"/>
      <c r="FWP2" s="180"/>
      <c r="FWQ2" s="180"/>
      <c r="FWR2" s="180"/>
      <c r="FWS2" s="180"/>
      <c r="FWT2" s="180"/>
      <c r="FWU2" s="180"/>
      <c r="FWV2" s="180"/>
      <c r="FWW2" s="180"/>
      <c r="FWX2" s="180"/>
      <c r="FWY2" s="180"/>
      <c r="FWZ2" s="180"/>
      <c r="FXA2" s="180"/>
      <c r="FXB2" s="180"/>
      <c r="FXC2" s="180"/>
      <c r="FXD2" s="180"/>
      <c r="FXE2" s="180"/>
      <c r="FXF2" s="180"/>
      <c r="FXG2" s="180"/>
      <c r="FXH2" s="180"/>
      <c r="FXI2" s="180"/>
      <c r="FXJ2" s="180"/>
      <c r="FXK2" s="180"/>
      <c r="FXL2" s="180"/>
      <c r="FXM2" s="180"/>
      <c r="FXN2" s="180"/>
      <c r="FXO2" s="180"/>
      <c r="FXP2" s="180"/>
      <c r="FXQ2" s="180"/>
      <c r="FXR2" s="180"/>
      <c r="FXS2" s="180"/>
      <c r="FXT2" s="180"/>
      <c r="FXU2" s="180"/>
      <c r="FXV2" s="180"/>
      <c r="FXW2" s="180"/>
      <c r="FXX2" s="180"/>
      <c r="FXY2" s="180"/>
      <c r="FXZ2" s="180"/>
      <c r="FYA2" s="180"/>
      <c r="FYB2" s="180"/>
      <c r="FYC2" s="180"/>
      <c r="FYD2" s="180"/>
      <c r="FYE2" s="180"/>
      <c r="FYF2" s="180"/>
      <c r="FYG2" s="180"/>
      <c r="FYH2" s="180"/>
      <c r="FYI2" s="180"/>
      <c r="FYJ2" s="180"/>
      <c r="FYK2" s="180"/>
      <c r="FYL2" s="180"/>
      <c r="FYM2" s="180"/>
      <c r="FYN2" s="180"/>
      <c r="FYO2" s="180"/>
      <c r="FYP2" s="180"/>
      <c r="FYQ2" s="180"/>
      <c r="FYR2" s="180"/>
      <c r="FYS2" s="180"/>
      <c r="FYT2" s="180"/>
      <c r="FYU2" s="180"/>
      <c r="FYV2" s="180"/>
      <c r="FYW2" s="180"/>
      <c r="FYX2" s="180"/>
      <c r="FYY2" s="180"/>
      <c r="FYZ2" s="180"/>
      <c r="FZA2" s="180"/>
      <c r="FZB2" s="180"/>
      <c r="FZC2" s="180"/>
      <c r="FZD2" s="180"/>
      <c r="FZE2" s="180"/>
      <c r="FZF2" s="180"/>
      <c r="FZG2" s="180"/>
      <c r="FZH2" s="180"/>
      <c r="FZI2" s="180"/>
      <c r="FZJ2" s="180"/>
      <c r="FZK2" s="180"/>
      <c r="FZL2" s="180"/>
      <c r="FZM2" s="180"/>
      <c r="FZN2" s="180"/>
      <c r="FZO2" s="180"/>
      <c r="FZP2" s="180"/>
      <c r="FZQ2" s="180"/>
      <c r="FZR2" s="180"/>
      <c r="FZS2" s="180"/>
      <c r="FZT2" s="180"/>
      <c r="FZU2" s="180"/>
      <c r="FZV2" s="180"/>
      <c r="FZW2" s="180"/>
      <c r="FZX2" s="180"/>
      <c r="FZY2" s="180"/>
      <c r="FZZ2" s="180"/>
      <c r="GAA2" s="180"/>
      <c r="GAB2" s="180"/>
      <c r="GAC2" s="180"/>
      <c r="GAD2" s="180"/>
      <c r="GAE2" s="180"/>
      <c r="GAF2" s="180"/>
      <c r="GAG2" s="180"/>
      <c r="GAH2" s="180"/>
      <c r="GAI2" s="180"/>
      <c r="GAJ2" s="180"/>
      <c r="GAK2" s="180"/>
      <c r="GAL2" s="180"/>
      <c r="GAM2" s="180"/>
      <c r="GAN2" s="180"/>
      <c r="GAO2" s="180"/>
      <c r="GAP2" s="180"/>
      <c r="GAQ2" s="180"/>
      <c r="GAR2" s="180"/>
      <c r="GAS2" s="180"/>
      <c r="GAT2" s="180"/>
      <c r="GAU2" s="180"/>
      <c r="GAV2" s="180"/>
      <c r="GAW2" s="180"/>
      <c r="GAX2" s="180"/>
      <c r="GAY2" s="180"/>
      <c r="GAZ2" s="180"/>
      <c r="GBA2" s="180"/>
      <c r="GBB2" s="180"/>
      <c r="GBC2" s="180"/>
      <c r="GBD2" s="180"/>
      <c r="GBE2" s="180"/>
      <c r="GBF2" s="180"/>
      <c r="GBG2" s="180"/>
      <c r="GBH2" s="180"/>
      <c r="GBI2" s="180"/>
      <c r="GBJ2" s="180"/>
      <c r="GBK2" s="180"/>
      <c r="GBL2" s="180"/>
      <c r="GBM2" s="180"/>
      <c r="GBN2" s="180"/>
      <c r="GBO2" s="180"/>
      <c r="GBP2" s="180"/>
      <c r="GBQ2" s="180"/>
      <c r="GBR2" s="180"/>
      <c r="GBS2" s="180"/>
      <c r="GBT2" s="180"/>
      <c r="GBU2" s="180"/>
      <c r="GBV2" s="180"/>
      <c r="GBW2" s="180"/>
      <c r="GBX2" s="180"/>
      <c r="GBY2" s="180"/>
      <c r="GBZ2" s="180"/>
      <c r="GCA2" s="180"/>
      <c r="GCB2" s="180"/>
      <c r="GCC2" s="180"/>
      <c r="GCD2" s="180"/>
      <c r="GCE2" s="180"/>
      <c r="GCF2" s="180"/>
      <c r="GCG2" s="180"/>
      <c r="GCH2" s="180"/>
      <c r="GCI2" s="180"/>
      <c r="GCJ2" s="180"/>
      <c r="GCK2" s="180"/>
      <c r="GCL2" s="180"/>
      <c r="GCM2" s="180"/>
      <c r="GCN2" s="180"/>
      <c r="GCO2" s="180"/>
      <c r="GCP2" s="180"/>
      <c r="GCQ2" s="180"/>
      <c r="GCR2" s="180"/>
      <c r="GCS2" s="180"/>
      <c r="GCT2" s="180"/>
      <c r="GCU2" s="180"/>
      <c r="GCV2" s="180"/>
      <c r="GCW2" s="180"/>
      <c r="GCX2" s="180"/>
      <c r="GCY2" s="180"/>
      <c r="GCZ2" s="180"/>
      <c r="GDA2" s="180"/>
      <c r="GDB2" s="180"/>
      <c r="GDC2" s="180"/>
      <c r="GDD2" s="180"/>
      <c r="GDE2" s="180"/>
      <c r="GDF2" s="180"/>
      <c r="GDG2" s="180"/>
      <c r="GDH2" s="180"/>
      <c r="GDI2" s="180"/>
      <c r="GDJ2" s="180"/>
      <c r="GDK2" s="180"/>
      <c r="GDL2" s="180"/>
      <c r="GDM2" s="180"/>
      <c r="GDN2" s="180"/>
      <c r="GDO2" s="180"/>
      <c r="GDP2" s="180"/>
      <c r="GDQ2" s="180"/>
      <c r="GDR2" s="180"/>
      <c r="GDS2" s="180"/>
      <c r="GDT2" s="180"/>
      <c r="GDU2" s="180"/>
      <c r="GDV2" s="180"/>
      <c r="GDW2" s="180"/>
      <c r="GDX2" s="180"/>
      <c r="GDY2" s="180"/>
      <c r="GDZ2" s="180"/>
      <c r="GEA2" s="180"/>
      <c r="GEB2" s="180"/>
      <c r="GEC2" s="180"/>
      <c r="GED2" s="180"/>
      <c r="GEE2" s="180"/>
      <c r="GEF2" s="180"/>
      <c r="GEG2" s="180"/>
      <c r="GEH2" s="180"/>
      <c r="GEI2" s="180"/>
      <c r="GEJ2" s="180"/>
      <c r="GEK2" s="180"/>
      <c r="GEL2" s="180"/>
      <c r="GEM2" s="180"/>
      <c r="GEN2" s="180"/>
      <c r="GEO2" s="180"/>
      <c r="GEP2" s="180"/>
      <c r="GEQ2" s="180"/>
      <c r="GER2" s="180"/>
      <c r="GES2" s="180"/>
      <c r="GET2" s="180"/>
      <c r="GEU2" s="180"/>
      <c r="GEV2" s="180"/>
      <c r="GEW2" s="180"/>
      <c r="GEX2" s="180"/>
      <c r="GEY2" s="180"/>
      <c r="GEZ2" s="180"/>
      <c r="GFA2" s="180"/>
      <c r="GFB2" s="180"/>
      <c r="GFC2" s="180"/>
      <c r="GFD2" s="180"/>
      <c r="GFE2" s="180"/>
      <c r="GFF2" s="180"/>
      <c r="GFG2" s="180"/>
      <c r="GFH2" s="180"/>
      <c r="GFI2" s="180"/>
      <c r="GFJ2" s="180"/>
      <c r="GFK2" s="180"/>
      <c r="GFL2" s="180"/>
      <c r="GFM2" s="180"/>
      <c r="GFN2" s="180"/>
      <c r="GFO2" s="180"/>
      <c r="GFP2" s="180"/>
      <c r="GFQ2" s="180"/>
      <c r="GFR2" s="180"/>
      <c r="GFS2" s="180"/>
      <c r="GFT2" s="180"/>
      <c r="GFU2" s="180"/>
      <c r="GFV2" s="180"/>
      <c r="GFW2" s="180"/>
      <c r="GFX2" s="180"/>
      <c r="GFY2" s="180"/>
      <c r="GFZ2" s="180"/>
      <c r="GGA2" s="180"/>
      <c r="GGB2" s="180"/>
      <c r="GGC2" s="180"/>
      <c r="GGD2" s="180"/>
      <c r="GGE2" s="180"/>
      <c r="GGF2" s="180"/>
      <c r="GGG2" s="180"/>
      <c r="GGH2" s="180"/>
      <c r="GGI2" s="180"/>
      <c r="GGJ2" s="180"/>
      <c r="GGK2" s="180"/>
      <c r="GGL2" s="180"/>
      <c r="GGM2" s="180"/>
      <c r="GGN2" s="180"/>
      <c r="GGO2" s="180"/>
      <c r="GGP2" s="180"/>
      <c r="GGQ2" s="180"/>
      <c r="GGR2" s="180"/>
      <c r="GGS2" s="180"/>
      <c r="GGT2" s="180"/>
      <c r="GGU2" s="180"/>
      <c r="GGV2" s="180"/>
      <c r="GGW2" s="180"/>
      <c r="GGX2" s="180"/>
      <c r="GGY2" s="180"/>
      <c r="GGZ2" s="180"/>
      <c r="GHA2" s="180"/>
      <c r="GHB2" s="180"/>
      <c r="GHC2" s="180"/>
      <c r="GHD2" s="180"/>
      <c r="GHE2" s="180"/>
      <c r="GHF2" s="180"/>
      <c r="GHG2" s="180"/>
      <c r="GHH2" s="180"/>
      <c r="GHI2" s="180"/>
      <c r="GHJ2" s="180"/>
      <c r="GHK2" s="180"/>
      <c r="GHL2" s="180"/>
      <c r="GHM2" s="180"/>
      <c r="GHN2" s="180"/>
      <c r="GHO2" s="180"/>
      <c r="GHP2" s="180"/>
      <c r="GHQ2" s="180"/>
      <c r="GHR2" s="180"/>
      <c r="GHS2" s="180"/>
      <c r="GHT2" s="180"/>
      <c r="GHU2" s="180"/>
      <c r="GHV2" s="180"/>
      <c r="GHW2" s="180"/>
      <c r="GHX2" s="180"/>
      <c r="GHY2" s="180"/>
      <c r="GHZ2" s="180"/>
      <c r="GIA2" s="180"/>
      <c r="GIB2" s="180"/>
      <c r="GIC2" s="180"/>
      <c r="GID2" s="180"/>
      <c r="GIE2" s="180"/>
      <c r="GIF2" s="180"/>
      <c r="GIG2" s="180"/>
      <c r="GIH2" s="180"/>
      <c r="GII2" s="180"/>
      <c r="GIJ2" s="180"/>
      <c r="GIK2" s="180"/>
      <c r="GIL2" s="180"/>
      <c r="GIM2" s="180"/>
      <c r="GIN2" s="180"/>
      <c r="GIO2" s="180"/>
      <c r="GIP2" s="180"/>
      <c r="GIQ2" s="180"/>
      <c r="GIR2" s="180"/>
      <c r="GIS2" s="180"/>
      <c r="GIT2" s="180"/>
      <c r="GIU2" s="180"/>
      <c r="GIV2" s="180"/>
      <c r="GIW2" s="180"/>
      <c r="GIX2" s="180"/>
      <c r="GIY2" s="180"/>
      <c r="GIZ2" s="180"/>
      <c r="GJA2" s="180"/>
      <c r="GJB2" s="180"/>
      <c r="GJC2" s="180"/>
      <c r="GJD2" s="180"/>
      <c r="GJE2" s="180"/>
      <c r="GJF2" s="180"/>
      <c r="GJG2" s="180"/>
      <c r="GJH2" s="180"/>
      <c r="GJI2" s="180"/>
      <c r="GJJ2" s="180"/>
      <c r="GJK2" s="180"/>
      <c r="GJL2" s="180"/>
      <c r="GJM2" s="180"/>
      <c r="GJN2" s="180"/>
      <c r="GJO2" s="180"/>
      <c r="GJP2" s="180"/>
      <c r="GJQ2" s="180"/>
      <c r="GJR2" s="180"/>
      <c r="GJS2" s="180"/>
      <c r="GJT2" s="180"/>
      <c r="GJU2" s="180"/>
      <c r="GJV2" s="180"/>
      <c r="GJW2" s="180"/>
      <c r="GJX2" s="180"/>
      <c r="GJY2" s="180"/>
      <c r="GJZ2" s="180"/>
      <c r="GKA2" s="180"/>
      <c r="GKB2" s="180"/>
      <c r="GKC2" s="180"/>
      <c r="GKD2" s="180"/>
      <c r="GKE2" s="180"/>
      <c r="GKF2" s="180"/>
      <c r="GKG2" s="180"/>
      <c r="GKH2" s="180"/>
      <c r="GKI2" s="180"/>
      <c r="GKJ2" s="180"/>
      <c r="GKK2" s="180"/>
      <c r="GKL2" s="180"/>
      <c r="GKM2" s="180"/>
      <c r="GKN2" s="180"/>
      <c r="GKO2" s="180"/>
      <c r="GKP2" s="180"/>
      <c r="GKQ2" s="180"/>
      <c r="GKR2" s="180"/>
      <c r="GKS2" s="180"/>
      <c r="GKT2" s="180"/>
      <c r="GKU2" s="180"/>
      <c r="GKV2" s="180"/>
      <c r="GKW2" s="180"/>
      <c r="GKX2" s="180"/>
      <c r="GKY2" s="180"/>
      <c r="GKZ2" s="180"/>
      <c r="GLA2" s="180"/>
      <c r="GLB2" s="180"/>
      <c r="GLC2" s="180"/>
      <c r="GLD2" s="180"/>
      <c r="GLE2" s="180"/>
      <c r="GLF2" s="180"/>
      <c r="GLG2" s="180"/>
      <c r="GLH2" s="180"/>
      <c r="GLI2" s="180"/>
      <c r="GLJ2" s="180"/>
      <c r="GLK2" s="180"/>
      <c r="GLL2" s="180"/>
      <c r="GLM2" s="180"/>
      <c r="GLN2" s="180"/>
      <c r="GLO2" s="180"/>
      <c r="GLP2" s="180"/>
      <c r="GLQ2" s="180"/>
      <c r="GLR2" s="180"/>
      <c r="GLS2" s="180"/>
      <c r="GLT2" s="180"/>
      <c r="GLU2" s="180"/>
      <c r="GLV2" s="180"/>
      <c r="GLW2" s="180"/>
      <c r="GLX2" s="180"/>
      <c r="GLY2" s="180"/>
      <c r="GLZ2" s="180"/>
      <c r="GMA2" s="180"/>
      <c r="GMB2" s="180"/>
      <c r="GMC2" s="180"/>
      <c r="GMD2" s="180"/>
      <c r="GME2" s="180"/>
      <c r="GMF2" s="180"/>
      <c r="GMG2" s="180"/>
      <c r="GMH2" s="180"/>
      <c r="GMI2" s="180"/>
      <c r="GMJ2" s="180"/>
      <c r="GMK2" s="180"/>
      <c r="GML2" s="180"/>
      <c r="GMM2" s="180"/>
      <c r="GMN2" s="180"/>
      <c r="GMO2" s="180"/>
      <c r="GMP2" s="180"/>
      <c r="GMQ2" s="180"/>
      <c r="GMR2" s="180"/>
      <c r="GMS2" s="180"/>
      <c r="GMT2" s="180"/>
      <c r="GMU2" s="180"/>
      <c r="GMV2" s="180"/>
      <c r="GMW2" s="180"/>
      <c r="GMX2" s="180"/>
      <c r="GMY2" s="180"/>
      <c r="GMZ2" s="180"/>
      <c r="GNA2" s="180"/>
      <c r="GNB2" s="180"/>
      <c r="GNC2" s="180"/>
      <c r="GND2" s="180"/>
      <c r="GNE2" s="180"/>
      <c r="GNF2" s="180"/>
      <c r="GNG2" s="180"/>
      <c r="GNH2" s="180"/>
      <c r="GNI2" s="180"/>
      <c r="GNJ2" s="180"/>
      <c r="GNK2" s="180"/>
      <c r="GNL2" s="180"/>
      <c r="GNM2" s="180"/>
      <c r="GNN2" s="180"/>
      <c r="GNO2" s="180"/>
      <c r="GNP2" s="180"/>
      <c r="GNQ2" s="180"/>
      <c r="GNR2" s="180"/>
      <c r="GNS2" s="180"/>
      <c r="GNT2" s="180"/>
      <c r="GNU2" s="180"/>
      <c r="GNV2" s="180"/>
      <c r="GNW2" s="180"/>
      <c r="GNX2" s="180"/>
      <c r="GNY2" s="180"/>
      <c r="GNZ2" s="180"/>
      <c r="GOA2" s="180"/>
      <c r="GOB2" s="180"/>
      <c r="GOC2" s="180"/>
      <c r="GOD2" s="180"/>
      <c r="GOE2" s="180"/>
      <c r="GOF2" s="180"/>
      <c r="GOG2" s="180"/>
      <c r="GOH2" s="180"/>
      <c r="GOI2" s="180"/>
      <c r="GOJ2" s="180"/>
      <c r="GOK2" s="180"/>
      <c r="GOL2" s="180"/>
      <c r="GOM2" s="180"/>
      <c r="GON2" s="180"/>
      <c r="GOO2" s="180"/>
      <c r="GOP2" s="180"/>
      <c r="GOQ2" s="180"/>
      <c r="GOR2" s="180"/>
      <c r="GOS2" s="180"/>
      <c r="GOT2" s="180"/>
      <c r="GOU2" s="180"/>
      <c r="GOV2" s="180"/>
      <c r="GOW2" s="180"/>
      <c r="GOX2" s="180"/>
      <c r="GOY2" s="180"/>
      <c r="GOZ2" s="180"/>
      <c r="GPA2" s="180"/>
      <c r="GPB2" s="180"/>
      <c r="GPC2" s="180"/>
      <c r="GPD2" s="180"/>
      <c r="GPE2" s="180"/>
      <c r="GPF2" s="180"/>
      <c r="GPG2" s="180"/>
      <c r="GPH2" s="180"/>
      <c r="GPI2" s="180"/>
      <c r="GPJ2" s="180"/>
      <c r="GPK2" s="180"/>
      <c r="GPL2" s="180"/>
      <c r="GPM2" s="180"/>
      <c r="GPN2" s="180"/>
      <c r="GPO2" s="180"/>
      <c r="GPP2" s="180"/>
      <c r="GPQ2" s="180"/>
      <c r="GPR2" s="180"/>
      <c r="GPS2" s="180"/>
      <c r="GPT2" s="180"/>
      <c r="GPU2" s="180"/>
      <c r="GPV2" s="180"/>
      <c r="GPW2" s="180"/>
      <c r="GPX2" s="180"/>
      <c r="GPY2" s="180"/>
      <c r="GPZ2" s="180"/>
      <c r="GQA2" s="180"/>
      <c r="GQB2" s="180"/>
      <c r="GQC2" s="180"/>
      <c r="GQD2" s="180"/>
      <c r="GQE2" s="180"/>
      <c r="GQF2" s="180"/>
      <c r="GQG2" s="180"/>
      <c r="GQH2" s="180"/>
      <c r="GQI2" s="180"/>
      <c r="GQJ2" s="180"/>
      <c r="GQK2" s="180"/>
      <c r="GQL2" s="180"/>
      <c r="GQM2" s="180"/>
      <c r="GQN2" s="180"/>
      <c r="GQO2" s="180"/>
      <c r="GQP2" s="180"/>
      <c r="GQQ2" s="180"/>
      <c r="GQR2" s="180"/>
      <c r="GQS2" s="180"/>
      <c r="GQT2" s="180"/>
      <c r="GQU2" s="180"/>
      <c r="GQV2" s="180"/>
      <c r="GQW2" s="180"/>
      <c r="GQX2" s="180"/>
      <c r="GQY2" s="180"/>
      <c r="GQZ2" s="180"/>
      <c r="GRA2" s="180"/>
      <c r="GRB2" s="180"/>
      <c r="GRC2" s="180"/>
      <c r="GRD2" s="180"/>
      <c r="GRE2" s="180"/>
      <c r="GRF2" s="180"/>
      <c r="GRG2" s="180"/>
      <c r="GRH2" s="180"/>
      <c r="GRI2" s="180"/>
      <c r="GRJ2" s="180"/>
      <c r="GRK2" s="180"/>
      <c r="GRL2" s="180"/>
      <c r="GRM2" s="180"/>
      <c r="GRN2" s="180"/>
      <c r="GRO2" s="180"/>
      <c r="GRP2" s="180"/>
      <c r="GRQ2" s="180"/>
      <c r="GRR2" s="180"/>
      <c r="GRS2" s="180"/>
      <c r="GRT2" s="180"/>
      <c r="GRU2" s="180"/>
      <c r="GRV2" s="180"/>
      <c r="GRW2" s="180"/>
      <c r="GRX2" s="180"/>
      <c r="GRY2" s="180"/>
      <c r="GRZ2" s="180"/>
      <c r="GSA2" s="180"/>
      <c r="GSB2" s="180"/>
      <c r="GSC2" s="180"/>
      <c r="GSD2" s="180"/>
      <c r="GSE2" s="180"/>
      <c r="GSF2" s="180"/>
      <c r="GSG2" s="180"/>
      <c r="GSH2" s="180"/>
      <c r="GSI2" s="180"/>
      <c r="GSJ2" s="180"/>
      <c r="GSK2" s="180"/>
      <c r="GSL2" s="180"/>
      <c r="GSM2" s="180"/>
      <c r="GSN2" s="180"/>
      <c r="GSO2" s="180"/>
      <c r="GSP2" s="180"/>
      <c r="GSQ2" s="180"/>
      <c r="GSR2" s="180"/>
      <c r="GSS2" s="180"/>
      <c r="GST2" s="180"/>
      <c r="GSU2" s="180"/>
      <c r="GSV2" s="180"/>
      <c r="GSW2" s="180"/>
      <c r="GSX2" s="180"/>
      <c r="GSY2" s="180"/>
      <c r="GSZ2" s="180"/>
      <c r="GTA2" s="180"/>
      <c r="GTB2" s="180"/>
      <c r="GTC2" s="180"/>
      <c r="GTD2" s="180"/>
      <c r="GTE2" s="180"/>
      <c r="GTF2" s="180"/>
      <c r="GTG2" s="180"/>
      <c r="GTH2" s="180"/>
      <c r="GTI2" s="180"/>
      <c r="GTJ2" s="180"/>
      <c r="GTK2" s="180"/>
      <c r="GTL2" s="180"/>
      <c r="GTM2" s="180"/>
      <c r="GTN2" s="180"/>
      <c r="GTO2" s="180"/>
      <c r="GTP2" s="180"/>
      <c r="GTQ2" s="180"/>
      <c r="GTR2" s="180"/>
      <c r="GTS2" s="180"/>
      <c r="GTT2" s="180"/>
      <c r="GTU2" s="180"/>
      <c r="GTV2" s="180"/>
      <c r="GTW2" s="180"/>
      <c r="GTX2" s="180"/>
      <c r="GTY2" s="180"/>
      <c r="GTZ2" s="180"/>
      <c r="GUA2" s="180"/>
      <c r="GUB2" s="180"/>
      <c r="GUC2" s="180"/>
      <c r="GUD2" s="180"/>
      <c r="GUE2" s="180"/>
      <c r="GUF2" s="180"/>
      <c r="GUG2" s="180"/>
      <c r="GUH2" s="180"/>
      <c r="GUI2" s="180"/>
      <c r="GUJ2" s="180"/>
      <c r="GUK2" s="180"/>
      <c r="GUL2" s="180"/>
      <c r="GUM2" s="180"/>
      <c r="GUN2" s="180"/>
      <c r="GUO2" s="180"/>
      <c r="GUP2" s="180"/>
      <c r="GUQ2" s="180"/>
      <c r="GUR2" s="180"/>
      <c r="GUS2" s="180"/>
      <c r="GUT2" s="180"/>
      <c r="GUU2" s="180"/>
      <c r="GUV2" s="180"/>
      <c r="GUW2" s="180"/>
      <c r="GUX2" s="180"/>
      <c r="GUY2" s="180"/>
      <c r="GUZ2" s="180"/>
      <c r="GVA2" s="180"/>
      <c r="GVB2" s="180"/>
      <c r="GVC2" s="180"/>
      <c r="GVD2" s="180"/>
      <c r="GVE2" s="180"/>
      <c r="GVF2" s="180"/>
      <c r="GVG2" s="180"/>
      <c r="GVH2" s="180"/>
      <c r="GVI2" s="180"/>
      <c r="GVJ2" s="180"/>
      <c r="GVK2" s="180"/>
      <c r="GVL2" s="180"/>
      <c r="GVM2" s="180"/>
      <c r="GVN2" s="180"/>
      <c r="GVO2" s="180"/>
      <c r="GVP2" s="180"/>
      <c r="GVQ2" s="180"/>
      <c r="GVR2" s="180"/>
      <c r="GVS2" s="180"/>
      <c r="GVT2" s="180"/>
      <c r="GVU2" s="180"/>
      <c r="GVV2" s="180"/>
      <c r="GVW2" s="180"/>
      <c r="GVX2" s="180"/>
      <c r="GVY2" s="180"/>
      <c r="GVZ2" s="180"/>
      <c r="GWA2" s="180"/>
      <c r="GWB2" s="180"/>
      <c r="GWC2" s="180"/>
      <c r="GWD2" s="180"/>
      <c r="GWE2" s="180"/>
      <c r="GWF2" s="180"/>
      <c r="GWG2" s="180"/>
      <c r="GWH2" s="180"/>
      <c r="GWI2" s="180"/>
      <c r="GWJ2" s="180"/>
      <c r="GWK2" s="180"/>
      <c r="GWL2" s="180"/>
      <c r="GWM2" s="180"/>
      <c r="GWN2" s="180"/>
      <c r="GWO2" s="180"/>
      <c r="GWP2" s="180"/>
      <c r="GWQ2" s="180"/>
      <c r="GWR2" s="180"/>
      <c r="GWS2" s="180"/>
      <c r="GWT2" s="180"/>
      <c r="GWU2" s="180"/>
      <c r="GWV2" s="180"/>
      <c r="GWW2" s="180"/>
      <c r="GWX2" s="180"/>
      <c r="GWY2" s="180"/>
      <c r="GWZ2" s="180"/>
      <c r="GXA2" s="180"/>
      <c r="GXB2" s="180"/>
      <c r="GXC2" s="180"/>
      <c r="GXD2" s="180"/>
      <c r="GXE2" s="180"/>
      <c r="GXF2" s="180"/>
      <c r="GXG2" s="180"/>
      <c r="GXH2" s="180"/>
      <c r="GXI2" s="180"/>
      <c r="GXJ2" s="180"/>
      <c r="GXK2" s="180"/>
      <c r="GXL2" s="180"/>
      <c r="GXM2" s="180"/>
      <c r="GXN2" s="180"/>
      <c r="GXO2" s="180"/>
      <c r="GXP2" s="180"/>
      <c r="GXQ2" s="180"/>
      <c r="GXR2" s="180"/>
      <c r="GXS2" s="180"/>
      <c r="GXT2" s="180"/>
      <c r="GXU2" s="180"/>
      <c r="GXV2" s="180"/>
      <c r="GXW2" s="180"/>
      <c r="GXX2" s="180"/>
      <c r="GXY2" s="180"/>
      <c r="GXZ2" s="180"/>
      <c r="GYA2" s="180"/>
      <c r="GYB2" s="180"/>
      <c r="GYC2" s="180"/>
      <c r="GYD2" s="180"/>
      <c r="GYE2" s="180"/>
      <c r="GYF2" s="180"/>
      <c r="GYG2" s="180"/>
      <c r="GYH2" s="180"/>
      <c r="GYI2" s="180"/>
      <c r="GYJ2" s="180"/>
      <c r="GYK2" s="180"/>
      <c r="GYL2" s="180"/>
      <c r="GYM2" s="180"/>
      <c r="GYN2" s="180"/>
      <c r="GYO2" s="180"/>
      <c r="GYP2" s="180"/>
      <c r="GYQ2" s="180"/>
      <c r="GYR2" s="180"/>
      <c r="GYS2" s="180"/>
      <c r="GYT2" s="180"/>
      <c r="GYU2" s="180"/>
      <c r="GYV2" s="180"/>
      <c r="GYW2" s="180"/>
      <c r="GYX2" s="180"/>
      <c r="GYY2" s="180"/>
      <c r="GYZ2" s="180"/>
      <c r="GZA2" s="180"/>
      <c r="GZB2" s="180"/>
      <c r="GZC2" s="180"/>
      <c r="GZD2" s="180"/>
      <c r="GZE2" s="180"/>
      <c r="GZF2" s="180"/>
      <c r="GZG2" s="180"/>
      <c r="GZH2" s="180"/>
      <c r="GZI2" s="180"/>
      <c r="GZJ2" s="180"/>
      <c r="GZK2" s="180"/>
      <c r="GZL2" s="180"/>
      <c r="GZM2" s="180"/>
      <c r="GZN2" s="180"/>
      <c r="GZO2" s="180"/>
      <c r="GZP2" s="180"/>
      <c r="GZQ2" s="180"/>
      <c r="GZR2" s="180"/>
      <c r="GZS2" s="180"/>
      <c r="GZT2" s="180"/>
      <c r="GZU2" s="180"/>
      <c r="GZV2" s="180"/>
      <c r="GZW2" s="180"/>
      <c r="GZX2" s="180"/>
      <c r="GZY2" s="180"/>
      <c r="GZZ2" s="180"/>
      <c r="HAA2" s="180"/>
      <c r="HAB2" s="180"/>
      <c r="HAC2" s="180"/>
      <c r="HAD2" s="180"/>
      <c r="HAE2" s="180"/>
      <c r="HAF2" s="180"/>
      <c r="HAG2" s="180"/>
      <c r="HAH2" s="180"/>
      <c r="HAI2" s="180"/>
      <c r="HAJ2" s="180"/>
      <c r="HAK2" s="180"/>
      <c r="HAL2" s="180"/>
      <c r="HAM2" s="180"/>
      <c r="HAN2" s="180"/>
      <c r="HAO2" s="180"/>
      <c r="HAP2" s="180"/>
      <c r="HAQ2" s="180"/>
      <c r="HAR2" s="180"/>
      <c r="HAS2" s="180"/>
      <c r="HAT2" s="180"/>
      <c r="HAU2" s="180"/>
      <c r="HAV2" s="180"/>
      <c r="HAW2" s="180"/>
      <c r="HAX2" s="180"/>
      <c r="HAY2" s="180"/>
      <c r="HAZ2" s="180"/>
      <c r="HBA2" s="180"/>
      <c r="HBB2" s="180"/>
      <c r="HBC2" s="180"/>
      <c r="HBD2" s="180"/>
      <c r="HBE2" s="180"/>
      <c r="HBF2" s="180"/>
      <c r="HBG2" s="180"/>
      <c r="HBH2" s="180"/>
      <c r="HBI2" s="180"/>
      <c r="HBJ2" s="180"/>
      <c r="HBK2" s="180"/>
      <c r="HBL2" s="180"/>
      <c r="HBM2" s="180"/>
      <c r="HBN2" s="180"/>
      <c r="HBO2" s="180"/>
      <c r="HBP2" s="180"/>
      <c r="HBQ2" s="180"/>
      <c r="HBR2" s="180"/>
      <c r="HBS2" s="180"/>
      <c r="HBT2" s="180"/>
      <c r="HBU2" s="180"/>
      <c r="HBV2" s="180"/>
      <c r="HBW2" s="180"/>
      <c r="HBX2" s="180"/>
      <c r="HBY2" s="180"/>
      <c r="HBZ2" s="180"/>
      <c r="HCA2" s="180"/>
      <c r="HCB2" s="180"/>
      <c r="HCC2" s="180"/>
      <c r="HCD2" s="180"/>
      <c r="HCE2" s="180"/>
      <c r="HCF2" s="180"/>
      <c r="HCG2" s="180"/>
      <c r="HCH2" s="180"/>
      <c r="HCI2" s="180"/>
      <c r="HCJ2" s="180"/>
      <c r="HCK2" s="180"/>
      <c r="HCL2" s="180"/>
      <c r="HCM2" s="180"/>
      <c r="HCN2" s="180"/>
      <c r="HCO2" s="180"/>
      <c r="HCP2" s="180"/>
      <c r="HCQ2" s="180"/>
      <c r="HCR2" s="180"/>
      <c r="HCS2" s="180"/>
      <c r="HCT2" s="180"/>
      <c r="HCU2" s="180"/>
      <c r="HCV2" s="180"/>
      <c r="HCW2" s="180"/>
      <c r="HCX2" s="180"/>
      <c r="HCY2" s="180"/>
      <c r="HCZ2" s="180"/>
      <c r="HDA2" s="180"/>
      <c r="HDB2" s="180"/>
      <c r="HDC2" s="180"/>
      <c r="HDD2" s="180"/>
      <c r="HDE2" s="180"/>
      <c r="HDF2" s="180"/>
      <c r="HDG2" s="180"/>
      <c r="HDH2" s="180"/>
      <c r="HDI2" s="180"/>
      <c r="HDJ2" s="180"/>
      <c r="HDK2" s="180"/>
      <c r="HDL2" s="180"/>
      <c r="HDM2" s="180"/>
      <c r="HDN2" s="180"/>
      <c r="HDO2" s="180"/>
      <c r="HDP2" s="180"/>
      <c r="HDQ2" s="180"/>
      <c r="HDR2" s="180"/>
      <c r="HDS2" s="180"/>
      <c r="HDT2" s="180"/>
      <c r="HDU2" s="180"/>
      <c r="HDV2" s="180"/>
      <c r="HDW2" s="180"/>
      <c r="HDX2" s="180"/>
      <c r="HDY2" s="180"/>
      <c r="HDZ2" s="180"/>
      <c r="HEA2" s="180"/>
      <c r="HEB2" s="180"/>
      <c r="HEC2" s="180"/>
      <c r="HED2" s="180"/>
      <c r="HEE2" s="180"/>
      <c r="HEF2" s="180"/>
      <c r="HEG2" s="180"/>
      <c r="HEH2" s="180"/>
      <c r="HEI2" s="180"/>
      <c r="HEJ2" s="180"/>
      <c r="HEK2" s="180"/>
      <c r="HEL2" s="180"/>
      <c r="HEM2" s="180"/>
      <c r="HEN2" s="180"/>
      <c r="HEO2" s="180"/>
      <c r="HEP2" s="180"/>
      <c r="HEQ2" s="180"/>
      <c r="HER2" s="180"/>
      <c r="HES2" s="180"/>
      <c r="HET2" s="180"/>
      <c r="HEU2" s="180"/>
      <c r="HEV2" s="180"/>
      <c r="HEW2" s="180"/>
      <c r="HEX2" s="180"/>
      <c r="HEY2" s="180"/>
      <c r="HEZ2" s="180"/>
      <c r="HFA2" s="180"/>
      <c r="HFB2" s="180"/>
      <c r="HFC2" s="180"/>
      <c r="HFD2" s="180"/>
      <c r="HFE2" s="180"/>
      <c r="HFF2" s="180"/>
      <c r="HFG2" s="180"/>
      <c r="HFH2" s="180"/>
      <c r="HFI2" s="180"/>
      <c r="HFJ2" s="180"/>
      <c r="HFK2" s="180"/>
      <c r="HFL2" s="180"/>
      <c r="HFM2" s="180"/>
      <c r="HFN2" s="180"/>
      <c r="HFO2" s="180"/>
      <c r="HFP2" s="180"/>
      <c r="HFQ2" s="180"/>
      <c r="HFR2" s="180"/>
      <c r="HFS2" s="180"/>
      <c r="HFT2" s="180"/>
      <c r="HFU2" s="180"/>
      <c r="HFV2" s="180"/>
      <c r="HFW2" s="180"/>
      <c r="HFX2" s="180"/>
      <c r="HFY2" s="180"/>
      <c r="HFZ2" s="180"/>
      <c r="HGA2" s="180"/>
      <c r="HGB2" s="180"/>
      <c r="HGC2" s="180"/>
      <c r="HGD2" s="180"/>
      <c r="HGE2" s="180"/>
      <c r="HGF2" s="180"/>
      <c r="HGG2" s="180"/>
      <c r="HGH2" s="180"/>
      <c r="HGI2" s="180"/>
      <c r="HGJ2" s="180"/>
      <c r="HGK2" s="180"/>
      <c r="HGL2" s="180"/>
      <c r="HGM2" s="180"/>
      <c r="HGN2" s="180"/>
      <c r="HGO2" s="180"/>
      <c r="HGP2" s="180"/>
      <c r="HGQ2" s="180"/>
      <c r="HGR2" s="180"/>
      <c r="HGS2" s="180"/>
      <c r="HGT2" s="180"/>
      <c r="HGU2" s="180"/>
      <c r="HGV2" s="180"/>
      <c r="HGW2" s="180"/>
      <c r="HGX2" s="180"/>
      <c r="HGY2" s="180"/>
      <c r="HGZ2" s="180"/>
      <c r="HHA2" s="180"/>
      <c r="HHB2" s="180"/>
      <c r="HHC2" s="180"/>
      <c r="HHD2" s="180"/>
      <c r="HHE2" s="180"/>
      <c r="HHF2" s="180"/>
      <c r="HHG2" s="180"/>
      <c r="HHH2" s="180"/>
      <c r="HHI2" s="180"/>
      <c r="HHJ2" s="180"/>
      <c r="HHK2" s="180"/>
      <c r="HHL2" s="180"/>
      <c r="HHM2" s="180"/>
      <c r="HHN2" s="180"/>
      <c r="HHO2" s="180"/>
      <c r="HHP2" s="180"/>
      <c r="HHQ2" s="180"/>
      <c r="HHR2" s="180"/>
      <c r="HHS2" s="180"/>
      <c r="HHT2" s="180"/>
      <c r="HHU2" s="180"/>
      <c r="HHV2" s="180"/>
      <c r="HHW2" s="180"/>
      <c r="HHX2" s="180"/>
      <c r="HHY2" s="180"/>
      <c r="HHZ2" s="180"/>
      <c r="HIA2" s="180"/>
      <c r="HIB2" s="180"/>
      <c r="HIC2" s="180"/>
      <c r="HID2" s="180"/>
      <c r="HIE2" s="180"/>
      <c r="HIF2" s="180"/>
      <c r="HIG2" s="180"/>
      <c r="HIH2" s="180"/>
      <c r="HII2" s="180"/>
      <c r="HIJ2" s="180"/>
      <c r="HIK2" s="180"/>
      <c r="HIL2" s="180"/>
      <c r="HIM2" s="180"/>
      <c r="HIN2" s="180"/>
      <c r="HIO2" s="180"/>
      <c r="HIP2" s="180"/>
      <c r="HIQ2" s="180"/>
      <c r="HIR2" s="180"/>
      <c r="HIS2" s="180"/>
      <c r="HIT2" s="180"/>
      <c r="HIU2" s="180"/>
      <c r="HIV2" s="180"/>
      <c r="HIW2" s="180"/>
      <c r="HIX2" s="180"/>
      <c r="HIY2" s="180"/>
      <c r="HIZ2" s="180"/>
      <c r="HJA2" s="180"/>
      <c r="HJB2" s="180"/>
      <c r="HJC2" s="180"/>
      <c r="HJD2" s="180"/>
      <c r="HJE2" s="180"/>
      <c r="HJF2" s="180"/>
      <c r="HJG2" s="180"/>
      <c r="HJH2" s="180"/>
      <c r="HJI2" s="180"/>
      <c r="HJJ2" s="180"/>
      <c r="HJK2" s="180"/>
      <c r="HJL2" s="180"/>
      <c r="HJM2" s="180"/>
      <c r="HJN2" s="180"/>
      <c r="HJO2" s="180"/>
      <c r="HJP2" s="180"/>
      <c r="HJQ2" s="180"/>
      <c r="HJR2" s="180"/>
      <c r="HJS2" s="180"/>
      <c r="HJT2" s="180"/>
      <c r="HJU2" s="180"/>
      <c r="HJV2" s="180"/>
      <c r="HJW2" s="180"/>
      <c r="HJX2" s="180"/>
      <c r="HJY2" s="180"/>
      <c r="HJZ2" s="180"/>
      <c r="HKA2" s="180"/>
      <c r="HKB2" s="180"/>
      <c r="HKC2" s="180"/>
      <c r="HKD2" s="180"/>
      <c r="HKE2" s="180"/>
      <c r="HKF2" s="180"/>
      <c r="HKG2" s="180"/>
      <c r="HKH2" s="180"/>
      <c r="HKI2" s="180"/>
      <c r="HKJ2" s="180"/>
      <c r="HKK2" s="180"/>
      <c r="HKL2" s="180"/>
      <c r="HKM2" s="180"/>
      <c r="HKN2" s="180"/>
      <c r="HKO2" s="180"/>
      <c r="HKP2" s="180"/>
      <c r="HKQ2" s="180"/>
      <c r="HKR2" s="180"/>
      <c r="HKS2" s="180"/>
      <c r="HKT2" s="180"/>
      <c r="HKU2" s="180"/>
      <c r="HKV2" s="180"/>
      <c r="HKW2" s="180"/>
      <c r="HKX2" s="180"/>
      <c r="HKY2" s="180"/>
      <c r="HKZ2" s="180"/>
      <c r="HLA2" s="180"/>
      <c r="HLB2" s="180"/>
      <c r="HLC2" s="180"/>
      <c r="HLD2" s="180"/>
      <c r="HLE2" s="180"/>
      <c r="HLF2" s="180"/>
      <c r="HLG2" s="180"/>
      <c r="HLH2" s="180"/>
      <c r="HLI2" s="180"/>
      <c r="HLJ2" s="180"/>
      <c r="HLK2" s="180"/>
      <c r="HLL2" s="180"/>
      <c r="HLM2" s="180"/>
      <c r="HLN2" s="180"/>
      <c r="HLO2" s="180"/>
      <c r="HLP2" s="180"/>
      <c r="HLQ2" s="180"/>
      <c r="HLR2" s="180"/>
      <c r="HLS2" s="180"/>
      <c r="HLT2" s="180"/>
      <c r="HLU2" s="180"/>
      <c r="HLV2" s="180"/>
      <c r="HLW2" s="180"/>
      <c r="HLX2" s="180"/>
      <c r="HLY2" s="180"/>
      <c r="HLZ2" s="180"/>
      <c r="HMA2" s="180"/>
      <c r="HMB2" s="180"/>
      <c r="HMC2" s="180"/>
      <c r="HMD2" s="180"/>
      <c r="HME2" s="180"/>
      <c r="HMF2" s="180"/>
      <c r="HMG2" s="180"/>
      <c r="HMH2" s="180"/>
      <c r="HMI2" s="180"/>
      <c r="HMJ2" s="180"/>
      <c r="HMK2" s="180"/>
      <c r="HML2" s="180"/>
      <c r="HMM2" s="180"/>
      <c r="HMN2" s="180"/>
      <c r="HMO2" s="180"/>
      <c r="HMP2" s="180"/>
      <c r="HMQ2" s="180"/>
      <c r="HMR2" s="180"/>
      <c r="HMS2" s="180"/>
      <c r="HMT2" s="180"/>
      <c r="HMU2" s="180"/>
      <c r="HMV2" s="180"/>
      <c r="HMW2" s="180"/>
      <c r="HMX2" s="180"/>
      <c r="HMY2" s="180"/>
      <c r="HMZ2" s="180"/>
      <c r="HNA2" s="180"/>
      <c r="HNB2" s="180"/>
      <c r="HNC2" s="180"/>
      <c r="HND2" s="180"/>
      <c r="HNE2" s="180"/>
      <c r="HNF2" s="180"/>
      <c r="HNG2" s="180"/>
      <c r="HNH2" s="180"/>
      <c r="HNI2" s="180"/>
      <c r="HNJ2" s="180"/>
      <c r="HNK2" s="180"/>
      <c r="HNL2" s="180"/>
      <c r="HNM2" s="180"/>
      <c r="HNN2" s="180"/>
      <c r="HNO2" s="180"/>
      <c r="HNP2" s="180"/>
      <c r="HNQ2" s="180"/>
      <c r="HNR2" s="180"/>
      <c r="HNS2" s="180"/>
      <c r="HNT2" s="180"/>
      <c r="HNU2" s="180"/>
      <c r="HNV2" s="180"/>
      <c r="HNW2" s="180"/>
      <c r="HNX2" s="180"/>
      <c r="HNY2" s="180"/>
      <c r="HNZ2" s="180"/>
      <c r="HOA2" s="180"/>
      <c r="HOB2" s="180"/>
      <c r="HOC2" s="180"/>
      <c r="HOD2" s="180"/>
      <c r="HOE2" s="180"/>
      <c r="HOF2" s="180"/>
      <c r="HOG2" s="180"/>
      <c r="HOH2" s="180"/>
      <c r="HOI2" s="180"/>
      <c r="HOJ2" s="180"/>
      <c r="HOK2" s="180"/>
      <c r="HOL2" s="180"/>
      <c r="HOM2" s="180"/>
      <c r="HON2" s="180"/>
      <c r="HOO2" s="180"/>
      <c r="HOP2" s="180"/>
      <c r="HOQ2" s="180"/>
      <c r="HOR2" s="180"/>
      <c r="HOS2" s="180"/>
      <c r="HOT2" s="180"/>
      <c r="HOU2" s="180"/>
      <c r="HOV2" s="180"/>
      <c r="HOW2" s="180"/>
      <c r="HOX2" s="180"/>
      <c r="HOY2" s="180"/>
      <c r="HOZ2" s="180"/>
      <c r="HPA2" s="180"/>
      <c r="HPB2" s="180"/>
      <c r="HPC2" s="180"/>
      <c r="HPD2" s="180"/>
      <c r="HPE2" s="180"/>
      <c r="HPF2" s="180"/>
      <c r="HPG2" s="180"/>
      <c r="HPH2" s="180"/>
      <c r="HPI2" s="180"/>
      <c r="HPJ2" s="180"/>
      <c r="HPK2" s="180"/>
      <c r="HPL2" s="180"/>
      <c r="HPM2" s="180"/>
      <c r="HPN2" s="180"/>
      <c r="HPO2" s="180"/>
      <c r="HPP2" s="180"/>
      <c r="HPQ2" s="180"/>
      <c r="HPR2" s="180"/>
      <c r="HPS2" s="180"/>
      <c r="HPT2" s="180"/>
      <c r="HPU2" s="180"/>
      <c r="HPV2" s="180"/>
      <c r="HPW2" s="180"/>
      <c r="HPX2" s="180"/>
      <c r="HPY2" s="180"/>
      <c r="HPZ2" s="180"/>
      <c r="HQA2" s="180"/>
      <c r="HQB2" s="180"/>
      <c r="HQC2" s="180"/>
      <c r="HQD2" s="180"/>
      <c r="HQE2" s="180"/>
      <c r="HQF2" s="180"/>
      <c r="HQG2" s="180"/>
      <c r="HQH2" s="180"/>
      <c r="HQI2" s="180"/>
      <c r="HQJ2" s="180"/>
      <c r="HQK2" s="180"/>
      <c r="HQL2" s="180"/>
      <c r="HQM2" s="180"/>
      <c r="HQN2" s="180"/>
      <c r="HQO2" s="180"/>
      <c r="HQP2" s="180"/>
      <c r="HQQ2" s="180"/>
      <c r="HQR2" s="180"/>
      <c r="HQS2" s="180"/>
      <c r="HQT2" s="180"/>
      <c r="HQU2" s="180"/>
      <c r="HQV2" s="180"/>
      <c r="HQW2" s="180"/>
      <c r="HQX2" s="180"/>
      <c r="HQY2" s="180"/>
      <c r="HQZ2" s="180"/>
      <c r="HRA2" s="180"/>
      <c r="HRB2" s="180"/>
      <c r="HRC2" s="180"/>
      <c r="HRD2" s="180"/>
      <c r="HRE2" s="180"/>
      <c r="HRF2" s="180"/>
      <c r="HRG2" s="180"/>
      <c r="HRH2" s="180"/>
      <c r="HRI2" s="180"/>
      <c r="HRJ2" s="180"/>
      <c r="HRK2" s="180"/>
      <c r="HRL2" s="180"/>
      <c r="HRM2" s="180"/>
      <c r="HRN2" s="180"/>
      <c r="HRO2" s="180"/>
      <c r="HRP2" s="180"/>
      <c r="HRQ2" s="180"/>
      <c r="HRR2" s="180"/>
      <c r="HRS2" s="180"/>
      <c r="HRT2" s="180"/>
      <c r="HRU2" s="180"/>
      <c r="HRV2" s="180"/>
      <c r="HRW2" s="180"/>
      <c r="HRX2" s="180"/>
      <c r="HRY2" s="180"/>
      <c r="HRZ2" s="180"/>
      <c r="HSA2" s="180"/>
      <c r="HSB2" s="180"/>
      <c r="HSC2" s="180"/>
      <c r="HSD2" s="180"/>
      <c r="HSE2" s="180"/>
      <c r="HSF2" s="180"/>
      <c r="HSG2" s="180"/>
      <c r="HSH2" s="180"/>
      <c r="HSI2" s="180"/>
      <c r="HSJ2" s="180"/>
      <c r="HSK2" s="180"/>
      <c r="HSL2" s="180"/>
      <c r="HSM2" s="180"/>
      <c r="HSN2" s="180"/>
      <c r="HSO2" s="180"/>
      <c r="HSP2" s="180"/>
      <c r="HSQ2" s="180"/>
      <c r="HSR2" s="180"/>
      <c r="HSS2" s="180"/>
      <c r="HST2" s="180"/>
      <c r="HSU2" s="180"/>
      <c r="HSV2" s="180"/>
      <c r="HSW2" s="180"/>
      <c r="HSX2" s="180"/>
      <c r="HSY2" s="180"/>
      <c r="HSZ2" s="180"/>
      <c r="HTA2" s="180"/>
      <c r="HTB2" s="180"/>
      <c r="HTC2" s="180"/>
      <c r="HTD2" s="180"/>
      <c r="HTE2" s="180"/>
      <c r="HTF2" s="180"/>
      <c r="HTG2" s="180"/>
      <c r="HTH2" s="180"/>
      <c r="HTI2" s="180"/>
      <c r="HTJ2" s="180"/>
      <c r="HTK2" s="180"/>
      <c r="HTL2" s="180"/>
      <c r="HTM2" s="180"/>
      <c r="HTN2" s="180"/>
      <c r="HTO2" s="180"/>
      <c r="HTP2" s="180"/>
      <c r="HTQ2" s="180"/>
      <c r="HTR2" s="180"/>
      <c r="HTS2" s="180"/>
      <c r="HTT2" s="180"/>
      <c r="HTU2" s="180"/>
      <c r="HTV2" s="180"/>
      <c r="HTW2" s="180"/>
      <c r="HTX2" s="180"/>
      <c r="HTY2" s="180"/>
      <c r="HTZ2" s="180"/>
      <c r="HUA2" s="180"/>
      <c r="HUB2" s="180"/>
      <c r="HUC2" s="180"/>
      <c r="HUD2" s="180"/>
      <c r="HUE2" s="180"/>
      <c r="HUF2" s="180"/>
      <c r="HUG2" s="180"/>
      <c r="HUH2" s="180"/>
      <c r="HUI2" s="180"/>
      <c r="HUJ2" s="180"/>
      <c r="HUK2" s="180"/>
      <c r="HUL2" s="180"/>
      <c r="HUM2" s="180"/>
      <c r="HUN2" s="180"/>
      <c r="HUO2" s="180"/>
      <c r="HUP2" s="180"/>
      <c r="HUQ2" s="180"/>
      <c r="HUR2" s="180"/>
      <c r="HUS2" s="180"/>
      <c r="HUT2" s="180"/>
      <c r="HUU2" s="180"/>
      <c r="HUV2" s="180"/>
      <c r="HUW2" s="180"/>
      <c r="HUX2" s="180"/>
      <c r="HUY2" s="180"/>
      <c r="HUZ2" s="180"/>
      <c r="HVA2" s="180"/>
      <c r="HVB2" s="180"/>
      <c r="HVC2" s="180"/>
      <c r="HVD2" s="180"/>
      <c r="HVE2" s="180"/>
      <c r="HVF2" s="180"/>
      <c r="HVG2" s="180"/>
      <c r="HVH2" s="180"/>
      <c r="HVI2" s="180"/>
      <c r="HVJ2" s="180"/>
      <c r="HVK2" s="180"/>
      <c r="HVL2" s="180"/>
      <c r="HVM2" s="180"/>
      <c r="HVN2" s="180"/>
      <c r="HVO2" s="180"/>
      <c r="HVP2" s="180"/>
      <c r="HVQ2" s="180"/>
      <c r="HVR2" s="180"/>
      <c r="HVS2" s="180"/>
      <c r="HVT2" s="180"/>
      <c r="HVU2" s="180"/>
      <c r="HVV2" s="180"/>
      <c r="HVW2" s="180"/>
      <c r="HVX2" s="180"/>
      <c r="HVY2" s="180"/>
      <c r="HVZ2" s="180"/>
      <c r="HWA2" s="180"/>
      <c r="HWB2" s="180"/>
      <c r="HWC2" s="180"/>
      <c r="HWD2" s="180"/>
      <c r="HWE2" s="180"/>
      <c r="HWF2" s="180"/>
      <c r="HWG2" s="180"/>
      <c r="HWH2" s="180"/>
      <c r="HWI2" s="180"/>
      <c r="HWJ2" s="180"/>
      <c r="HWK2" s="180"/>
      <c r="HWL2" s="180"/>
      <c r="HWM2" s="180"/>
      <c r="HWN2" s="180"/>
      <c r="HWO2" s="180"/>
      <c r="HWP2" s="180"/>
      <c r="HWQ2" s="180"/>
      <c r="HWR2" s="180"/>
      <c r="HWS2" s="180"/>
      <c r="HWT2" s="180"/>
      <c r="HWU2" s="180"/>
      <c r="HWV2" s="180"/>
      <c r="HWW2" s="180"/>
      <c r="HWX2" s="180"/>
      <c r="HWY2" s="180"/>
      <c r="HWZ2" s="180"/>
      <c r="HXA2" s="180"/>
      <c r="HXB2" s="180"/>
      <c r="HXC2" s="180"/>
      <c r="HXD2" s="180"/>
      <c r="HXE2" s="180"/>
      <c r="HXF2" s="180"/>
      <c r="HXG2" s="180"/>
      <c r="HXH2" s="180"/>
      <c r="HXI2" s="180"/>
      <c r="HXJ2" s="180"/>
      <c r="HXK2" s="180"/>
      <c r="HXL2" s="180"/>
      <c r="HXM2" s="180"/>
      <c r="HXN2" s="180"/>
      <c r="HXO2" s="180"/>
      <c r="HXP2" s="180"/>
      <c r="HXQ2" s="180"/>
      <c r="HXR2" s="180"/>
      <c r="HXS2" s="180"/>
      <c r="HXT2" s="180"/>
      <c r="HXU2" s="180"/>
      <c r="HXV2" s="180"/>
      <c r="HXW2" s="180"/>
      <c r="HXX2" s="180"/>
      <c r="HXY2" s="180"/>
      <c r="HXZ2" s="180"/>
      <c r="HYA2" s="180"/>
      <c r="HYB2" s="180"/>
      <c r="HYC2" s="180"/>
      <c r="HYD2" s="180"/>
      <c r="HYE2" s="180"/>
      <c r="HYF2" s="180"/>
      <c r="HYG2" s="180"/>
      <c r="HYH2" s="180"/>
      <c r="HYI2" s="180"/>
      <c r="HYJ2" s="180"/>
      <c r="HYK2" s="180"/>
      <c r="HYL2" s="180"/>
      <c r="HYM2" s="180"/>
      <c r="HYN2" s="180"/>
      <c r="HYO2" s="180"/>
      <c r="HYP2" s="180"/>
      <c r="HYQ2" s="180"/>
      <c r="HYR2" s="180"/>
      <c r="HYS2" s="180"/>
      <c r="HYT2" s="180"/>
      <c r="HYU2" s="180"/>
      <c r="HYV2" s="180"/>
      <c r="HYW2" s="180"/>
      <c r="HYX2" s="180"/>
      <c r="HYY2" s="180"/>
      <c r="HYZ2" s="180"/>
      <c r="HZA2" s="180"/>
      <c r="HZB2" s="180"/>
      <c r="HZC2" s="180"/>
      <c r="HZD2" s="180"/>
      <c r="HZE2" s="180"/>
      <c r="HZF2" s="180"/>
      <c r="HZG2" s="180"/>
      <c r="HZH2" s="180"/>
      <c r="HZI2" s="180"/>
      <c r="HZJ2" s="180"/>
      <c r="HZK2" s="180"/>
      <c r="HZL2" s="180"/>
      <c r="HZM2" s="180"/>
      <c r="HZN2" s="180"/>
      <c r="HZO2" s="180"/>
      <c r="HZP2" s="180"/>
      <c r="HZQ2" s="180"/>
      <c r="HZR2" s="180"/>
      <c r="HZS2" s="180"/>
      <c r="HZT2" s="180"/>
      <c r="HZU2" s="180"/>
      <c r="HZV2" s="180"/>
      <c r="HZW2" s="180"/>
      <c r="HZX2" s="180"/>
      <c r="HZY2" s="180"/>
      <c r="HZZ2" s="180"/>
      <c r="IAA2" s="180"/>
      <c r="IAB2" s="180"/>
      <c r="IAC2" s="180"/>
      <c r="IAD2" s="180"/>
      <c r="IAE2" s="180"/>
      <c r="IAF2" s="180"/>
      <c r="IAG2" s="180"/>
      <c r="IAH2" s="180"/>
      <c r="IAI2" s="180"/>
      <c r="IAJ2" s="180"/>
      <c r="IAK2" s="180"/>
      <c r="IAL2" s="180"/>
      <c r="IAM2" s="180"/>
      <c r="IAN2" s="180"/>
      <c r="IAO2" s="180"/>
      <c r="IAP2" s="180"/>
      <c r="IAQ2" s="180"/>
      <c r="IAR2" s="180"/>
      <c r="IAS2" s="180"/>
      <c r="IAT2" s="180"/>
      <c r="IAU2" s="180"/>
      <c r="IAV2" s="180"/>
      <c r="IAW2" s="180"/>
      <c r="IAX2" s="180"/>
      <c r="IAY2" s="180"/>
      <c r="IAZ2" s="180"/>
      <c r="IBA2" s="180"/>
      <c r="IBB2" s="180"/>
      <c r="IBC2" s="180"/>
      <c r="IBD2" s="180"/>
      <c r="IBE2" s="180"/>
      <c r="IBF2" s="180"/>
      <c r="IBG2" s="180"/>
      <c r="IBH2" s="180"/>
      <c r="IBI2" s="180"/>
      <c r="IBJ2" s="180"/>
      <c r="IBK2" s="180"/>
      <c r="IBL2" s="180"/>
      <c r="IBM2" s="180"/>
      <c r="IBN2" s="180"/>
      <c r="IBO2" s="180"/>
      <c r="IBP2" s="180"/>
      <c r="IBQ2" s="180"/>
      <c r="IBR2" s="180"/>
      <c r="IBS2" s="180"/>
      <c r="IBT2" s="180"/>
      <c r="IBU2" s="180"/>
      <c r="IBV2" s="180"/>
      <c r="IBW2" s="180"/>
      <c r="IBX2" s="180"/>
      <c r="IBY2" s="180"/>
      <c r="IBZ2" s="180"/>
      <c r="ICA2" s="180"/>
      <c r="ICB2" s="180"/>
      <c r="ICC2" s="180"/>
      <c r="ICD2" s="180"/>
      <c r="ICE2" s="180"/>
      <c r="ICF2" s="180"/>
      <c r="ICG2" s="180"/>
      <c r="ICH2" s="180"/>
      <c r="ICI2" s="180"/>
      <c r="ICJ2" s="180"/>
      <c r="ICK2" s="180"/>
      <c r="ICL2" s="180"/>
      <c r="ICM2" s="180"/>
      <c r="ICN2" s="180"/>
      <c r="ICO2" s="180"/>
      <c r="ICP2" s="180"/>
      <c r="ICQ2" s="180"/>
      <c r="ICR2" s="180"/>
      <c r="ICS2" s="180"/>
      <c r="ICT2" s="180"/>
      <c r="ICU2" s="180"/>
      <c r="ICV2" s="180"/>
      <c r="ICW2" s="180"/>
      <c r="ICX2" s="180"/>
      <c r="ICY2" s="180"/>
      <c r="ICZ2" s="180"/>
      <c r="IDA2" s="180"/>
      <c r="IDB2" s="180"/>
      <c r="IDC2" s="180"/>
      <c r="IDD2" s="180"/>
      <c r="IDE2" s="180"/>
      <c r="IDF2" s="180"/>
      <c r="IDG2" s="180"/>
      <c r="IDH2" s="180"/>
      <c r="IDI2" s="180"/>
      <c r="IDJ2" s="180"/>
      <c r="IDK2" s="180"/>
      <c r="IDL2" s="180"/>
      <c r="IDM2" s="180"/>
      <c r="IDN2" s="180"/>
      <c r="IDO2" s="180"/>
      <c r="IDP2" s="180"/>
      <c r="IDQ2" s="180"/>
      <c r="IDR2" s="180"/>
      <c r="IDS2" s="180"/>
      <c r="IDT2" s="180"/>
      <c r="IDU2" s="180"/>
      <c r="IDV2" s="180"/>
      <c r="IDW2" s="180"/>
      <c r="IDX2" s="180"/>
      <c r="IDY2" s="180"/>
      <c r="IDZ2" s="180"/>
      <c r="IEA2" s="180"/>
      <c r="IEB2" s="180"/>
      <c r="IEC2" s="180"/>
      <c r="IED2" s="180"/>
      <c r="IEE2" s="180"/>
      <c r="IEF2" s="180"/>
      <c r="IEG2" s="180"/>
      <c r="IEH2" s="180"/>
      <c r="IEI2" s="180"/>
      <c r="IEJ2" s="180"/>
      <c r="IEK2" s="180"/>
      <c r="IEL2" s="180"/>
      <c r="IEM2" s="180"/>
      <c r="IEN2" s="180"/>
      <c r="IEO2" s="180"/>
      <c r="IEP2" s="180"/>
      <c r="IEQ2" s="180"/>
      <c r="IER2" s="180"/>
      <c r="IES2" s="180"/>
      <c r="IET2" s="180"/>
      <c r="IEU2" s="180"/>
      <c r="IEV2" s="180"/>
      <c r="IEW2" s="180"/>
      <c r="IEX2" s="180"/>
      <c r="IEY2" s="180"/>
      <c r="IEZ2" s="180"/>
      <c r="IFA2" s="180"/>
      <c r="IFB2" s="180"/>
      <c r="IFC2" s="180"/>
      <c r="IFD2" s="180"/>
      <c r="IFE2" s="180"/>
      <c r="IFF2" s="180"/>
      <c r="IFG2" s="180"/>
      <c r="IFH2" s="180"/>
      <c r="IFI2" s="180"/>
      <c r="IFJ2" s="180"/>
      <c r="IFK2" s="180"/>
      <c r="IFL2" s="180"/>
      <c r="IFM2" s="180"/>
      <c r="IFN2" s="180"/>
      <c r="IFO2" s="180"/>
      <c r="IFP2" s="180"/>
      <c r="IFQ2" s="180"/>
      <c r="IFR2" s="180"/>
      <c r="IFS2" s="180"/>
      <c r="IFT2" s="180"/>
      <c r="IFU2" s="180"/>
      <c r="IFV2" s="180"/>
      <c r="IFW2" s="180"/>
      <c r="IFX2" s="180"/>
      <c r="IFY2" s="180"/>
      <c r="IFZ2" s="180"/>
      <c r="IGA2" s="180"/>
      <c r="IGB2" s="180"/>
      <c r="IGC2" s="180"/>
      <c r="IGD2" s="180"/>
      <c r="IGE2" s="180"/>
      <c r="IGF2" s="180"/>
      <c r="IGG2" s="180"/>
      <c r="IGH2" s="180"/>
      <c r="IGI2" s="180"/>
      <c r="IGJ2" s="180"/>
      <c r="IGK2" s="180"/>
      <c r="IGL2" s="180"/>
      <c r="IGM2" s="180"/>
      <c r="IGN2" s="180"/>
      <c r="IGO2" s="180"/>
      <c r="IGP2" s="180"/>
      <c r="IGQ2" s="180"/>
      <c r="IGR2" s="180"/>
      <c r="IGS2" s="180"/>
      <c r="IGT2" s="180"/>
      <c r="IGU2" s="180"/>
      <c r="IGV2" s="180"/>
      <c r="IGW2" s="180"/>
      <c r="IGX2" s="180"/>
      <c r="IGY2" s="180"/>
      <c r="IGZ2" s="180"/>
      <c r="IHA2" s="180"/>
      <c r="IHB2" s="180"/>
      <c r="IHC2" s="180"/>
      <c r="IHD2" s="180"/>
      <c r="IHE2" s="180"/>
      <c r="IHF2" s="180"/>
      <c r="IHG2" s="180"/>
      <c r="IHH2" s="180"/>
      <c r="IHI2" s="180"/>
      <c r="IHJ2" s="180"/>
      <c r="IHK2" s="180"/>
      <c r="IHL2" s="180"/>
      <c r="IHM2" s="180"/>
      <c r="IHN2" s="180"/>
      <c r="IHO2" s="180"/>
      <c r="IHP2" s="180"/>
      <c r="IHQ2" s="180"/>
      <c r="IHR2" s="180"/>
      <c r="IHS2" s="180"/>
      <c r="IHT2" s="180"/>
      <c r="IHU2" s="180"/>
      <c r="IHV2" s="180"/>
      <c r="IHW2" s="180"/>
      <c r="IHX2" s="180"/>
      <c r="IHY2" s="180"/>
      <c r="IHZ2" s="180"/>
      <c r="IIA2" s="180"/>
      <c r="IIB2" s="180"/>
      <c r="IIC2" s="180"/>
      <c r="IID2" s="180"/>
      <c r="IIE2" s="180"/>
      <c r="IIF2" s="180"/>
      <c r="IIG2" s="180"/>
      <c r="IIH2" s="180"/>
      <c r="III2" s="180"/>
      <c r="IIJ2" s="180"/>
      <c r="IIK2" s="180"/>
      <c r="IIL2" s="180"/>
      <c r="IIM2" s="180"/>
      <c r="IIN2" s="180"/>
      <c r="IIO2" s="180"/>
      <c r="IIP2" s="180"/>
      <c r="IIQ2" s="180"/>
      <c r="IIR2" s="180"/>
      <c r="IIS2" s="180"/>
      <c r="IIT2" s="180"/>
      <c r="IIU2" s="180"/>
      <c r="IIV2" s="180"/>
      <c r="IIW2" s="180"/>
      <c r="IIX2" s="180"/>
      <c r="IIY2" s="180"/>
      <c r="IIZ2" s="180"/>
      <c r="IJA2" s="180"/>
      <c r="IJB2" s="180"/>
      <c r="IJC2" s="180"/>
      <c r="IJD2" s="180"/>
      <c r="IJE2" s="180"/>
      <c r="IJF2" s="180"/>
      <c r="IJG2" s="180"/>
      <c r="IJH2" s="180"/>
      <c r="IJI2" s="180"/>
      <c r="IJJ2" s="180"/>
      <c r="IJK2" s="180"/>
      <c r="IJL2" s="180"/>
      <c r="IJM2" s="180"/>
      <c r="IJN2" s="180"/>
      <c r="IJO2" s="180"/>
      <c r="IJP2" s="180"/>
      <c r="IJQ2" s="180"/>
      <c r="IJR2" s="180"/>
      <c r="IJS2" s="180"/>
      <c r="IJT2" s="180"/>
      <c r="IJU2" s="180"/>
      <c r="IJV2" s="180"/>
      <c r="IJW2" s="180"/>
      <c r="IJX2" s="180"/>
      <c r="IJY2" s="180"/>
      <c r="IJZ2" s="180"/>
      <c r="IKA2" s="180"/>
      <c r="IKB2" s="180"/>
      <c r="IKC2" s="180"/>
      <c r="IKD2" s="180"/>
      <c r="IKE2" s="180"/>
      <c r="IKF2" s="180"/>
      <c r="IKG2" s="180"/>
      <c r="IKH2" s="180"/>
      <c r="IKI2" s="180"/>
      <c r="IKJ2" s="180"/>
      <c r="IKK2" s="180"/>
      <c r="IKL2" s="180"/>
      <c r="IKM2" s="180"/>
      <c r="IKN2" s="180"/>
      <c r="IKO2" s="180"/>
      <c r="IKP2" s="180"/>
      <c r="IKQ2" s="180"/>
      <c r="IKR2" s="180"/>
      <c r="IKS2" s="180"/>
      <c r="IKT2" s="180"/>
      <c r="IKU2" s="180"/>
      <c r="IKV2" s="180"/>
      <c r="IKW2" s="180"/>
      <c r="IKX2" s="180"/>
      <c r="IKY2" s="180"/>
      <c r="IKZ2" s="180"/>
      <c r="ILA2" s="180"/>
      <c r="ILB2" s="180"/>
      <c r="ILC2" s="180"/>
      <c r="ILD2" s="180"/>
      <c r="ILE2" s="180"/>
      <c r="ILF2" s="180"/>
      <c r="ILG2" s="180"/>
      <c r="ILH2" s="180"/>
      <c r="ILI2" s="180"/>
      <c r="ILJ2" s="180"/>
      <c r="ILK2" s="180"/>
      <c r="ILL2" s="180"/>
      <c r="ILM2" s="180"/>
      <c r="ILN2" s="180"/>
      <c r="ILO2" s="180"/>
      <c r="ILP2" s="180"/>
      <c r="ILQ2" s="180"/>
      <c r="ILR2" s="180"/>
      <c r="ILS2" s="180"/>
      <c r="ILT2" s="180"/>
      <c r="ILU2" s="180"/>
      <c r="ILV2" s="180"/>
      <c r="ILW2" s="180"/>
      <c r="ILX2" s="180"/>
      <c r="ILY2" s="180"/>
      <c r="ILZ2" s="180"/>
      <c r="IMA2" s="180"/>
      <c r="IMB2" s="180"/>
      <c r="IMC2" s="180"/>
      <c r="IMD2" s="180"/>
      <c r="IME2" s="180"/>
      <c r="IMF2" s="180"/>
      <c r="IMG2" s="180"/>
      <c r="IMH2" s="180"/>
      <c r="IMI2" s="180"/>
      <c r="IMJ2" s="180"/>
      <c r="IMK2" s="180"/>
      <c r="IML2" s="180"/>
      <c r="IMM2" s="180"/>
      <c r="IMN2" s="180"/>
      <c r="IMO2" s="180"/>
      <c r="IMP2" s="180"/>
      <c r="IMQ2" s="180"/>
      <c r="IMR2" s="180"/>
      <c r="IMS2" s="180"/>
      <c r="IMT2" s="180"/>
      <c r="IMU2" s="180"/>
      <c r="IMV2" s="180"/>
      <c r="IMW2" s="180"/>
      <c r="IMX2" s="180"/>
      <c r="IMY2" s="180"/>
      <c r="IMZ2" s="180"/>
      <c r="INA2" s="180"/>
      <c r="INB2" s="180"/>
      <c r="INC2" s="180"/>
      <c r="IND2" s="180"/>
      <c r="INE2" s="180"/>
      <c r="INF2" s="180"/>
      <c r="ING2" s="180"/>
      <c r="INH2" s="180"/>
      <c r="INI2" s="180"/>
      <c r="INJ2" s="180"/>
      <c r="INK2" s="180"/>
      <c r="INL2" s="180"/>
      <c r="INM2" s="180"/>
      <c r="INN2" s="180"/>
      <c r="INO2" s="180"/>
      <c r="INP2" s="180"/>
      <c r="INQ2" s="180"/>
      <c r="INR2" s="180"/>
      <c r="INS2" s="180"/>
      <c r="INT2" s="180"/>
      <c r="INU2" s="180"/>
      <c r="INV2" s="180"/>
      <c r="INW2" s="180"/>
      <c r="INX2" s="180"/>
      <c r="INY2" s="180"/>
      <c r="INZ2" s="180"/>
      <c r="IOA2" s="180"/>
      <c r="IOB2" s="180"/>
      <c r="IOC2" s="180"/>
      <c r="IOD2" s="180"/>
      <c r="IOE2" s="180"/>
      <c r="IOF2" s="180"/>
      <c r="IOG2" s="180"/>
      <c r="IOH2" s="180"/>
      <c r="IOI2" s="180"/>
      <c r="IOJ2" s="180"/>
      <c r="IOK2" s="180"/>
      <c r="IOL2" s="180"/>
      <c r="IOM2" s="180"/>
      <c r="ION2" s="180"/>
      <c r="IOO2" s="180"/>
      <c r="IOP2" s="180"/>
      <c r="IOQ2" s="180"/>
      <c r="IOR2" s="180"/>
      <c r="IOS2" s="180"/>
      <c r="IOT2" s="180"/>
      <c r="IOU2" s="180"/>
      <c r="IOV2" s="180"/>
      <c r="IOW2" s="180"/>
      <c r="IOX2" s="180"/>
      <c r="IOY2" s="180"/>
      <c r="IOZ2" s="180"/>
      <c r="IPA2" s="180"/>
      <c r="IPB2" s="180"/>
      <c r="IPC2" s="180"/>
      <c r="IPD2" s="180"/>
      <c r="IPE2" s="180"/>
      <c r="IPF2" s="180"/>
      <c r="IPG2" s="180"/>
      <c r="IPH2" s="180"/>
      <c r="IPI2" s="180"/>
      <c r="IPJ2" s="180"/>
      <c r="IPK2" s="180"/>
      <c r="IPL2" s="180"/>
      <c r="IPM2" s="180"/>
      <c r="IPN2" s="180"/>
      <c r="IPO2" s="180"/>
      <c r="IPP2" s="180"/>
      <c r="IPQ2" s="180"/>
      <c r="IPR2" s="180"/>
      <c r="IPS2" s="180"/>
      <c r="IPT2" s="180"/>
      <c r="IPU2" s="180"/>
      <c r="IPV2" s="180"/>
      <c r="IPW2" s="180"/>
      <c r="IPX2" s="180"/>
      <c r="IPY2" s="180"/>
      <c r="IPZ2" s="180"/>
      <c r="IQA2" s="180"/>
      <c r="IQB2" s="180"/>
      <c r="IQC2" s="180"/>
      <c r="IQD2" s="180"/>
      <c r="IQE2" s="180"/>
      <c r="IQF2" s="180"/>
      <c r="IQG2" s="180"/>
      <c r="IQH2" s="180"/>
      <c r="IQI2" s="180"/>
      <c r="IQJ2" s="180"/>
      <c r="IQK2" s="180"/>
      <c r="IQL2" s="180"/>
      <c r="IQM2" s="180"/>
      <c r="IQN2" s="180"/>
      <c r="IQO2" s="180"/>
      <c r="IQP2" s="180"/>
      <c r="IQQ2" s="180"/>
      <c r="IQR2" s="180"/>
      <c r="IQS2" s="180"/>
      <c r="IQT2" s="180"/>
      <c r="IQU2" s="180"/>
      <c r="IQV2" s="180"/>
      <c r="IQW2" s="180"/>
      <c r="IQX2" s="180"/>
      <c r="IQY2" s="180"/>
      <c r="IQZ2" s="180"/>
      <c r="IRA2" s="180"/>
      <c r="IRB2" s="180"/>
      <c r="IRC2" s="180"/>
      <c r="IRD2" s="180"/>
      <c r="IRE2" s="180"/>
      <c r="IRF2" s="180"/>
      <c r="IRG2" s="180"/>
      <c r="IRH2" s="180"/>
      <c r="IRI2" s="180"/>
      <c r="IRJ2" s="180"/>
      <c r="IRK2" s="180"/>
      <c r="IRL2" s="180"/>
      <c r="IRM2" s="180"/>
      <c r="IRN2" s="180"/>
      <c r="IRO2" s="180"/>
      <c r="IRP2" s="180"/>
      <c r="IRQ2" s="180"/>
      <c r="IRR2" s="180"/>
      <c r="IRS2" s="180"/>
      <c r="IRT2" s="180"/>
      <c r="IRU2" s="180"/>
      <c r="IRV2" s="180"/>
      <c r="IRW2" s="180"/>
      <c r="IRX2" s="180"/>
      <c r="IRY2" s="180"/>
      <c r="IRZ2" s="180"/>
      <c r="ISA2" s="180"/>
      <c r="ISB2" s="180"/>
      <c r="ISC2" s="180"/>
      <c r="ISD2" s="180"/>
      <c r="ISE2" s="180"/>
      <c r="ISF2" s="180"/>
      <c r="ISG2" s="180"/>
      <c r="ISH2" s="180"/>
      <c r="ISI2" s="180"/>
      <c r="ISJ2" s="180"/>
      <c r="ISK2" s="180"/>
      <c r="ISL2" s="180"/>
      <c r="ISM2" s="180"/>
      <c r="ISN2" s="180"/>
      <c r="ISO2" s="180"/>
      <c r="ISP2" s="180"/>
      <c r="ISQ2" s="180"/>
      <c r="ISR2" s="180"/>
      <c r="ISS2" s="180"/>
      <c r="IST2" s="180"/>
      <c r="ISU2" s="180"/>
      <c r="ISV2" s="180"/>
      <c r="ISW2" s="180"/>
      <c r="ISX2" s="180"/>
      <c r="ISY2" s="180"/>
      <c r="ISZ2" s="180"/>
      <c r="ITA2" s="180"/>
      <c r="ITB2" s="180"/>
      <c r="ITC2" s="180"/>
      <c r="ITD2" s="180"/>
      <c r="ITE2" s="180"/>
      <c r="ITF2" s="180"/>
      <c r="ITG2" s="180"/>
      <c r="ITH2" s="180"/>
      <c r="ITI2" s="180"/>
      <c r="ITJ2" s="180"/>
      <c r="ITK2" s="180"/>
      <c r="ITL2" s="180"/>
      <c r="ITM2" s="180"/>
      <c r="ITN2" s="180"/>
      <c r="ITO2" s="180"/>
      <c r="ITP2" s="180"/>
      <c r="ITQ2" s="180"/>
      <c r="ITR2" s="180"/>
      <c r="ITS2" s="180"/>
      <c r="ITT2" s="180"/>
      <c r="ITU2" s="180"/>
      <c r="ITV2" s="180"/>
      <c r="ITW2" s="180"/>
      <c r="ITX2" s="180"/>
      <c r="ITY2" s="180"/>
      <c r="ITZ2" s="180"/>
      <c r="IUA2" s="180"/>
      <c r="IUB2" s="180"/>
      <c r="IUC2" s="180"/>
      <c r="IUD2" s="180"/>
      <c r="IUE2" s="180"/>
      <c r="IUF2" s="180"/>
      <c r="IUG2" s="180"/>
      <c r="IUH2" s="180"/>
      <c r="IUI2" s="180"/>
      <c r="IUJ2" s="180"/>
      <c r="IUK2" s="180"/>
      <c r="IUL2" s="180"/>
      <c r="IUM2" s="180"/>
      <c r="IUN2" s="180"/>
      <c r="IUO2" s="180"/>
      <c r="IUP2" s="180"/>
      <c r="IUQ2" s="180"/>
      <c r="IUR2" s="180"/>
      <c r="IUS2" s="180"/>
      <c r="IUT2" s="180"/>
      <c r="IUU2" s="180"/>
      <c r="IUV2" s="180"/>
      <c r="IUW2" s="180"/>
      <c r="IUX2" s="180"/>
      <c r="IUY2" s="180"/>
      <c r="IUZ2" s="180"/>
      <c r="IVA2" s="180"/>
      <c r="IVB2" s="180"/>
      <c r="IVC2" s="180"/>
      <c r="IVD2" s="180"/>
      <c r="IVE2" s="180"/>
      <c r="IVF2" s="180"/>
      <c r="IVG2" s="180"/>
      <c r="IVH2" s="180"/>
      <c r="IVI2" s="180"/>
      <c r="IVJ2" s="180"/>
      <c r="IVK2" s="180"/>
      <c r="IVL2" s="180"/>
      <c r="IVM2" s="180"/>
      <c r="IVN2" s="180"/>
      <c r="IVO2" s="180"/>
      <c r="IVP2" s="180"/>
      <c r="IVQ2" s="180"/>
      <c r="IVR2" s="180"/>
      <c r="IVS2" s="180"/>
      <c r="IVT2" s="180"/>
      <c r="IVU2" s="180"/>
      <c r="IVV2" s="180"/>
      <c r="IVW2" s="180"/>
      <c r="IVX2" s="180"/>
      <c r="IVY2" s="180"/>
      <c r="IVZ2" s="180"/>
      <c r="IWA2" s="180"/>
      <c r="IWB2" s="180"/>
      <c r="IWC2" s="180"/>
      <c r="IWD2" s="180"/>
      <c r="IWE2" s="180"/>
      <c r="IWF2" s="180"/>
      <c r="IWG2" s="180"/>
      <c r="IWH2" s="180"/>
      <c r="IWI2" s="180"/>
      <c r="IWJ2" s="180"/>
      <c r="IWK2" s="180"/>
      <c r="IWL2" s="180"/>
      <c r="IWM2" s="180"/>
      <c r="IWN2" s="180"/>
      <c r="IWO2" s="180"/>
      <c r="IWP2" s="180"/>
      <c r="IWQ2" s="180"/>
      <c r="IWR2" s="180"/>
      <c r="IWS2" s="180"/>
      <c r="IWT2" s="180"/>
      <c r="IWU2" s="180"/>
      <c r="IWV2" s="180"/>
      <c r="IWW2" s="180"/>
      <c r="IWX2" s="180"/>
      <c r="IWY2" s="180"/>
      <c r="IWZ2" s="180"/>
      <c r="IXA2" s="180"/>
      <c r="IXB2" s="180"/>
      <c r="IXC2" s="180"/>
      <c r="IXD2" s="180"/>
      <c r="IXE2" s="180"/>
      <c r="IXF2" s="180"/>
      <c r="IXG2" s="180"/>
      <c r="IXH2" s="180"/>
      <c r="IXI2" s="180"/>
      <c r="IXJ2" s="180"/>
      <c r="IXK2" s="180"/>
      <c r="IXL2" s="180"/>
      <c r="IXM2" s="180"/>
      <c r="IXN2" s="180"/>
      <c r="IXO2" s="180"/>
      <c r="IXP2" s="180"/>
      <c r="IXQ2" s="180"/>
      <c r="IXR2" s="180"/>
      <c r="IXS2" s="180"/>
      <c r="IXT2" s="180"/>
      <c r="IXU2" s="180"/>
      <c r="IXV2" s="180"/>
      <c r="IXW2" s="180"/>
      <c r="IXX2" s="180"/>
      <c r="IXY2" s="180"/>
      <c r="IXZ2" s="180"/>
      <c r="IYA2" s="180"/>
      <c r="IYB2" s="180"/>
      <c r="IYC2" s="180"/>
      <c r="IYD2" s="180"/>
      <c r="IYE2" s="180"/>
      <c r="IYF2" s="180"/>
      <c r="IYG2" s="180"/>
      <c r="IYH2" s="180"/>
      <c r="IYI2" s="180"/>
      <c r="IYJ2" s="180"/>
      <c r="IYK2" s="180"/>
      <c r="IYL2" s="180"/>
      <c r="IYM2" s="180"/>
      <c r="IYN2" s="180"/>
      <c r="IYO2" s="180"/>
      <c r="IYP2" s="180"/>
      <c r="IYQ2" s="180"/>
      <c r="IYR2" s="180"/>
      <c r="IYS2" s="180"/>
      <c r="IYT2" s="180"/>
      <c r="IYU2" s="180"/>
      <c r="IYV2" s="180"/>
      <c r="IYW2" s="180"/>
      <c r="IYX2" s="180"/>
      <c r="IYY2" s="180"/>
      <c r="IYZ2" s="180"/>
      <c r="IZA2" s="180"/>
      <c r="IZB2" s="180"/>
      <c r="IZC2" s="180"/>
      <c r="IZD2" s="180"/>
      <c r="IZE2" s="180"/>
      <c r="IZF2" s="180"/>
      <c r="IZG2" s="180"/>
      <c r="IZH2" s="180"/>
      <c r="IZI2" s="180"/>
      <c r="IZJ2" s="180"/>
      <c r="IZK2" s="180"/>
      <c r="IZL2" s="180"/>
      <c r="IZM2" s="180"/>
      <c r="IZN2" s="180"/>
      <c r="IZO2" s="180"/>
      <c r="IZP2" s="180"/>
      <c r="IZQ2" s="180"/>
      <c r="IZR2" s="180"/>
      <c r="IZS2" s="180"/>
      <c r="IZT2" s="180"/>
      <c r="IZU2" s="180"/>
      <c r="IZV2" s="180"/>
      <c r="IZW2" s="180"/>
      <c r="IZX2" s="180"/>
      <c r="IZY2" s="180"/>
      <c r="IZZ2" s="180"/>
      <c r="JAA2" s="180"/>
      <c r="JAB2" s="180"/>
      <c r="JAC2" s="180"/>
      <c r="JAD2" s="180"/>
      <c r="JAE2" s="180"/>
      <c r="JAF2" s="180"/>
      <c r="JAG2" s="180"/>
      <c r="JAH2" s="180"/>
      <c r="JAI2" s="180"/>
      <c r="JAJ2" s="180"/>
      <c r="JAK2" s="180"/>
      <c r="JAL2" s="180"/>
      <c r="JAM2" s="180"/>
      <c r="JAN2" s="180"/>
      <c r="JAO2" s="180"/>
      <c r="JAP2" s="180"/>
      <c r="JAQ2" s="180"/>
      <c r="JAR2" s="180"/>
      <c r="JAS2" s="180"/>
      <c r="JAT2" s="180"/>
      <c r="JAU2" s="180"/>
      <c r="JAV2" s="180"/>
      <c r="JAW2" s="180"/>
      <c r="JAX2" s="180"/>
      <c r="JAY2" s="180"/>
      <c r="JAZ2" s="180"/>
      <c r="JBA2" s="180"/>
      <c r="JBB2" s="180"/>
      <c r="JBC2" s="180"/>
      <c r="JBD2" s="180"/>
      <c r="JBE2" s="180"/>
      <c r="JBF2" s="180"/>
      <c r="JBG2" s="180"/>
      <c r="JBH2" s="180"/>
      <c r="JBI2" s="180"/>
      <c r="JBJ2" s="180"/>
      <c r="JBK2" s="180"/>
      <c r="JBL2" s="180"/>
      <c r="JBM2" s="180"/>
      <c r="JBN2" s="180"/>
      <c r="JBO2" s="180"/>
      <c r="JBP2" s="180"/>
      <c r="JBQ2" s="180"/>
      <c r="JBR2" s="180"/>
      <c r="JBS2" s="180"/>
      <c r="JBT2" s="180"/>
      <c r="JBU2" s="180"/>
      <c r="JBV2" s="180"/>
      <c r="JBW2" s="180"/>
      <c r="JBX2" s="180"/>
      <c r="JBY2" s="180"/>
      <c r="JBZ2" s="180"/>
      <c r="JCA2" s="180"/>
      <c r="JCB2" s="180"/>
      <c r="JCC2" s="180"/>
      <c r="JCD2" s="180"/>
      <c r="JCE2" s="180"/>
      <c r="JCF2" s="180"/>
      <c r="JCG2" s="180"/>
      <c r="JCH2" s="180"/>
      <c r="JCI2" s="180"/>
      <c r="JCJ2" s="180"/>
      <c r="JCK2" s="180"/>
      <c r="JCL2" s="180"/>
      <c r="JCM2" s="180"/>
      <c r="JCN2" s="180"/>
      <c r="JCO2" s="180"/>
      <c r="JCP2" s="180"/>
      <c r="JCQ2" s="180"/>
      <c r="JCR2" s="180"/>
      <c r="JCS2" s="180"/>
      <c r="JCT2" s="180"/>
      <c r="JCU2" s="180"/>
      <c r="JCV2" s="180"/>
      <c r="JCW2" s="180"/>
      <c r="JCX2" s="180"/>
      <c r="JCY2" s="180"/>
      <c r="JCZ2" s="180"/>
      <c r="JDA2" s="180"/>
      <c r="JDB2" s="180"/>
      <c r="JDC2" s="180"/>
      <c r="JDD2" s="180"/>
      <c r="JDE2" s="180"/>
      <c r="JDF2" s="180"/>
      <c r="JDG2" s="180"/>
      <c r="JDH2" s="180"/>
      <c r="JDI2" s="180"/>
      <c r="JDJ2" s="180"/>
      <c r="JDK2" s="180"/>
      <c r="JDL2" s="180"/>
      <c r="JDM2" s="180"/>
      <c r="JDN2" s="180"/>
      <c r="JDO2" s="180"/>
      <c r="JDP2" s="180"/>
      <c r="JDQ2" s="180"/>
      <c r="JDR2" s="180"/>
      <c r="JDS2" s="180"/>
      <c r="JDT2" s="180"/>
      <c r="JDU2" s="180"/>
      <c r="JDV2" s="180"/>
      <c r="JDW2" s="180"/>
      <c r="JDX2" s="180"/>
      <c r="JDY2" s="180"/>
      <c r="JDZ2" s="180"/>
      <c r="JEA2" s="180"/>
      <c r="JEB2" s="180"/>
      <c r="JEC2" s="180"/>
      <c r="JED2" s="180"/>
      <c r="JEE2" s="180"/>
      <c r="JEF2" s="180"/>
      <c r="JEG2" s="180"/>
      <c r="JEH2" s="180"/>
      <c r="JEI2" s="180"/>
      <c r="JEJ2" s="180"/>
      <c r="JEK2" s="180"/>
      <c r="JEL2" s="180"/>
      <c r="JEM2" s="180"/>
      <c r="JEN2" s="180"/>
      <c r="JEO2" s="180"/>
      <c r="JEP2" s="180"/>
      <c r="JEQ2" s="180"/>
      <c r="JER2" s="180"/>
      <c r="JES2" s="180"/>
      <c r="JET2" s="180"/>
      <c r="JEU2" s="180"/>
      <c r="JEV2" s="180"/>
      <c r="JEW2" s="180"/>
      <c r="JEX2" s="180"/>
      <c r="JEY2" s="180"/>
      <c r="JEZ2" s="180"/>
      <c r="JFA2" s="180"/>
      <c r="JFB2" s="180"/>
      <c r="JFC2" s="180"/>
      <c r="JFD2" s="180"/>
      <c r="JFE2" s="180"/>
      <c r="JFF2" s="180"/>
      <c r="JFG2" s="180"/>
      <c r="JFH2" s="180"/>
      <c r="JFI2" s="180"/>
      <c r="JFJ2" s="180"/>
      <c r="JFK2" s="180"/>
      <c r="JFL2" s="180"/>
      <c r="JFM2" s="180"/>
      <c r="JFN2" s="180"/>
      <c r="JFO2" s="180"/>
      <c r="JFP2" s="180"/>
      <c r="JFQ2" s="180"/>
      <c r="JFR2" s="180"/>
      <c r="JFS2" s="180"/>
      <c r="JFT2" s="180"/>
      <c r="JFU2" s="180"/>
      <c r="JFV2" s="180"/>
      <c r="JFW2" s="180"/>
      <c r="JFX2" s="180"/>
      <c r="JFY2" s="180"/>
      <c r="JFZ2" s="180"/>
      <c r="JGA2" s="180"/>
      <c r="JGB2" s="180"/>
      <c r="JGC2" s="180"/>
      <c r="JGD2" s="180"/>
      <c r="JGE2" s="180"/>
      <c r="JGF2" s="180"/>
      <c r="JGG2" s="180"/>
      <c r="JGH2" s="180"/>
      <c r="JGI2" s="180"/>
      <c r="JGJ2" s="180"/>
      <c r="JGK2" s="180"/>
      <c r="JGL2" s="180"/>
      <c r="JGM2" s="180"/>
      <c r="JGN2" s="180"/>
      <c r="JGO2" s="180"/>
      <c r="JGP2" s="180"/>
      <c r="JGQ2" s="180"/>
      <c r="JGR2" s="180"/>
      <c r="JGS2" s="180"/>
      <c r="JGT2" s="180"/>
      <c r="JGU2" s="180"/>
      <c r="JGV2" s="180"/>
      <c r="JGW2" s="180"/>
      <c r="JGX2" s="180"/>
      <c r="JGY2" s="180"/>
      <c r="JGZ2" s="180"/>
      <c r="JHA2" s="180"/>
      <c r="JHB2" s="180"/>
      <c r="JHC2" s="180"/>
      <c r="JHD2" s="180"/>
      <c r="JHE2" s="180"/>
      <c r="JHF2" s="180"/>
      <c r="JHG2" s="180"/>
      <c r="JHH2" s="180"/>
      <c r="JHI2" s="180"/>
      <c r="JHJ2" s="180"/>
      <c r="JHK2" s="180"/>
      <c r="JHL2" s="180"/>
      <c r="JHM2" s="180"/>
      <c r="JHN2" s="180"/>
      <c r="JHO2" s="180"/>
      <c r="JHP2" s="180"/>
      <c r="JHQ2" s="180"/>
      <c r="JHR2" s="180"/>
      <c r="JHS2" s="180"/>
      <c r="JHT2" s="180"/>
      <c r="JHU2" s="180"/>
      <c r="JHV2" s="180"/>
      <c r="JHW2" s="180"/>
      <c r="JHX2" s="180"/>
      <c r="JHY2" s="180"/>
      <c r="JHZ2" s="180"/>
      <c r="JIA2" s="180"/>
      <c r="JIB2" s="180"/>
      <c r="JIC2" s="180"/>
      <c r="JID2" s="180"/>
      <c r="JIE2" s="180"/>
      <c r="JIF2" s="180"/>
      <c r="JIG2" s="180"/>
      <c r="JIH2" s="180"/>
      <c r="JII2" s="180"/>
      <c r="JIJ2" s="180"/>
      <c r="JIK2" s="180"/>
      <c r="JIL2" s="180"/>
      <c r="JIM2" s="180"/>
      <c r="JIN2" s="180"/>
      <c r="JIO2" s="180"/>
      <c r="JIP2" s="180"/>
      <c r="JIQ2" s="180"/>
      <c r="JIR2" s="180"/>
      <c r="JIS2" s="180"/>
      <c r="JIT2" s="180"/>
      <c r="JIU2" s="180"/>
      <c r="JIV2" s="180"/>
      <c r="JIW2" s="180"/>
      <c r="JIX2" s="180"/>
      <c r="JIY2" s="180"/>
      <c r="JIZ2" s="180"/>
      <c r="JJA2" s="180"/>
      <c r="JJB2" s="180"/>
      <c r="JJC2" s="180"/>
      <c r="JJD2" s="180"/>
      <c r="JJE2" s="180"/>
      <c r="JJF2" s="180"/>
      <c r="JJG2" s="180"/>
      <c r="JJH2" s="180"/>
      <c r="JJI2" s="180"/>
      <c r="JJJ2" s="180"/>
      <c r="JJK2" s="180"/>
      <c r="JJL2" s="180"/>
      <c r="JJM2" s="180"/>
      <c r="JJN2" s="180"/>
      <c r="JJO2" s="180"/>
      <c r="JJP2" s="180"/>
      <c r="JJQ2" s="180"/>
      <c r="JJR2" s="180"/>
      <c r="JJS2" s="180"/>
      <c r="JJT2" s="180"/>
      <c r="JJU2" s="180"/>
      <c r="JJV2" s="180"/>
      <c r="JJW2" s="180"/>
      <c r="JJX2" s="180"/>
      <c r="JJY2" s="180"/>
      <c r="JJZ2" s="180"/>
      <c r="JKA2" s="180"/>
      <c r="JKB2" s="180"/>
      <c r="JKC2" s="180"/>
      <c r="JKD2" s="180"/>
      <c r="JKE2" s="180"/>
      <c r="JKF2" s="180"/>
      <c r="JKG2" s="180"/>
      <c r="JKH2" s="180"/>
      <c r="JKI2" s="180"/>
      <c r="JKJ2" s="180"/>
      <c r="JKK2" s="180"/>
      <c r="JKL2" s="180"/>
      <c r="JKM2" s="180"/>
      <c r="JKN2" s="180"/>
      <c r="JKO2" s="180"/>
      <c r="JKP2" s="180"/>
      <c r="JKQ2" s="180"/>
      <c r="JKR2" s="180"/>
      <c r="JKS2" s="180"/>
      <c r="JKT2" s="180"/>
      <c r="JKU2" s="180"/>
      <c r="JKV2" s="180"/>
      <c r="JKW2" s="180"/>
      <c r="JKX2" s="180"/>
      <c r="JKY2" s="180"/>
      <c r="JKZ2" s="180"/>
      <c r="JLA2" s="180"/>
      <c r="JLB2" s="180"/>
      <c r="JLC2" s="180"/>
      <c r="JLD2" s="180"/>
      <c r="JLE2" s="180"/>
      <c r="JLF2" s="180"/>
      <c r="JLG2" s="180"/>
      <c r="JLH2" s="180"/>
      <c r="JLI2" s="180"/>
      <c r="JLJ2" s="180"/>
      <c r="JLK2" s="180"/>
      <c r="JLL2" s="180"/>
      <c r="JLM2" s="180"/>
      <c r="JLN2" s="180"/>
      <c r="JLO2" s="180"/>
      <c r="JLP2" s="180"/>
      <c r="JLQ2" s="180"/>
      <c r="JLR2" s="180"/>
      <c r="JLS2" s="180"/>
      <c r="JLT2" s="180"/>
      <c r="JLU2" s="180"/>
      <c r="JLV2" s="180"/>
      <c r="JLW2" s="180"/>
      <c r="JLX2" s="180"/>
      <c r="JLY2" s="180"/>
      <c r="JLZ2" s="180"/>
      <c r="JMA2" s="180"/>
      <c r="JMB2" s="180"/>
      <c r="JMC2" s="180"/>
      <c r="JMD2" s="180"/>
      <c r="JME2" s="180"/>
      <c r="JMF2" s="180"/>
      <c r="JMG2" s="180"/>
      <c r="JMH2" s="180"/>
      <c r="JMI2" s="180"/>
      <c r="JMJ2" s="180"/>
      <c r="JMK2" s="180"/>
      <c r="JML2" s="180"/>
      <c r="JMM2" s="180"/>
      <c r="JMN2" s="180"/>
      <c r="JMO2" s="180"/>
      <c r="JMP2" s="180"/>
      <c r="JMQ2" s="180"/>
      <c r="JMR2" s="180"/>
      <c r="JMS2" s="180"/>
      <c r="JMT2" s="180"/>
      <c r="JMU2" s="180"/>
      <c r="JMV2" s="180"/>
      <c r="JMW2" s="180"/>
      <c r="JMX2" s="180"/>
      <c r="JMY2" s="180"/>
      <c r="JMZ2" s="180"/>
      <c r="JNA2" s="180"/>
      <c r="JNB2" s="180"/>
      <c r="JNC2" s="180"/>
      <c r="JND2" s="180"/>
      <c r="JNE2" s="180"/>
      <c r="JNF2" s="180"/>
      <c r="JNG2" s="180"/>
      <c r="JNH2" s="180"/>
      <c r="JNI2" s="180"/>
      <c r="JNJ2" s="180"/>
      <c r="JNK2" s="180"/>
      <c r="JNL2" s="180"/>
      <c r="JNM2" s="180"/>
      <c r="JNN2" s="180"/>
      <c r="JNO2" s="180"/>
      <c r="JNP2" s="180"/>
      <c r="JNQ2" s="180"/>
      <c r="JNR2" s="180"/>
      <c r="JNS2" s="180"/>
      <c r="JNT2" s="180"/>
      <c r="JNU2" s="180"/>
      <c r="JNV2" s="180"/>
      <c r="JNW2" s="180"/>
      <c r="JNX2" s="180"/>
      <c r="JNY2" s="180"/>
      <c r="JNZ2" s="180"/>
      <c r="JOA2" s="180"/>
      <c r="JOB2" s="180"/>
      <c r="JOC2" s="180"/>
      <c r="JOD2" s="180"/>
      <c r="JOE2" s="180"/>
      <c r="JOF2" s="180"/>
      <c r="JOG2" s="180"/>
      <c r="JOH2" s="180"/>
      <c r="JOI2" s="180"/>
      <c r="JOJ2" s="180"/>
      <c r="JOK2" s="180"/>
      <c r="JOL2" s="180"/>
      <c r="JOM2" s="180"/>
      <c r="JON2" s="180"/>
      <c r="JOO2" s="180"/>
      <c r="JOP2" s="180"/>
      <c r="JOQ2" s="180"/>
      <c r="JOR2" s="180"/>
      <c r="JOS2" s="180"/>
      <c r="JOT2" s="180"/>
      <c r="JOU2" s="180"/>
      <c r="JOV2" s="180"/>
      <c r="JOW2" s="180"/>
      <c r="JOX2" s="180"/>
      <c r="JOY2" s="180"/>
      <c r="JOZ2" s="180"/>
      <c r="JPA2" s="180"/>
      <c r="JPB2" s="180"/>
      <c r="JPC2" s="180"/>
      <c r="JPD2" s="180"/>
      <c r="JPE2" s="180"/>
      <c r="JPF2" s="180"/>
      <c r="JPG2" s="180"/>
      <c r="JPH2" s="180"/>
      <c r="JPI2" s="180"/>
      <c r="JPJ2" s="180"/>
      <c r="JPK2" s="180"/>
      <c r="JPL2" s="180"/>
      <c r="JPM2" s="180"/>
      <c r="JPN2" s="180"/>
      <c r="JPO2" s="180"/>
      <c r="JPP2" s="180"/>
      <c r="JPQ2" s="180"/>
      <c r="JPR2" s="180"/>
      <c r="JPS2" s="180"/>
      <c r="JPT2" s="180"/>
      <c r="JPU2" s="180"/>
      <c r="JPV2" s="180"/>
      <c r="JPW2" s="180"/>
      <c r="JPX2" s="180"/>
      <c r="JPY2" s="180"/>
      <c r="JPZ2" s="180"/>
      <c r="JQA2" s="180"/>
      <c r="JQB2" s="180"/>
      <c r="JQC2" s="180"/>
      <c r="JQD2" s="180"/>
      <c r="JQE2" s="180"/>
      <c r="JQF2" s="180"/>
      <c r="JQG2" s="180"/>
      <c r="JQH2" s="180"/>
      <c r="JQI2" s="180"/>
      <c r="JQJ2" s="180"/>
      <c r="JQK2" s="180"/>
      <c r="JQL2" s="180"/>
      <c r="JQM2" s="180"/>
      <c r="JQN2" s="180"/>
      <c r="JQO2" s="180"/>
      <c r="JQP2" s="180"/>
      <c r="JQQ2" s="180"/>
      <c r="JQR2" s="180"/>
      <c r="JQS2" s="180"/>
      <c r="JQT2" s="180"/>
      <c r="JQU2" s="180"/>
      <c r="JQV2" s="180"/>
      <c r="JQW2" s="180"/>
      <c r="JQX2" s="180"/>
      <c r="JQY2" s="180"/>
      <c r="JQZ2" s="180"/>
      <c r="JRA2" s="180"/>
      <c r="JRB2" s="180"/>
      <c r="JRC2" s="180"/>
      <c r="JRD2" s="180"/>
      <c r="JRE2" s="180"/>
      <c r="JRF2" s="180"/>
      <c r="JRG2" s="180"/>
      <c r="JRH2" s="180"/>
      <c r="JRI2" s="180"/>
      <c r="JRJ2" s="180"/>
      <c r="JRK2" s="180"/>
      <c r="JRL2" s="180"/>
      <c r="JRM2" s="180"/>
      <c r="JRN2" s="180"/>
      <c r="JRO2" s="180"/>
      <c r="JRP2" s="180"/>
      <c r="JRQ2" s="180"/>
      <c r="JRR2" s="180"/>
      <c r="JRS2" s="180"/>
      <c r="JRT2" s="180"/>
      <c r="JRU2" s="180"/>
      <c r="JRV2" s="180"/>
      <c r="JRW2" s="180"/>
      <c r="JRX2" s="180"/>
      <c r="JRY2" s="180"/>
      <c r="JRZ2" s="180"/>
      <c r="JSA2" s="180"/>
      <c r="JSB2" s="180"/>
      <c r="JSC2" s="180"/>
      <c r="JSD2" s="180"/>
      <c r="JSE2" s="180"/>
      <c r="JSF2" s="180"/>
      <c r="JSG2" s="180"/>
      <c r="JSH2" s="180"/>
      <c r="JSI2" s="180"/>
      <c r="JSJ2" s="180"/>
      <c r="JSK2" s="180"/>
      <c r="JSL2" s="180"/>
      <c r="JSM2" s="180"/>
      <c r="JSN2" s="180"/>
      <c r="JSO2" s="180"/>
      <c r="JSP2" s="180"/>
      <c r="JSQ2" s="180"/>
      <c r="JSR2" s="180"/>
      <c r="JSS2" s="180"/>
      <c r="JST2" s="180"/>
      <c r="JSU2" s="180"/>
      <c r="JSV2" s="180"/>
      <c r="JSW2" s="180"/>
      <c r="JSX2" s="180"/>
      <c r="JSY2" s="180"/>
      <c r="JSZ2" s="180"/>
      <c r="JTA2" s="180"/>
      <c r="JTB2" s="180"/>
      <c r="JTC2" s="180"/>
      <c r="JTD2" s="180"/>
      <c r="JTE2" s="180"/>
      <c r="JTF2" s="180"/>
      <c r="JTG2" s="180"/>
      <c r="JTH2" s="180"/>
      <c r="JTI2" s="180"/>
      <c r="JTJ2" s="180"/>
      <c r="JTK2" s="180"/>
      <c r="JTL2" s="180"/>
      <c r="JTM2" s="180"/>
      <c r="JTN2" s="180"/>
      <c r="JTO2" s="180"/>
      <c r="JTP2" s="180"/>
      <c r="JTQ2" s="180"/>
      <c r="JTR2" s="180"/>
      <c r="JTS2" s="180"/>
      <c r="JTT2" s="180"/>
      <c r="JTU2" s="180"/>
      <c r="JTV2" s="180"/>
      <c r="JTW2" s="180"/>
      <c r="JTX2" s="180"/>
      <c r="JTY2" s="180"/>
      <c r="JTZ2" s="180"/>
      <c r="JUA2" s="180"/>
      <c r="JUB2" s="180"/>
      <c r="JUC2" s="180"/>
      <c r="JUD2" s="180"/>
      <c r="JUE2" s="180"/>
      <c r="JUF2" s="180"/>
      <c r="JUG2" s="180"/>
      <c r="JUH2" s="180"/>
      <c r="JUI2" s="180"/>
      <c r="JUJ2" s="180"/>
      <c r="JUK2" s="180"/>
      <c r="JUL2" s="180"/>
      <c r="JUM2" s="180"/>
      <c r="JUN2" s="180"/>
      <c r="JUO2" s="180"/>
      <c r="JUP2" s="180"/>
      <c r="JUQ2" s="180"/>
      <c r="JUR2" s="180"/>
      <c r="JUS2" s="180"/>
      <c r="JUT2" s="180"/>
      <c r="JUU2" s="180"/>
      <c r="JUV2" s="180"/>
      <c r="JUW2" s="180"/>
      <c r="JUX2" s="180"/>
      <c r="JUY2" s="180"/>
      <c r="JUZ2" s="180"/>
      <c r="JVA2" s="180"/>
      <c r="JVB2" s="180"/>
      <c r="JVC2" s="180"/>
      <c r="JVD2" s="180"/>
      <c r="JVE2" s="180"/>
      <c r="JVF2" s="180"/>
      <c r="JVG2" s="180"/>
      <c r="JVH2" s="180"/>
      <c r="JVI2" s="180"/>
      <c r="JVJ2" s="180"/>
      <c r="JVK2" s="180"/>
      <c r="JVL2" s="180"/>
      <c r="JVM2" s="180"/>
      <c r="JVN2" s="180"/>
      <c r="JVO2" s="180"/>
      <c r="JVP2" s="180"/>
      <c r="JVQ2" s="180"/>
      <c r="JVR2" s="180"/>
      <c r="JVS2" s="180"/>
      <c r="JVT2" s="180"/>
      <c r="JVU2" s="180"/>
      <c r="JVV2" s="180"/>
      <c r="JVW2" s="180"/>
      <c r="JVX2" s="180"/>
      <c r="JVY2" s="180"/>
      <c r="JVZ2" s="180"/>
      <c r="JWA2" s="180"/>
      <c r="JWB2" s="180"/>
      <c r="JWC2" s="180"/>
      <c r="JWD2" s="180"/>
      <c r="JWE2" s="180"/>
      <c r="JWF2" s="180"/>
      <c r="JWG2" s="180"/>
      <c r="JWH2" s="180"/>
      <c r="JWI2" s="180"/>
      <c r="JWJ2" s="180"/>
      <c r="JWK2" s="180"/>
      <c r="JWL2" s="180"/>
      <c r="JWM2" s="180"/>
      <c r="JWN2" s="180"/>
      <c r="JWO2" s="180"/>
      <c r="JWP2" s="180"/>
      <c r="JWQ2" s="180"/>
      <c r="JWR2" s="180"/>
      <c r="JWS2" s="180"/>
      <c r="JWT2" s="180"/>
      <c r="JWU2" s="180"/>
      <c r="JWV2" s="180"/>
      <c r="JWW2" s="180"/>
      <c r="JWX2" s="180"/>
      <c r="JWY2" s="180"/>
      <c r="JWZ2" s="180"/>
      <c r="JXA2" s="180"/>
      <c r="JXB2" s="180"/>
      <c r="JXC2" s="180"/>
      <c r="JXD2" s="180"/>
      <c r="JXE2" s="180"/>
      <c r="JXF2" s="180"/>
      <c r="JXG2" s="180"/>
      <c r="JXH2" s="180"/>
      <c r="JXI2" s="180"/>
      <c r="JXJ2" s="180"/>
      <c r="JXK2" s="180"/>
      <c r="JXL2" s="180"/>
      <c r="JXM2" s="180"/>
      <c r="JXN2" s="180"/>
      <c r="JXO2" s="180"/>
      <c r="JXP2" s="180"/>
      <c r="JXQ2" s="180"/>
      <c r="JXR2" s="180"/>
      <c r="JXS2" s="180"/>
      <c r="JXT2" s="180"/>
      <c r="JXU2" s="180"/>
      <c r="JXV2" s="180"/>
      <c r="JXW2" s="180"/>
      <c r="JXX2" s="180"/>
      <c r="JXY2" s="180"/>
      <c r="JXZ2" s="180"/>
      <c r="JYA2" s="180"/>
      <c r="JYB2" s="180"/>
      <c r="JYC2" s="180"/>
      <c r="JYD2" s="180"/>
      <c r="JYE2" s="180"/>
      <c r="JYF2" s="180"/>
      <c r="JYG2" s="180"/>
      <c r="JYH2" s="180"/>
      <c r="JYI2" s="180"/>
      <c r="JYJ2" s="180"/>
      <c r="JYK2" s="180"/>
      <c r="JYL2" s="180"/>
      <c r="JYM2" s="180"/>
      <c r="JYN2" s="180"/>
      <c r="JYO2" s="180"/>
      <c r="JYP2" s="180"/>
      <c r="JYQ2" s="180"/>
      <c r="JYR2" s="180"/>
      <c r="JYS2" s="180"/>
      <c r="JYT2" s="180"/>
      <c r="JYU2" s="180"/>
      <c r="JYV2" s="180"/>
      <c r="JYW2" s="180"/>
      <c r="JYX2" s="180"/>
      <c r="JYY2" s="180"/>
      <c r="JYZ2" s="180"/>
      <c r="JZA2" s="180"/>
      <c r="JZB2" s="180"/>
      <c r="JZC2" s="180"/>
      <c r="JZD2" s="180"/>
      <c r="JZE2" s="180"/>
      <c r="JZF2" s="180"/>
      <c r="JZG2" s="180"/>
      <c r="JZH2" s="180"/>
      <c r="JZI2" s="180"/>
      <c r="JZJ2" s="180"/>
      <c r="JZK2" s="180"/>
      <c r="JZL2" s="180"/>
      <c r="JZM2" s="180"/>
      <c r="JZN2" s="180"/>
      <c r="JZO2" s="180"/>
      <c r="JZP2" s="180"/>
      <c r="JZQ2" s="180"/>
      <c r="JZR2" s="180"/>
      <c r="JZS2" s="180"/>
      <c r="JZT2" s="180"/>
      <c r="JZU2" s="180"/>
      <c r="JZV2" s="180"/>
      <c r="JZW2" s="180"/>
      <c r="JZX2" s="180"/>
      <c r="JZY2" s="180"/>
      <c r="JZZ2" s="180"/>
      <c r="KAA2" s="180"/>
      <c r="KAB2" s="180"/>
      <c r="KAC2" s="180"/>
      <c r="KAD2" s="180"/>
      <c r="KAE2" s="180"/>
      <c r="KAF2" s="180"/>
      <c r="KAG2" s="180"/>
      <c r="KAH2" s="180"/>
      <c r="KAI2" s="180"/>
      <c r="KAJ2" s="180"/>
      <c r="KAK2" s="180"/>
      <c r="KAL2" s="180"/>
      <c r="KAM2" s="180"/>
      <c r="KAN2" s="180"/>
      <c r="KAO2" s="180"/>
      <c r="KAP2" s="180"/>
      <c r="KAQ2" s="180"/>
      <c r="KAR2" s="180"/>
      <c r="KAS2" s="180"/>
      <c r="KAT2" s="180"/>
      <c r="KAU2" s="180"/>
      <c r="KAV2" s="180"/>
      <c r="KAW2" s="180"/>
      <c r="KAX2" s="180"/>
      <c r="KAY2" s="180"/>
      <c r="KAZ2" s="180"/>
      <c r="KBA2" s="180"/>
      <c r="KBB2" s="180"/>
      <c r="KBC2" s="180"/>
      <c r="KBD2" s="180"/>
      <c r="KBE2" s="180"/>
      <c r="KBF2" s="180"/>
      <c r="KBG2" s="180"/>
      <c r="KBH2" s="180"/>
      <c r="KBI2" s="180"/>
      <c r="KBJ2" s="180"/>
      <c r="KBK2" s="180"/>
      <c r="KBL2" s="180"/>
      <c r="KBM2" s="180"/>
      <c r="KBN2" s="180"/>
      <c r="KBO2" s="180"/>
      <c r="KBP2" s="180"/>
      <c r="KBQ2" s="180"/>
      <c r="KBR2" s="180"/>
      <c r="KBS2" s="180"/>
      <c r="KBT2" s="180"/>
      <c r="KBU2" s="180"/>
      <c r="KBV2" s="180"/>
      <c r="KBW2" s="180"/>
      <c r="KBX2" s="180"/>
      <c r="KBY2" s="180"/>
      <c r="KBZ2" s="180"/>
      <c r="KCA2" s="180"/>
      <c r="KCB2" s="180"/>
      <c r="KCC2" s="180"/>
      <c r="KCD2" s="180"/>
      <c r="KCE2" s="180"/>
      <c r="KCF2" s="180"/>
      <c r="KCG2" s="180"/>
      <c r="KCH2" s="180"/>
      <c r="KCI2" s="180"/>
      <c r="KCJ2" s="180"/>
      <c r="KCK2" s="180"/>
      <c r="KCL2" s="180"/>
      <c r="KCM2" s="180"/>
      <c r="KCN2" s="180"/>
      <c r="KCO2" s="180"/>
      <c r="KCP2" s="180"/>
      <c r="KCQ2" s="180"/>
      <c r="KCR2" s="180"/>
      <c r="KCS2" s="180"/>
      <c r="KCT2" s="180"/>
      <c r="KCU2" s="180"/>
      <c r="KCV2" s="180"/>
      <c r="KCW2" s="180"/>
      <c r="KCX2" s="180"/>
      <c r="KCY2" s="180"/>
      <c r="KCZ2" s="180"/>
      <c r="KDA2" s="180"/>
      <c r="KDB2" s="180"/>
      <c r="KDC2" s="180"/>
      <c r="KDD2" s="180"/>
      <c r="KDE2" s="180"/>
      <c r="KDF2" s="180"/>
      <c r="KDG2" s="180"/>
      <c r="KDH2" s="180"/>
      <c r="KDI2" s="180"/>
      <c r="KDJ2" s="180"/>
      <c r="KDK2" s="180"/>
      <c r="KDL2" s="180"/>
      <c r="KDM2" s="180"/>
      <c r="KDN2" s="180"/>
      <c r="KDO2" s="180"/>
      <c r="KDP2" s="180"/>
      <c r="KDQ2" s="180"/>
      <c r="KDR2" s="180"/>
      <c r="KDS2" s="180"/>
      <c r="KDT2" s="180"/>
      <c r="KDU2" s="180"/>
      <c r="KDV2" s="180"/>
      <c r="KDW2" s="180"/>
      <c r="KDX2" s="180"/>
      <c r="KDY2" s="180"/>
      <c r="KDZ2" s="180"/>
      <c r="KEA2" s="180"/>
      <c r="KEB2" s="180"/>
      <c r="KEC2" s="180"/>
      <c r="KED2" s="180"/>
      <c r="KEE2" s="180"/>
      <c r="KEF2" s="180"/>
      <c r="KEG2" s="180"/>
      <c r="KEH2" s="180"/>
      <c r="KEI2" s="180"/>
      <c r="KEJ2" s="180"/>
      <c r="KEK2" s="180"/>
      <c r="KEL2" s="180"/>
      <c r="KEM2" s="180"/>
      <c r="KEN2" s="180"/>
      <c r="KEO2" s="180"/>
      <c r="KEP2" s="180"/>
      <c r="KEQ2" s="180"/>
      <c r="KER2" s="180"/>
      <c r="KES2" s="180"/>
      <c r="KET2" s="180"/>
      <c r="KEU2" s="180"/>
      <c r="KEV2" s="180"/>
      <c r="KEW2" s="180"/>
      <c r="KEX2" s="180"/>
      <c r="KEY2" s="180"/>
      <c r="KEZ2" s="180"/>
      <c r="KFA2" s="180"/>
      <c r="KFB2" s="180"/>
      <c r="KFC2" s="180"/>
      <c r="KFD2" s="180"/>
      <c r="KFE2" s="180"/>
      <c r="KFF2" s="180"/>
      <c r="KFG2" s="180"/>
      <c r="KFH2" s="180"/>
      <c r="KFI2" s="180"/>
      <c r="KFJ2" s="180"/>
      <c r="KFK2" s="180"/>
      <c r="KFL2" s="180"/>
      <c r="KFM2" s="180"/>
      <c r="KFN2" s="180"/>
      <c r="KFO2" s="180"/>
      <c r="KFP2" s="180"/>
      <c r="KFQ2" s="180"/>
      <c r="KFR2" s="180"/>
      <c r="KFS2" s="180"/>
      <c r="KFT2" s="180"/>
      <c r="KFU2" s="180"/>
      <c r="KFV2" s="180"/>
      <c r="KFW2" s="180"/>
      <c r="KFX2" s="180"/>
      <c r="KFY2" s="180"/>
      <c r="KFZ2" s="180"/>
      <c r="KGA2" s="180"/>
      <c r="KGB2" s="180"/>
      <c r="KGC2" s="180"/>
      <c r="KGD2" s="180"/>
      <c r="KGE2" s="180"/>
      <c r="KGF2" s="180"/>
      <c r="KGG2" s="180"/>
      <c r="KGH2" s="180"/>
      <c r="KGI2" s="180"/>
      <c r="KGJ2" s="180"/>
      <c r="KGK2" s="180"/>
      <c r="KGL2" s="180"/>
      <c r="KGM2" s="180"/>
      <c r="KGN2" s="180"/>
      <c r="KGO2" s="180"/>
      <c r="KGP2" s="180"/>
      <c r="KGQ2" s="180"/>
      <c r="KGR2" s="180"/>
      <c r="KGS2" s="180"/>
      <c r="KGT2" s="180"/>
      <c r="KGU2" s="180"/>
      <c r="KGV2" s="180"/>
      <c r="KGW2" s="180"/>
      <c r="KGX2" s="180"/>
      <c r="KGY2" s="180"/>
      <c r="KGZ2" s="180"/>
      <c r="KHA2" s="180"/>
      <c r="KHB2" s="180"/>
      <c r="KHC2" s="180"/>
      <c r="KHD2" s="180"/>
      <c r="KHE2" s="180"/>
      <c r="KHF2" s="180"/>
      <c r="KHG2" s="180"/>
      <c r="KHH2" s="180"/>
      <c r="KHI2" s="180"/>
      <c r="KHJ2" s="180"/>
      <c r="KHK2" s="180"/>
      <c r="KHL2" s="180"/>
      <c r="KHM2" s="180"/>
      <c r="KHN2" s="180"/>
      <c r="KHO2" s="180"/>
      <c r="KHP2" s="180"/>
      <c r="KHQ2" s="180"/>
      <c r="KHR2" s="180"/>
      <c r="KHS2" s="180"/>
      <c r="KHT2" s="180"/>
      <c r="KHU2" s="180"/>
      <c r="KHV2" s="180"/>
      <c r="KHW2" s="180"/>
      <c r="KHX2" s="180"/>
      <c r="KHY2" s="180"/>
      <c r="KHZ2" s="180"/>
      <c r="KIA2" s="180"/>
      <c r="KIB2" s="180"/>
      <c r="KIC2" s="180"/>
      <c r="KID2" s="180"/>
      <c r="KIE2" s="180"/>
      <c r="KIF2" s="180"/>
      <c r="KIG2" s="180"/>
      <c r="KIH2" s="180"/>
      <c r="KII2" s="180"/>
      <c r="KIJ2" s="180"/>
      <c r="KIK2" s="180"/>
      <c r="KIL2" s="180"/>
      <c r="KIM2" s="180"/>
      <c r="KIN2" s="180"/>
      <c r="KIO2" s="180"/>
      <c r="KIP2" s="180"/>
      <c r="KIQ2" s="180"/>
      <c r="KIR2" s="180"/>
      <c r="KIS2" s="180"/>
      <c r="KIT2" s="180"/>
      <c r="KIU2" s="180"/>
      <c r="KIV2" s="180"/>
      <c r="KIW2" s="180"/>
      <c r="KIX2" s="180"/>
      <c r="KIY2" s="180"/>
      <c r="KIZ2" s="180"/>
      <c r="KJA2" s="180"/>
      <c r="KJB2" s="180"/>
      <c r="KJC2" s="180"/>
      <c r="KJD2" s="180"/>
      <c r="KJE2" s="180"/>
      <c r="KJF2" s="180"/>
      <c r="KJG2" s="180"/>
      <c r="KJH2" s="180"/>
      <c r="KJI2" s="180"/>
      <c r="KJJ2" s="180"/>
      <c r="KJK2" s="180"/>
      <c r="KJL2" s="180"/>
      <c r="KJM2" s="180"/>
      <c r="KJN2" s="180"/>
      <c r="KJO2" s="180"/>
      <c r="KJP2" s="180"/>
      <c r="KJQ2" s="180"/>
      <c r="KJR2" s="180"/>
      <c r="KJS2" s="180"/>
      <c r="KJT2" s="180"/>
      <c r="KJU2" s="180"/>
      <c r="KJV2" s="180"/>
      <c r="KJW2" s="180"/>
      <c r="KJX2" s="180"/>
      <c r="KJY2" s="180"/>
      <c r="KJZ2" s="180"/>
      <c r="KKA2" s="180"/>
      <c r="KKB2" s="180"/>
      <c r="KKC2" s="180"/>
      <c r="KKD2" s="180"/>
      <c r="KKE2" s="180"/>
      <c r="KKF2" s="180"/>
      <c r="KKG2" s="180"/>
      <c r="KKH2" s="180"/>
      <c r="KKI2" s="180"/>
      <c r="KKJ2" s="180"/>
      <c r="KKK2" s="180"/>
      <c r="KKL2" s="180"/>
      <c r="KKM2" s="180"/>
      <c r="KKN2" s="180"/>
      <c r="KKO2" s="180"/>
      <c r="KKP2" s="180"/>
      <c r="KKQ2" s="180"/>
      <c r="KKR2" s="180"/>
      <c r="KKS2" s="180"/>
      <c r="KKT2" s="180"/>
      <c r="KKU2" s="180"/>
      <c r="KKV2" s="180"/>
      <c r="KKW2" s="180"/>
      <c r="KKX2" s="180"/>
      <c r="KKY2" s="180"/>
      <c r="KKZ2" s="180"/>
      <c r="KLA2" s="180"/>
      <c r="KLB2" s="180"/>
      <c r="KLC2" s="180"/>
      <c r="KLD2" s="180"/>
      <c r="KLE2" s="180"/>
      <c r="KLF2" s="180"/>
      <c r="KLG2" s="180"/>
      <c r="KLH2" s="180"/>
      <c r="KLI2" s="180"/>
      <c r="KLJ2" s="180"/>
      <c r="KLK2" s="180"/>
      <c r="KLL2" s="180"/>
      <c r="KLM2" s="180"/>
      <c r="KLN2" s="180"/>
      <c r="KLO2" s="180"/>
      <c r="KLP2" s="180"/>
      <c r="KLQ2" s="180"/>
      <c r="KLR2" s="180"/>
      <c r="KLS2" s="180"/>
      <c r="KLT2" s="180"/>
      <c r="KLU2" s="180"/>
      <c r="KLV2" s="180"/>
      <c r="KLW2" s="180"/>
      <c r="KLX2" s="180"/>
      <c r="KLY2" s="180"/>
      <c r="KLZ2" s="180"/>
      <c r="KMA2" s="180"/>
      <c r="KMB2" s="180"/>
      <c r="KMC2" s="180"/>
      <c r="KMD2" s="180"/>
      <c r="KME2" s="180"/>
      <c r="KMF2" s="180"/>
      <c r="KMG2" s="180"/>
      <c r="KMH2" s="180"/>
      <c r="KMI2" s="180"/>
      <c r="KMJ2" s="180"/>
      <c r="KMK2" s="180"/>
      <c r="KML2" s="180"/>
      <c r="KMM2" s="180"/>
      <c r="KMN2" s="180"/>
      <c r="KMO2" s="180"/>
      <c r="KMP2" s="180"/>
      <c r="KMQ2" s="180"/>
      <c r="KMR2" s="180"/>
      <c r="KMS2" s="180"/>
      <c r="KMT2" s="180"/>
      <c r="KMU2" s="180"/>
      <c r="KMV2" s="180"/>
      <c r="KMW2" s="180"/>
      <c r="KMX2" s="180"/>
      <c r="KMY2" s="180"/>
      <c r="KMZ2" s="180"/>
      <c r="KNA2" s="180"/>
      <c r="KNB2" s="180"/>
      <c r="KNC2" s="180"/>
      <c r="KND2" s="180"/>
      <c r="KNE2" s="180"/>
      <c r="KNF2" s="180"/>
      <c r="KNG2" s="180"/>
      <c r="KNH2" s="180"/>
      <c r="KNI2" s="180"/>
      <c r="KNJ2" s="180"/>
      <c r="KNK2" s="180"/>
      <c r="KNL2" s="180"/>
      <c r="KNM2" s="180"/>
      <c r="KNN2" s="180"/>
      <c r="KNO2" s="180"/>
      <c r="KNP2" s="180"/>
      <c r="KNQ2" s="180"/>
      <c r="KNR2" s="180"/>
      <c r="KNS2" s="180"/>
      <c r="KNT2" s="180"/>
      <c r="KNU2" s="180"/>
      <c r="KNV2" s="180"/>
      <c r="KNW2" s="180"/>
      <c r="KNX2" s="180"/>
      <c r="KNY2" s="180"/>
      <c r="KNZ2" s="180"/>
      <c r="KOA2" s="180"/>
      <c r="KOB2" s="180"/>
      <c r="KOC2" s="180"/>
      <c r="KOD2" s="180"/>
      <c r="KOE2" s="180"/>
      <c r="KOF2" s="180"/>
      <c r="KOG2" s="180"/>
      <c r="KOH2" s="180"/>
      <c r="KOI2" s="180"/>
      <c r="KOJ2" s="180"/>
      <c r="KOK2" s="180"/>
      <c r="KOL2" s="180"/>
      <c r="KOM2" s="180"/>
      <c r="KON2" s="180"/>
      <c r="KOO2" s="180"/>
      <c r="KOP2" s="180"/>
      <c r="KOQ2" s="180"/>
      <c r="KOR2" s="180"/>
      <c r="KOS2" s="180"/>
      <c r="KOT2" s="180"/>
      <c r="KOU2" s="180"/>
      <c r="KOV2" s="180"/>
      <c r="KOW2" s="180"/>
      <c r="KOX2" s="180"/>
      <c r="KOY2" s="180"/>
      <c r="KOZ2" s="180"/>
      <c r="KPA2" s="180"/>
      <c r="KPB2" s="180"/>
      <c r="KPC2" s="180"/>
      <c r="KPD2" s="180"/>
      <c r="KPE2" s="180"/>
      <c r="KPF2" s="180"/>
      <c r="KPG2" s="180"/>
      <c r="KPH2" s="180"/>
      <c r="KPI2" s="180"/>
      <c r="KPJ2" s="180"/>
      <c r="KPK2" s="180"/>
      <c r="KPL2" s="180"/>
      <c r="KPM2" s="180"/>
      <c r="KPN2" s="180"/>
      <c r="KPO2" s="180"/>
      <c r="KPP2" s="180"/>
      <c r="KPQ2" s="180"/>
      <c r="KPR2" s="180"/>
      <c r="KPS2" s="180"/>
      <c r="KPT2" s="180"/>
      <c r="KPU2" s="180"/>
      <c r="KPV2" s="180"/>
      <c r="KPW2" s="180"/>
      <c r="KPX2" s="180"/>
      <c r="KPY2" s="180"/>
      <c r="KPZ2" s="180"/>
      <c r="KQA2" s="180"/>
      <c r="KQB2" s="180"/>
      <c r="KQC2" s="180"/>
      <c r="KQD2" s="180"/>
      <c r="KQE2" s="180"/>
      <c r="KQF2" s="180"/>
      <c r="KQG2" s="180"/>
      <c r="KQH2" s="180"/>
      <c r="KQI2" s="180"/>
      <c r="KQJ2" s="180"/>
      <c r="KQK2" s="180"/>
      <c r="KQL2" s="180"/>
      <c r="KQM2" s="180"/>
      <c r="KQN2" s="180"/>
      <c r="KQO2" s="180"/>
      <c r="KQP2" s="180"/>
      <c r="KQQ2" s="180"/>
      <c r="KQR2" s="180"/>
      <c r="KQS2" s="180"/>
      <c r="KQT2" s="180"/>
      <c r="KQU2" s="180"/>
      <c r="KQV2" s="180"/>
      <c r="KQW2" s="180"/>
      <c r="KQX2" s="180"/>
      <c r="KQY2" s="180"/>
      <c r="KQZ2" s="180"/>
      <c r="KRA2" s="180"/>
      <c r="KRB2" s="180"/>
      <c r="KRC2" s="180"/>
      <c r="KRD2" s="180"/>
      <c r="KRE2" s="180"/>
      <c r="KRF2" s="180"/>
      <c r="KRG2" s="180"/>
      <c r="KRH2" s="180"/>
      <c r="KRI2" s="180"/>
      <c r="KRJ2" s="180"/>
      <c r="KRK2" s="180"/>
      <c r="KRL2" s="180"/>
      <c r="KRM2" s="180"/>
      <c r="KRN2" s="180"/>
      <c r="KRO2" s="180"/>
      <c r="KRP2" s="180"/>
      <c r="KRQ2" s="180"/>
      <c r="KRR2" s="180"/>
      <c r="KRS2" s="180"/>
      <c r="KRT2" s="180"/>
      <c r="KRU2" s="180"/>
      <c r="KRV2" s="180"/>
      <c r="KRW2" s="180"/>
      <c r="KRX2" s="180"/>
      <c r="KRY2" s="180"/>
      <c r="KRZ2" s="180"/>
      <c r="KSA2" s="180"/>
      <c r="KSB2" s="180"/>
      <c r="KSC2" s="180"/>
      <c r="KSD2" s="180"/>
      <c r="KSE2" s="180"/>
      <c r="KSF2" s="180"/>
      <c r="KSG2" s="180"/>
      <c r="KSH2" s="180"/>
      <c r="KSI2" s="180"/>
      <c r="KSJ2" s="180"/>
      <c r="KSK2" s="180"/>
      <c r="KSL2" s="180"/>
      <c r="KSM2" s="180"/>
      <c r="KSN2" s="180"/>
      <c r="KSO2" s="180"/>
      <c r="KSP2" s="180"/>
      <c r="KSQ2" s="180"/>
      <c r="KSR2" s="180"/>
      <c r="KSS2" s="180"/>
      <c r="KST2" s="180"/>
      <c r="KSU2" s="180"/>
      <c r="KSV2" s="180"/>
      <c r="KSW2" s="180"/>
      <c r="KSX2" s="180"/>
      <c r="KSY2" s="180"/>
      <c r="KSZ2" s="180"/>
      <c r="KTA2" s="180"/>
      <c r="KTB2" s="180"/>
      <c r="KTC2" s="180"/>
      <c r="KTD2" s="180"/>
      <c r="KTE2" s="180"/>
      <c r="KTF2" s="180"/>
      <c r="KTG2" s="180"/>
      <c r="KTH2" s="180"/>
      <c r="KTI2" s="180"/>
      <c r="KTJ2" s="180"/>
      <c r="KTK2" s="180"/>
      <c r="KTL2" s="180"/>
      <c r="KTM2" s="180"/>
      <c r="KTN2" s="180"/>
      <c r="KTO2" s="180"/>
      <c r="KTP2" s="180"/>
      <c r="KTQ2" s="180"/>
      <c r="KTR2" s="180"/>
      <c r="KTS2" s="180"/>
      <c r="KTT2" s="180"/>
      <c r="KTU2" s="180"/>
      <c r="KTV2" s="180"/>
      <c r="KTW2" s="180"/>
      <c r="KTX2" s="180"/>
      <c r="KTY2" s="180"/>
      <c r="KTZ2" s="180"/>
      <c r="KUA2" s="180"/>
      <c r="KUB2" s="180"/>
      <c r="KUC2" s="180"/>
      <c r="KUD2" s="180"/>
      <c r="KUE2" s="180"/>
      <c r="KUF2" s="180"/>
      <c r="KUG2" s="180"/>
      <c r="KUH2" s="180"/>
      <c r="KUI2" s="180"/>
      <c r="KUJ2" s="180"/>
      <c r="KUK2" s="180"/>
      <c r="KUL2" s="180"/>
      <c r="KUM2" s="180"/>
      <c r="KUN2" s="180"/>
      <c r="KUO2" s="180"/>
      <c r="KUP2" s="180"/>
      <c r="KUQ2" s="180"/>
      <c r="KUR2" s="180"/>
      <c r="KUS2" s="180"/>
      <c r="KUT2" s="180"/>
      <c r="KUU2" s="180"/>
      <c r="KUV2" s="180"/>
      <c r="KUW2" s="180"/>
      <c r="KUX2" s="180"/>
      <c r="KUY2" s="180"/>
      <c r="KUZ2" s="180"/>
      <c r="KVA2" s="180"/>
      <c r="KVB2" s="180"/>
      <c r="KVC2" s="180"/>
      <c r="KVD2" s="180"/>
      <c r="KVE2" s="180"/>
      <c r="KVF2" s="180"/>
      <c r="KVG2" s="180"/>
      <c r="KVH2" s="180"/>
      <c r="KVI2" s="180"/>
      <c r="KVJ2" s="180"/>
      <c r="KVK2" s="180"/>
      <c r="KVL2" s="180"/>
      <c r="KVM2" s="180"/>
      <c r="KVN2" s="180"/>
      <c r="KVO2" s="180"/>
      <c r="KVP2" s="180"/>
      <c r="KVQ2" s="180"/>
      <c r="KVR2" s="180"/>
      <c r="KVS2" s="180"/>
      <c r="KVT2" s="180"/>
      <c r="KVU2" s="180"/>
      <c r="KVV2" s="180"/>
      <c r="KVW2" s="180"/>
      <c r="KVX2" s="180"/>
      <c r="KVY2" s="180"/>
      <c r="KVZ2" s="180"/>
      <c r="KWA2" s="180"/>
      <c r="KWB2" s="180"/>
      <c r="KWC2" s="180"/>
      <c r="KWD2" s="180"/>
      <c r="KWE2" s="180"/>
      <c r="KWF2" s="180"/>
      <c r="KWG2" s="180"/>
      <c r="KWH2" s="180"/>
      <c r="KWI2" s="180"/>
      <c r="KWJ2" s="180"/>
      <c r="KWK2" s="180"/>
      <c r="KWL2" s="180"/>
      <c r="KWM2" s="180"/>
      <c r="KWN2" s="180"/>
      <c r="KWO2" s="180"/>
      <c r="KWP2" s="180"/>
      <c r="KWQ2" s="180"/>
      <c r="KWR2" s="180"/>
      <c r="KWS2" s="180"/>
      <c r="KWT2" s="180"/>
      <c r="KWU2" s="180"/>
      <c r="KWV2" s="180"/>
      <c r="KWW2" s="180"/>
      <c r="KWX2" s="180"/>
      <c r="KWY2" s="180"/>
      <c r="KWZ2" s="180"/>
      <c r="KXA2" s="180"/>
      <c r="KXB2" s="180"/>
      <c r="KXC2" s="180"/>
      <c r="KXD2" s="180"/>
      <c r="KXE2" s="180"/>
      <c r="KXF2" s="180"/>
      <c r="KXG2" s="180"/>
      <c r="KXH2" s="180"/>
      <c r="KXI2" s="180"/>
      <c r="KXJ2" s="180"/>
      <c r="KXK2" s="180"/>
      <c r="KXL2" s="180"/>
      <c r="KXM2" s="180"/>
      <c r="KXN2" s="180"/>
      <c r="KXO2" s="180"/>
      <c r="KXP2" s="180"/>
      <c r="KXQ2" s="180"/>
      <c r="KXR2" s="180"/>
      <c r="KXS2" s="180"/>
      <c r="KXT2" s="180"/>
      <c r="KXU2" s="180"/>
      <c r="KXV2" s="180"/>
      <c r="KXW2" s="180"/>
      <c r="KXX2" s="180"/>
      <c r="KXY2" s="180"/>
      <c r="KXZ2" s="180"/>
      <c r="KYA2" s="180"/>
      <c r="KYB2" s="180"/>
      <c r="KYC2" s="180"/>
      <c r="KYD2" s="180"/>
      <c r="KYE2" s="180"/>
      <c r="KYF2" s="180"/>
      <c r="KYG2" s="180"/>
      <c r="KYH2" s="180"/>
      <c r="KYI2" s="180"/>
      <c r="KYJ2" s="180"/>
      <c r="KYK2" s="180"/>
      <c r="KYL2" s="180"/>
      <c r="KYM2" s="180"/>
      <c r="KYN2" s="180"/>
      <c r="KYO2" s="180"/>
      <c r="KYP2" s="180"/>
      <c r="KYQ2" s="180"/>
      <c r="KYR2" s="180"/>
      <c r="KYS2" s="180"/>
      <c r="KYT2" s="180"/>
      <c r="KYU2" s="180"/>
      <c r="KYV2" s="180"/>
      <c r="KYW2" s="180"/>
      <c r="KYX2" s="180"/>
      <c r="KYY2" s="180"/>
      <c r="KYZ2" s="180"/>
      <c r="KZA2" s="180"/>
      <c r="KZB2" s="180"/>
      <c r="KZC2" s="180"/>
      <c r="KZD2" s="180"/>
      <c r="KZE2" s="180"/>
      <c r="KZF2" s="180"/>
      <c r="KZG2" s="180"/>
      <c r="KZH2" s="180"/>
      <c r="KZI2" s="180"/>
      <c r="KZJ2" s="180"/>
      <c r="KZK2" s="180"/>
      <c r="KZL2" s="180"/>
      <c r="KZM2" s="180"/>
      <c r="KZN2" s="180"/>
      <c r="KZO2" s="180"/>
      <c r="KZP2" s="180"/>
      <c r="KZQ2" s="180"/>
      <c r="KZR2" s="180"/>
      <c r="KZS2" s="180"/>
      <c r="KZT2" s="180"/>
      <c r="KZU2" s="180"/>
      <c r="KZV2" s="180"/>
      <c r="KZW2" s="180"/>
      <c r="KZX2" s="180"/>
      <c r="KZY2" s="180"/>
      <c r="KZZ2" s="180"/>
      <c r="LAA2" s="180"/>
      <c r="LAB2" s="180"/>
      <c r="LAC2" s="180"/>
      <c r="LAD2" s="180"/>
      <c r="LAE2" s="180"/>
      <c r="LAF2" s="180"/>
      <c r="LAG2" s="180"/>
      <c r="LAH2" s="180"/>
      <c r="LAI2" s="180"/>
      <c r="LAJ2" s="180"/>
      <c r="LAK2" s="180"/>
      <c r="LAL2" s="180"/>
      <c r="LAM2" s="180"/>
      <c r="LAN2" s="180"/>
      <c r="LAO2" s="180"/>
      <c r="LAP2" s="180"/>
      <c r="LAQ2" s="180"/>
      <c r="LAR2" s="180"/>
      <c r="LAS2" s="180"/>
      <c r="LAT2" s="180"/>
      <c r="LAU2" s="180"/>
      <c r="LAV2" s="180"/>
      <c r="LAW2" s="180"/>
      <c r="LAX2" s="180"/>
      <c r="LAY2" s="180"/>
      <c r="LAZ2" s="180"/>
      <c r="LBA2" s="180"/>
      <c r="LBB2" s="180"/>
      <c r="LBC2" s="180"/>
      <c r="LBD2" s="180"/>
      <c r="LBE2" s="180"/>
      <c r="LBF2" s="180"/>
      <c r="LBG2" s="180"/>
      <c r="LBH2" s="180"/>
      <c r="LBI2" s="180"/>
      <c r="LBJ2" s="180"/>
      <c r="LBK2" s="180"/>
      <c r="LBL2" s="180"/>
      <c r="LBM2" s="180"/>
      <c r="LBN2" s="180"/>
      <c r="LBO2" s="180"/>
      <c r="LBP2" s="180"/>
      <c r="LBQ2" s="180"/>
      <c r="LBR2" s="180"/>
      <c r="LBS2" s="180"/>
      <c r="LBT2" s="180"/>
      <c r="LBU2" s="180"/>
      <c r="LBV2" s="180"/>
      <c r="LBW2" s="180"/>
      <c r="LBX2" s="180"/>
      <c r="LBY2" s="180"/>
      <c r="LBZ2" s="180"/>
      <c r="LCA2" s="180"/>
      <c r="LCB2" s="180"/>
      <c r="LCC2" s="180"/>
      <c r="LCD2" s="180"/>
      <c r="LCE2" s="180"/>
      <c r="LCF2" s="180"/>
      <c r="LCG2" s="180"/>
      <c r="LCH2" s="180"/>
      <c r="LCI2" s="180"/>
      <c r="LCJ2" s="180"/>
      <c r="LCK2" s="180"/>
      <c r="LCL2" s="180"/>
      <c r="LCM2" s="180"/>
      <c r="LCN2" s="180"/>
      <c r="LCO2" s="180"/>
      <c r="LCP2" s="180"/>
      <c r="LCQ2" s="180"/>
      <c r="LCR2" s="180"/>
      <c r="LCS2" s="180"/>
      <c r="LCT2" s="180"/>
      <c r="LCU2" s="180"/>
      <c r="LCV2" s="180"/>
      <c r="LCW2" s="180"/>
      <c r="LCX2" s="180"/>
      <c r="LCY2" s="180"/>
      <c r="LCZ2" s="180"/>
      <c r="LDA2" s="180"/>
      <c r="LDB2" s="180"/>
      <c r="LDC2" s="180"/>
      <c r="LDD2" s="180"/>
      <c r="LDE2" s="180"/>
      <c r="LDF2" s="180"/>
      <c r="LDG2" s="180"/>
      <c r="LDH2" s="180"/>
      <c r="LDI2" s="180"/>
      <c r="LDJ2" s="180"/>
      <c r="LDK2" s="180"/>
      <c r="LDL2" s="180"/>
      <c r="LDM2" s="180"/>
      <c r="LDN2" s="180"/>
      <c r="LDO2" s="180"/>
      <c r="LDP2" s="180"/>
      <c r="LDQ2" s="180"/>
      <c r="LDR2" s="180"/>
      <c r="LDS2" s="180"/>
      <c r="LDT2" s="180"/>
      <c r="LDU2" s="180"/>
      <c r="LDV2" s="180"/>
      <c r="LDW2" s="180"/>
      <c r="LDX2" s="180"/>
      <c r="LDY2" s="180"/>
      <c r="LDZ2" s="180"/>
      <c r="LEA2" s="180"/>
      <c r="LEB2" s="180"/>
      <c r="LEC2" s="180"/>
      <c r="LED2" s="180"/>
      <c r="LEE2" s="180"/>
      <c r="LEF2" s="180"/>
      <c r="LEG2" s="180"/>
      <c r="LEH2" s="180"/>
      <c r="LEI2" s="180"/>
      <c r="LEJ2" s="180"/>
      <c r="LEK2" s="180"/>
      <c r="LEL2" s="180"/>
      <c r="LEM2" s="180"/>
      <c r="LEN2" s="180"/>
      <c r="LEO2" s="180"/>
      <c r="LEP2" s="180"/>
      <c r="LEQ2" s="180"/>
      <c r="LER2" s="180"/>
      <c r="LES2" s="180"/>
      <c r="LET2" s="180"/>
      <c r="LEU2" s="180"/>
      <c r="LEV2" s="180"/>
      <c r="LEW2" s="180"/>
      <c r="LEX2" s="180"/>
      <c r="LEY2" s="180"/>
      <c r="LEZ2" s="180"/>
      <c r="LFA2" s="180"/>
      <c r="LFB2" s="180"/>
      <c r="LFC2" s="180"/>
      <c r="LFD2" s="180"/>
      <c r="LFE2" s="180"/>
      <c r="LFF2" s="180"/>
      <c r="LFG2" s="180"/>
      <c r="LFH2" s="180"/>
      <c r="LFI2" s="180"/>
      <c r="LFJ2" s="180"/>
      <c r="LFK2" s="180"/>
      <c r="LFL2" s="180"/>
      <c r="LFM2" s="180"/>
      <c r="LFN2" s="180"/>
      <c r="LFO2" s="180"/>
      <c r="LFP2" s="180"/>
      <c r="LFQ2" s="180"/>
      <c r="LFR2" s="180"/>
      <c r="LFS2" s="180"/>
      <c r="LFT2" s="180"/>
      <c r="LFU2" s="180"/>
      <c r="LFV2" s="180"/>
      <c r="LFW2" s="180"/>
      <c r="LFX2" s="180"/>
      <c r="LFY2" s="180"/>
      <c r="LFZ2" s="180"/>
      <c r="LGA2" s="180"/>
      <c r="LGB2" s="180"/>
      <c r="LGC2" s="180"/>
      <c r="LGD2" s="180"/>
      <c r="LGE2" s="180"/>
      <c r="LGF2" s="180"/>
      <c r="LGG2" s="180"/>
      <c r="LGH2" s="180"/>
      <c r="LGI2" s="180"/>
      <c r="LGJ2" s="180"/>
      <c r="LGK2" s="180"/>
      <c r="LGL2" s="180"/>
      <c r="LGM2" s="180"/>
      <c r="LGN2" s="180"/>
      <c r="LGO2" s="180"/>
      <c r="LGP2" s="180"/>
      <c r="LGQ2" s="180"/>
      <c r="LGR2" s="180"/>
      <c r="LGS2" s="180"/>
      <c r="LGT2" s="180"/>
      <c r="LGU2" s="180"/>
      <c r="LGV2" s="180"/>
      <c r="LGW2" s="180"/>
      <c r="LGX2" s="180"/>
      <c r="LGY2" s="180"/>
      <c r="LGZ2" s="180"/>
      <c r="LHA2" s="180"/>
      <c r="LHB2" s="180"/>
      <c r="LHC2" s="180"/>
      <c r="LHD2" s="180"/>
      <c r="LHE2" s="180"/>
      <c r="LHF2" s="180"/>
      <c r="LHG2" s="180"/>
      <c r="LHH2" s="180"/>
      <c r="LHI2" s="180"/>
      <c r="LHJ2" s="180"/>
      <c r="LHK2" s="180"/>
      <c r="LHL2" s="180"/>
      <c r="LHM2" s="180"/>
      <c r="LHN2" s="180"/>
      <c r="LHO2" s="180"/>
      <c r="LHP2" s="180"/>
      <c r="LHQ2" s="180"/>
      <c r="LHR2" s="180"/>
      <c r="LHS2" s="180"/>
      <c r="LHT2" s="180"/>
      <c r="LHU2" s="180"/>
      <c r="LHV2" s="180"/>
      <c r="LHW2" s="180"/>
      <c r="LHX2" s="180"/>
      <c r="LHY2" s="180"/>
      <c r="LHZ2" s="180"/>
      <c r="LIA2" s="180"/>
      <c r="LIB2" s="180"/>
      <c r="LIC2" s="180"/>
      <c r="LID2" s="180"/>
      <c r="LIE2" s="180"/>
      <c r="LIF2" s="180"/>
      <c r="LIG2" s="180"/>
      <c r="LIH2" s="180"/>
      <c r="LII2" s="180"/>
      <c r="LIJ2" s="180"/>
      <c r="LIK2" s="180"/>
      <c r="LIL2" s="180"/>
      <c r="LIM2" s="180"/>
      <c r="LIN2" s="180"/>
      <c r="LIO2" s="180"/>
      <c r="LIP2" s="180"/>
      <c r="LIQ2" s="180"/>
      <c r="LIR2" s="180"/>
      <c r="LIS2" s="180"/>
      <c r="LIT2" s="180"/>
      <c r="LIU2" s="180"/>
      <c r="LIV2" s="180"/>
      <c r="LIW2" s="180"/>
      <c r="LIX2" s="180"/>
      <c r="LIY2" s="180"/>
      <c r="LIZ2" s="180"/>
      <c r="LJA2" s="180"/>
      <c r="LJB2" s="180"/>
      <c r="LJC2" s="180"/>
      <c r="LJD2" s="180"/>
      <c r="LJE2" s="180"/>
      <c r="LJF2" s="180"/>
      <c r="LJG2" s="180"/>
      <c r="LJH2" s="180"/>
      <c r="LJI2" s="180"/>
      <c r="LJJ2" s="180"/>
      <c r="LJK2" s="180"/>
      <c r="LJL2" s="180"/>
      <c r="LJM2" s="180"/>
      <c r="LJN2" s="180"/>
      <c r="LJO2" s="180"/>
      <c r="LJP2" s="180"/>
      <c r="LJQ2" s="180"/>
      <c r="LJR2" s="180"/>
      <c r="LJS2" s="180"/>
      <c r="LJT2" s="180"/>
      <c r="LJU2" s="180"/>
      <c r="LJV2" s="180"/>
      <c r="LJW2" s="180"/>
      <c r="LJX2" s="180"/>
      <c r="LJY2" s="180"/>
      <c r="LJZ2" s="180"/>
      <c r="LKA2" s="180"/>
      <c r="LKB2" s="180"/>
      <c r="LKC2" s="180"/>
      <c r="LKD2" s="180"/>
      <c r="LKE2" s="180"/>
      <c r="LKF2" s="180"/>
      <c r="LKG2" s="180"/>
      <c r="LKH2" s="180"/>
      <c r="LKI2" s="180"/>
      <c r="LKJ2" s="180"/>
      <c r="LKK2" s="180"/>
      <c r="LKL2" s="180"/>
      <c r="LKM2" s="180"/>
      <c r="LKN2" s="180"/>
      <c r="LKO2" s="180"/>
      <c r="LKP2" s="180"/>
      <c r="LKQ2" s="180"/>
      <c r="LKR2" s="180"/>
      <c r="LKS2" s="180"/>
      <c r="LKT2" s="180"/>
      <c r="LKU2" s="180"/>
      <c r="LKV2" s="180"/>
      <c r="LKW2" s="180"/>
      <c r="LKX2" s="180"/>
      <c r="LKY2" s="180"/>
      <c r="LKZ2" s="180"/>
      <c r="LLA2" s="180"/>
      <c r="LLB2" s="180"/>
      <c r="LLC2" s="180"/>
      <c r="LLD2" s="180"/>
      <c r="LLE2" s="180"/>
      <c r="LLF2" s="180"/>
      <c r="LLG2" s="180"/>
      <c r="LLH2" s="180"/>
      <c r="LLI2" s="180"/>
      <c r="LLJ2" s="180"/>
      <c r="LLK2" s="180"/>
      <c r="LLL2" s="180"/>
      <c r="LLM2" s="180"/>
      <c r="LLN2" s="180"/>
      <c r="LLO2" s="180"/>
      <c r="LLP2" s="180"/>
      <c r="LLQ2" s="180"/>
      <c r="LLR2" s="180"/>
      <c r="LLS2" s="180"/>
      <c r="LLT2" s="180"/>
      <c r="LLU2" s="180"/>
      <c r="LLV2" s="180"/>
      <c r="LLW2" s="180"/>
      <c r="LLX2" s="180"/>
      <c r="LLY2" s="180"/>
      <c r="LLZ2" s="180"/>
      <c r="LMA2" s="180"/>
      <c r="LMB2" s="180"/>
      <c r="LMC2" s="180"/>
      <c r="LMD2" s="180"/>
      <c r="LME2" s="180"/>
      <c r="LMF2" s="180"/>
      <c r="LMG2" s="180"/>
      <c r="LMH2" s="180"/>
      <c r="LMI2" s="180"/>
      <c r="LMJ2" s="180"/>
      <c r="LMK2" s="180"/>
      <c r="LML2" s="180"/>
      <c r="LMM2" s="180"/>
      <c r="LMN2" s="180"/>
      <c r="LMO2" s="180"/>
      <c r="LMP2" s="180"/>
      <c r="LMQ2" s="180"/>
      <c r="LMR2" s="180"/>
      <c r="LMS2" s="180"/>
      <c r="LMT2" s="180"/>
      <c r="LMU2" s="180"/>
      <c r="LMV2" s="180"/>
      <c r="LMW2" s="180"/>
      <c r="LMX2" s="180"/>
      <c r="LMY2" s="180"/>
      <c r="LMZ2" s="180"/>
      <c r="LNA2" s="180"/>
      <c r="LNB2" s="180"/>
      <c r="LNC2" s="180"/>
      <c r="LND2" s="180"/>
      <c r="LNE2" s="180"/>
      <c r="LNF2" s="180"/>
      <c r="LNG2" s="180"/>
      <c r="LNH2" s="180"/>
      <c r="LNI2" s="180"/>
      <c r="LNJ2" s="180"/>
      <c r="LNK2" s="180"/>
      <c r="LNL2" s="180"/>
      <c r="LNM2" s="180"/>
      <c r="LNN2" s="180"/>
      <c r="LNO2" s="180"/>
      <c r="LNP2" s="180"/>
      <c r="LNQ2" s="180"/>
      <c r="LNR2" s="180"/>
      <c r="LNS2" s="180"/>
      <c r="LNT2" s="180"/>
      <c r="LNU2" s="180"/>
      <c r="LNV2" s="180"/>
      <c r="LNW2" s="180"/>
      <c r="LNX2" s="180"/>
      <c r="LNY2" s="180"/>
      <c r="LNZ2" s="180"/>
      <c r="LOA2" s="180"/>
      <c r="LOB2" s="180"/>
      <c r="LOC2" s="180"/>
      <c r="LOD2" s="180"/>
      <c r="LOE2" s="180"/>
      <c r="LOF2" s="180"/>
      <c r="LOG2" s="180"/>
      <c r="LOH2" s="180"/>
      <c r="LOI2" s="180"/>
      <c r="LOJ2" s="180"/>
      <c r="LOK2" s="180"/>
      <c r="LOL2" s="180"/>
      <c r="LOM2" s="180"/>
      <c r="LON2" s="180"/>
      <c r="LOO2" s="180"/>
      <c r="LOP2" s="180"/>
      <c r="LOQ2" s="180"/>
      <c r="LOR2" s="180"/>
      <c r="LOS2" s="180"/>
      <c r="LOT2" s="180"/>
      <c r="LOU2" s="180"/>
      <c r="LOV2" s="180"/>
      <c r="LOW2" s="180"/>
      <c r="LOX2" s="180"/>
      <c r="LOY2" s="180"/>
      <c r="LOZ2" s="180"/>
      <c r="LPA2" s="180"/>
      <c r="LPB2" s="180"/>
      <c r="LPC2" s="180"/>
      <c r="LPD2" s="180"/>
      <c r="LPE2" s="180"/>
      <c r="LPF2" s="180"/>
      <c r="LPG2" s="180"/>
      <c r="LPH2" s="180"/>
      <c r="LPI2" s="180"/>
      <c r="LPJ2" s="180"/>
      <c r="LPK2" s="180"/>
      <c r="LPL2" s="180"/>
      <c r="LPM2" s="180"/>
      <c r="LPN2" s="180"/>
      <c r="LPO2" s="180"/>
      <c r="LPP2" s="180"/>
      <c r="LPQ2" s="180"/>
      <c r="LPR2" s="180"/>
      <c r="LPS2" s="180"/>
      <c r="LPT2" s="180"/>
      <c r="LPU2" s="180"/>
      <c r="LPV2" s="180"/>
      <c r="LPW2" s="180"/>
      <c r="LPX2" s="180"/>
      <c r="LPY2" s="180"/>
      <c r="LPZ2" s="180"/>
      <c r="LQA2" s="180"/>
      <c r="LQB2" s="180"/>
      <c r="LQC2" s="180"/>
      <c r="LQD2" s="180"/>
      <c r="LQE2" s="180"/>
      <c r="LQF2" s="180"/>
      <c r="LQG2" s="180"/>
      <c r="LQH2" s="180"/>
      <c r="LQI2" s="180"/>
      <c r="LQJ2" s="180"/>
      <c r="LQK2" s="180"/>
      <c r="LQL2" s="180"/>
      <c r="LQM2" s="180"/>
      <c r="LQN2" s="180"/>
      <c r="LQO2" s="180"/>
      <c r="LQP2" s="180"/>
      <c r="LQQ2" s="180"/>
      <c r="LQR2" s="180"/>
      <c r="LQS2" s="180"/>
      <c r="LQT2" s="180"/>
      <c r="LQU2" s="180"/>
      <c r="LQV2" s="180"/>
      <c r="LQW2" s="180"/>
      <c r="LQX2" s="180"/>
      <c r="LQY2" s="180"/>
      <c r="LQZ2" s="180"/>
      <c r="LRA2" s="180"/>
      <c r="LRB2" s="180"/>
      <c r="LRC2" s="180"/>
      <c r="LRD2" s="180"/>
      <c r="LRE2" s="180"/>
      <c r="LRF2" s="180"/>
      <c r="LRG2" s="180"/>
      <c r="LRH2" s="180"/>
      <c r="LRI2" s="180"/>
      <c r="LRJ2" s="180"/>
      <c r="LRK2" s="180"/>
      <c r="LRL2" s="180"/>
      <c r="LRM2" s="180"/>
      <c r="LRN2" s="180"/>
      <c r="LRO2" s="180"/>
      <c r="LRP2" s="180"/>
      <c r="LRQ2" s="180"/>
      <c r="LRR2" s="180"/>
      <c r="LRS2" s="180"/>
      <c r="LRT2" s="180"/>
      <c r="LRU2" s="180"/>
      <c r="LRV2" s="180"/>
      <c r="LRW2" s="180"/>
      <c r="LRX2" s="180"/>
      <c r="LRY2" s="180"/>
      <c r="LRZ2" s="180"/>
      <c r="LSA2" s="180"/>
      <c r="LSB2" s="180"/>
      <c r="LSC2" s="180"/>
      <c r="LSD2" s="180"/>
      <c r="LSE2" s="180"/>
      <c r="LSF2" s="180"/>
      <c r="LSG2" s="180"/>
      <c r="LSH2" s="180"/>
      <c r="LSI2" s="180"/>
      <c r="LSJ2" s="180"/>
      <c r="LSK2" s="180"/>
      <c r="LSL2" s="180"/>
      <c r="LSM2" s="180"/>
      <c r="LSN2" s="180"/>
      <c r="LSO2" s="180"/>
      <c r="LSP2" s="180"/>
      <c r="LSQ2" s="180"/>
      <c r="LSR2" s="180"/>
      <c r="LSS2" s="180"/>
      <c r="LST2" s="180"/>
      <c r="LSU2" s="180"/>
      <c r="LSV2" s="180"/>
      <c r="LSW2" s="180"/>
      <c r="LSX2" s="180"/>
      <c r="LSY2" s="180"/>
      <c r="LSZ2" s="180"/>
      <c r="LTA2" s="180"/>
      <c r="LTB2" s="180"/>
      <c r="LTC2" s="180"/>
      <c r="LTD2" s="180"/>
      <c r="LTE2" s="180"/>
      <c r="LTF2" s="180"/>
      <c r="LTG2" s="180"/>
      <c r="LTH2" s="180"/>
      <c r="LTI2" s="180"/>
      <c r="LTJ2" s="180"/>
      <c r="LTK2" s="180"/>
      <c r="LTL2" s="180"/>
      <c r="LTM2" s="180"/>
      <c r="LTN2" s="180"/>
      <c r="LTO2" s="180"/>
      <c r="LTP2" s="180"/>
      <c r="LTQ2" s="180"/>
      <c r="LTR2" s="180"/>
      <c r="LTS2" s="180"/>
      <c r="LTT2" s="180"/>
      <c r="LTU2" s="180"/>
      <c r="LTV2" s="180"/>
      <c r="LTW2" s="180"/>
      <c r="LTX2" s="180"/>
      <c r="LTY2" s="180"/>
      <c r="LTZ2" s="180"/>
      <c r="LUA2" s="180"/>
      <c r="LUB2" s="180"/>
      <c r="LUC2" s="180"/>
      <c r="LUD2" s="180"/>
      <c r="LUE2" s="180"/>
      <c r="LUF2" s="180"/>
      <c r="LUG2" s="180"/>
      <c r="LUH2" s="180"/>
      <c r="LUI2" s="180"/>
      <c r="LUJ2" s="180"/>
      <c r="LUK2" s="180"/>
      <c r="LUL2" s="180"/>
      <c r="LUM2" s="180"/>
      <c r="LUN2" s="180"/>
      <c r="LUO2" s="180"/>
      <c r="LUP2" s="180"/>
      <c r="LUQ2" s="180"/>
      <c r="LUR2" s="180"/>
      <c r="LUS2" s="180"/>
      <c r="LUT2" s="180"/>
      <c r="LUU2" s="180"/>
      <c r="LUV2" s="180"/>
      <c r="LUW2" s="180"/>
      <c r="LUX2" s="180"/>
      <c r="LUY2" s="180"/>
      <c r="LUZ2" s="180"/>
      <c r="LVA2" s="180"/>
      <c r="LVB2" s="180"/>
      <c r="LVC2" s="180"/>
      <c r="LVD2" s="180"/>
      <c r="LVE2" s="180"/>
      <c r="LVF2" s="180"/>
      <c r="LVG2" s="180"/>
      <c r="LVH2" s="180"/>
      <c r="LVI2" s="180"/>
      <c r="LVJ2" s="180"/>
      <c r="LVK2" s="180"/>
      <c r="LVL2" s="180"/>
      <c r="LVM2" s="180"/>
      <c r="LVN2" s="180"/>
      <c r="LVO2" s="180"/>
      <c r="LVP2" s="180"/>
      <c r="LVQ2" s="180"/>
      <c r="LVR2" s="180"/>
      <c r="LVS2" s="180"/>
      <c r="LVT2" s="180"/>
      <c r="LVU2" s="180"/>
      <c r="LVV2" s="180"/>
      <c r="LVW2" s="180"/>
      <c r="LVX2" s="180"/>
      <c r="LVY2" s="180"/>
      <c r="LVZ2" s="180"/>
      <c r="LWA2" s="180"/>
      <c r="LWB2" s="180"/>
      <c r="LWC2" s="180"/>
      <c r="LWD2" s="180"/>
      <c r="LWE2" s="180"/>
      <c r="LWF2" s="180"/>
      <c r="LWG2" s="180"/>
      <c r="LWH2" s="180"/>
      <c r="LWI2" s="180"/>
      <c r="LWJ2" s="180"/>
      <c r="LWK2" s="180"/>
      <c r="LWL2" s="180"/>
      <c r="LWM2" s="180"/>
      <c r="LWN2" s="180"/>
      <c r="LWO2" s="180"/>
      <c r="LWP2" s="180"/>
      <c r="LWQ2" s="180"/>
      <c r="LWR2" s="180"/>
      <c r="LWS2" s="180"/>
      <c r="LWT2" s="180"/>
      <c r="LWU2" s="180"/>
      <c r="LWV2" s="180"/>
      <c r="LWW2" s="180"/>
      <c r="LWX2" s="180"/>
      <c r="LWY2" s="180"/>
      <c r="LWZ2" s="180"/>
      <c r="LXA2" s="180"/>
      <c r="LXB2" s="180"/>
      <c r="LXC2" s="180"/>
      <c r="LXD2" s="180"/>
      <c r="LXE2" s="180"/>
      <c r="LXF2" s="180"/>
      <c r="LXG2" s="180"/>
      <c r="LXH2" s="180"/>
      <c r="LXI2" s="180"/>
      <c r="LXJ2" s="180"/>
      <c r="LXK2" s="180"/>
      <c r="LXL2" s="180"/>
      <c r="LXM2" s="180"/>
      <c r="LXN2" s="180"/>
      <c r="LXO2" s="180"/>
      <c r="LXP2" s="180"/>
      <c r="LXQ2" s="180"/>
      <c r="LXR2" s="180"/>
      <c r="LXS2" s="180"/>
      <c r="LXT2" s="180"/>
      <c r="LXU2" s="180"/>
      <c r="LXV2" s="180"/>
      <c r="LXW2" s="180"/>
      <c r="LXX2" s="180"/>
      <c r="LXY2" s="180"/>
      <c r="LXZ2" s="180"/>
      <c r="LYA2" s="180"/>
      <c r="LYB2" s="180"/>
      <c r="LYC2" s="180"/>
      <c r="LYD2" s="180"/>
      <c r="LYE2" s="180"/>
      <c r="LYF2" s="180"/>
      <c r="LYG2" s="180"/>
      <c r="LYH2" s="180"/>
      <c r="LYI2" s="180"/>
      <c r="LYJ2" s="180"/>
      <c r="LYK2" s="180"/>
      <c r="LYL2" s="180"/>
      <c r="LYM2" s="180"/>
      <c r="LYN2" s="180"/>
      <c r="LYO2" s="180"/>
      <c r="LYP2" s="180"/>
      <c r="LYQ2" s="180"/>
      <c r="LYR2" s="180"/>
      <c r="LYS2" s="180"/>
      <c r="LYT2" s="180"/>
      <c r="LYU2" s="180"/>
      <c r="LYV2" s="180"/>
      <c r="LYW2" s="180"/>
      <c r="LYX2" s="180"/>
      <c r="LYY2" s="180"/>
      <c r="LYZ2" s="180"/>
      <c r="LZA2" s="180"/>
      <c r="LZB2" s="180"/>
      <c r="LZC2" s="180"/>
      <c r="LZD2" s="180"/>
      <c r="LZE2" s="180"/>
      <c r="LZF2" s="180"/>
      <c r="LZG2" s="180"/>
      <c r="LZH2" s="180"/>
      <c r="LZI2" s="180"/>
      <c r="LZJ2" s="180"/>
      <c r="LZK2" s="180"/>
      <c r="LZL2" s="180"/>
      <c r="LZM2" s="180"/>
      <c r="LZN2" s="180"/>
      <c r="LZO2" s="180"/>
      <c r="LZP2" s="180"/>
      <c r="LZQ2" s="180"/>
      <c r="LZR2" s="180"/>
      <c r="LZS2" s="180"/>
      <c r="LZT2" s="180"/>
      <c r="LZU2" s="180"/>
      <c r="LZV2" s="180"/>
      <c r="LZW2" s="180"/>
      <c r="LZX2" s="180"/>
      <c r="LZY2" s="180"/>
      <c r="LZZ2" s="180"/>
      <c r="MAA2" s="180"/>
      <c r="MAB2" s="180"/>
      <c r="MAC2" s="180"/>
      <c r="MAD2" s="180"/>
      <c r="MAE2" s="180"/>
      <c r="MAF2" s="180"/>
      <c r="MAG2" s="180"/>
      <c r="MAH2" s="180"/>
      <c r="MAI2" s="180"/>
      <c r="MAJ2" s="180"/>
      <c r="MAK2" s="180"/>
      <c r="MAL2" s="180"/>
      <c r="MAM2" s="180"/>
      <c r="MAN2" s="180"/>
      <c r="MAO2" s="180"/>
      <c r="MAP2" s="180"/>
      <c r="MAQ2" s="180"/>
      <c r="MAR2" s="180"/>
      <c r="MAS2" s="180"/>
      <c r="MAT2" s="180"/>
      <c r="MAU2" s="180"/>
      <c r="MAV2" s="180"/>
      <c r="MAW2" s="180"/>
      <c r="MAX2" s="180"/>
      <c r="MAY2" s="180"/>
      <c r="MAZ2" s="180"/>
      <c r="MBA2" s="180"/>
      <c r="MBB2" s="180"/>
      <c r="MBC2" s="180"/>
      <c r="MBD2" s="180"/>
      <c r="MBE2" s="180"/>
      <c r="MBF2" s="180"/>
      <c r="MBG2" s="180"/>
      <c r="MBH2" s="180"/>
      <c r="MBI2" s="180"/>
      <c r="MBJ2" s="180"/>
      <c r="MBK2" s="180"/>
      <c r="MBL2" s="180"/>
      <c r="MBM2" s="180"/>
      <c r="MBN2" s="180"/>
      <c r="MBO2" s="180"/>
      <c r="MBP2" s="180"/>
      <c r="MBQ2" s="180"/>
      <c r="MBR2" s="180"/>
      <c r="MBS2" s="180"/>
      <c r="MBT2" s="180"/>
      <c r="MBU2" s="180"/>
      <c r="MBV2" s="180"/>
      <c r="MBW2" s="180"/>
      <c r="MBX2" s="180"/>
      <c r="MBY2" s="180"/>
      <c r="MBZ2" s="180"/>
      <c r="MCA2" s="180"/>
      <c r="MCB2" s="180"/>
      <c r="MCC2" s="180"/>
      <c r="MCD2" s="180"/>
      <c r="MCE2" s="180"/>
      <c r="MCF2" s="180"/>
      <c r="MCG2" s="180"/>
      <c r="MCH2" s="180"/>
      <c r="MCI2" s="180"/>
      <c r="MCJ2" s="180"/>
      <c r="MCK2" s="180"/>
      <c r="MCL2" s="180"/>
      <c r="MCM2" s="180"/>
      <c r="MCN2" s="180"/>
      <c r="MCO2" s="180"/>
      <c r="MCP2" s="180"/>
      <c r="MCQ2" s="180"/>
      <c r="MCR2" s="180"/>
      <c r="MCS2" s="180"/>
      <c r="MCT2" s="180"/>
      <c r="MCU2" s="180"/>
      <c r="MCV2" s="180"/>
      <c r="MCW2" s="180"/>
      <c r="MCX2" s="180"/>
      <c r="MCY2" s="180"/>
      <c r="MCZ2" s="180"/>
      <c r="MDA2" s="180"/>
      <c r="MDB2" s="180"/>
      <c r="MDC2" s="180"/>
      <c r="MDD2" s="180"/>
      <c r="MDE2" s="180"/>
      <c r="MDF2" s="180"/>
      <c r="MDG2" s="180"/>
      <c r="MDH2" s="180"/>
      <c r="MDI2" s="180"/>
      <c r="MDJ2" s="180"/>
      <c r="MDK2" s="180"/>
      <c r="MDL2" s="180"/>
      <c r="MDM2" s="180"/>
      <c r="MDN2" s="180"/>
      <c r="MDO2" s="180"/>
      <c r="MDP2" s="180"/>
      <c r="MDQ2" s="180"/>
      <c r="MDR2" s="180"/>
      <c r="MDS2" s="180"/>
      <c r="MDT2" s="180"/>
      <c r="MDU2" s="180"/>
      <c r="MDV2" s="180"/>
      <c r="MDW2" s="180"/>
      <c r="MDX2" s="180"/>
      <c r="MDY2" s="180"/>
      <c r="MDZ2" s="180"/>
      <c r="MEA2" s="180"/>
      <c r="MEB2" s="180"/>
      <c r="MEC2" s="180"/>
      <c r="MED2" s="180"/>
      <c r="MEE2" s="180"/>
      <c r="MEF2" s="180"/>
      <c r="MEG2" s="180"/>
      <c r="MEH2" s="180"/>
      <c r="MEI2" s="180"/>
      <c r="MEJ2" s="180"/>
      <c r="MEK2" s="180"/>
      <c r="MEL2" s="180"/>
      <c r="MEM2" s="180"/>
      <c r="MEN2" s="180"/>
      <c r="MEO2" s="180"/>
      <c r="MEP2" s="180"/>
      <c r="MEQ2" s="180"/>
      <c r="MER2" s="180"/>
      <c r="MES2" s="180"/>
      <c r="MET2" s="180"/>
      <c r="MEU2" s="180"/>
      <c r="MEV2" s="180"/>
      <c r="MEW2" s="180"/>
      <c r="MEX2" s="180"/>
      <c r="MEY2" s="180"/>
      <c r="MEZ2" s="180"/>
      <c r="MFA2" s="180"/>
      <c r="MFB2" s="180"/>
      <c r="MFC2" s="180"/>
      <c r="MFD2" s="180"/>
      <c r="MFE2" s="180"/>
      <c r="MFF2" s="180"/>
      <c r="MFG2" s="180"/>
      <c r="MFH2" s="180"/>
      <c r="MFI2" s="180"/>
      <c r="MFJ2" s="180"/>
      <c r="MFK2" s="180"/>
      <c r="MFL2" s="180"/>
      <c r="MFM2" s="180"/>
      <c r="MFN2" s="180"/>
      <c r="MFO2" s="180"/>
      <c r="MFP2" s="180"/>
      <c r="MFQ2" s="180"/>
      <c r="MFR2" s="180"/>
      <c r="MFS2" s="180"/>
      <c r="MFT2" s="180"/>
      <c r="MFU2" s="180"/>
      <c r="MFV2" s="180"/>
      <c r="MFW2" s="180"/>
      <c r="MFX2" s="180"/>
      <c r="MFY2" s="180"/>
      <c r="MFZ2" s="180"/>
      <c r="MGA2" s="180"/>
      <c r="MGB2" s="180"/>
      <c r="MGC2" s="180"/>
      <c r="MGD2" s="180"/>
      <c r="MGE2" s="180"/>
      <c r="MGF2" s="180"/>
      <c r="MGG2" s="180"/>
      <c r="MGH2" s="180"/>
      <c r="MGI2" s="180"/>
      <c r="MGJ2" s="180"/>
      <c r="MGK2" s="180"/>
      <c r="MGL2" s="180"/>
      <c r="MGM2" s="180"/>
      <c r="MGN2" s="180"/>
      <c r="MGO2" s="180"/>
      <c r="MGP2" s="180"/>
      <c r="MGQ2" s="180"/>
      <c r="MGR2" s="180"/>
      <c r="MGS2" s="180"/>
      <c r="MGT2" s="180"/>
      <c r="MGU2" s="180"/>
      <c r="MGV2" s="180"/>
      <c r="MGW2" s="180"/>
      <c r="MGX2" s="180"/>
      <c r="MGY2" s="180"/>
      <c r="MGZ2" s="180"/>
      <c r="MHA2" s="180"/>
      <c r="MHB2" s="180"/>
      <c r="MHC2" s="180"/>
      <c r="MHD2" s="180"/>
      <c r="MHE2" s="180"/>
      <c r="MHF2" s="180"/>
      <c r="MHG2" s="180"/>
      <c r="MHH2" s="180"/>
      <c r="MHI2" s="180"/>
      <c r="MHJ2" s="180"/>
      <c r="MHK2" s="180"/>
      <c r="MHL2" s="180"/>
      <c r="MHM2" s="180"/>
      <c r="MHN2" s="180"/>
      <c r="MHO2" s="180"/>
      <c r="MHP2" s="180"/>
      <c r="MHQ2" s="180"/>
      <c r="MHR2" s="180"/>
      <c r="MHS2" s="180"/>
      <c r="MHT2" s="180"/>
      <c r="MHU2" s="180"/>
      <c r="MHV2" s="180"/>
      <c r="MHW2" s="180"/>
      <c r="MHX2" s="180"/>
      <c r="MHY2" s="180"/>
      <c r="MHZ2" s="180"/>
      <c r="MIA2" s="180"/>
      <c r="MIB2" s="180"/>
      <c r="MIC2" s="180"/>
      <c r="MID2" s="180"/>
      <c r="MIE2" s="180"/>
      <c r="MIF2" s="180"/>
      <c r="MIG2" s="180"/>
      <c r="MIH2" s="180"/>
      <c r="MII2" s="180"/>
      <c r="MIJ2" s="180"/>
      <c r="MIK2" s="180"/>
      <c r="MIL2" s="180"/>
      <c r="MIM2" s="180"/>
      <c r="MIN2" s="180"/>
      <c r="MIO2" s="180"/>
      <c r="MIP2" s="180"/>
      <c r="MIQ2" s="180"/>
      <c r="MIR2" s="180"/>
      <c r="MIS2" s="180"/>
      <c r="MIT2" s="180"/>
      <c r="MIU2" s="180"/>
      <c r="MIV2" s="180"/>
      <c r="MIW2" s="180"/>
      <c r="MIX2" s="180"/>
      <c r="MIY2" s="180"/>
      <c r="MIZ2" s="180"/>
      <c r="MJA2" s="180"/>
      <c r="MJB2" s="180"/>
      <c r="MJC2" s="180"/>
      <c r="MJD2" s="180"/>
      <c r="MJE2" s="180"/>
      <c r="MJF2" s="180"/>
      <c r="MJG2" s="180"/>
      <c r="MJH2" s="180"/>
      <c r="MJI2" s="180"/>
      <c r="MJJ2" s="180"/>
      <c r="MJK2" s="180"/>
      <c r="MJL2" s="180"/>
      <c r="MJM2" s="180"/>
      <c r="MJN2" s="180"/>
      <c r="MJO2" s="180"/>
      <c r="MJP2" s="180"/>
      <c r="MJQ2" s="180"/>
      <c r="MJR2" s="180"/>
      <c r="MJS2" s="180"/>
      <c r="MJT2" s="180"/>
      <c r="MJU2" s="180"/>
      <c r="MJV2" s="180"/>
      <c r="MJW2" s="180"/>
      <c r="MJX2" s="180"/>
      <c r="MJY2" s="180"/>
      <c r="MJZ2" s="180"/>
      <c r="MKA2" s="180"/>
      <c r="MKB2" s="180"/>
      <c r="MKC2" s="180"/>
      <c r="MKD2" s="180"/>
      <c r="MKE2" s="180"/>
      <c r="MKF2" s="180"/>
      <c r="MKG2" s="180"/>
      <c r="MKH2" s="180"/>
      <c r="MKI2" s="180"/>
      <c r="MKJ2" s="180"/>
      <c r="MKK2" s="180"/>
      <c r="MKL2" s="180"/>
      <c r="MKM2" s="180"/>
      <c r="MKN2" s="180"/>
      <c r="MKO2" s="180"/>
      <c r="MKP2" s="180"/>
      <c r="MKQ2" s="180"/>
      <c r="MKR2" s="180"/>
      <c r="MKS2" s="180"/>
      <c r="MKT2" s="180"/>
      <c r="MKU2" s="180"/>
      <c r="MKV2" s="180"/>
      <c r="MKW2" s="180"/>
      <c r="MKX2" s="180"/>
      <c r="MKY2" s="180"/>
      <c r="MKZ2" s="180"/>
      <c r="MLA2" s="180"/>
      <c r="MLB2" s="180"/>
      <c r="MLC2" s="180"/>
      <c r="MLD2" s="180"/>
      <c r="MLE2" s="180"/>
      <c r="MLF2" s="180"/>
      <c r="MLG2" s="180"/>
      <c r="MLH2" s="180"/>
      <c r="MLI2" s="180"/>
      <c r="MLJ2" s="180"/>
      <c r="MLK2" s="180"/>
      <c r="MLL2" s="180"/>
      <c r="MLM2" s="180"/>
      <c r="MLN2" s="180"/>
      <c r="MLO2" s="180"/>
      <c r="MLP2" s="180"/>
      <c r="MLQ2" s="180"/>
      <c r="MLR2" s="180"/>
      <c r="MLS2" s="180"/>
      <c r="MLT2" s="180"/>
      <c r="MLU2" s="180"/>
      <c r="MLV2" s="180"/>
      <c r="MLW2" s="180"/>
      <c r="MLX2" s="180"/>
      <c r="MLY2" s="180"/>
      <c r="MLZ2" s="180"/>
      <c r="MMA2" s="180"/>
      <c r="MMB2" s="180"/>
      <c r="MMC2" s="180"/>
      <c r="MMD2" s="180"/>
      <c r="MME2" s="180"/>
      <c r="MMF2" s="180"/>
      <c r="MMG2" s="180"/>
      <c r="MMH2" s="180"/>
      <c r="MMI2" s="180"/>
      <c r="MMJ2" s="180"/>
      <c r="MMK2" s="180"/>
      <c r="MML2" s="180"/>
      <c r="MMM2" s="180"/>
      <c r="MMN2" s="180"/>
      <c r="MMO2" s="180"/>
      <c r="MMP2" s="180"/>
      <c r="MMQ2" s="180"/>
      <c r="MMR2" s="180"/>
      <c r="MMS2" s="180"/>
      <c r="MMT2" s="180"/>
      <c r="MMU2" s="180"/>
      <c r="MMV2" s="180"/>
      <c r="MMW2" s="180"/>
      <c r="MMX2" s="180"/>
      <c r="MMY2" s="180"/>
      <c r="MMZ2" s="180"/>
      <c r="MNA2" s="180"/>
      <c r="MNB2" s="180"/>
      <c r="MNC2" s="180"/>
      <c r="MND2" s="180"/>
      <c r="MNE2" s="180"/>
      <c r="MNF2" s="180"/>
      <c r="MNG2" s="180"/>
      <c r="MNH2" s="180"/>
      <c r="MNI2" s="180"/>
      <c r="MNJ2" s="180"/>
      <c r="MNK2" s="180"/>
      <c r="MNL2" s="180"/>
      <c r="MNM2" s="180"/>
      <c r="MNN2" s="180"/>
      <c r="MNO2" s="180"/>
      <c r="MNP2" s="180"/>
      <c r="MNQ2" s="180"/>
      <c r="MNR2" s="180"/>
      <c r="MNS2" s="180"/>
      <c r="MNT2" s="180"/>
      <c r="MNU2" s="180"/>
      <c r="MNV2" s="180"/>
      <c r="MNW2" s="180"/>
      <c r="MNX2" s="180"/>
      <c r="MNY2" s="180"/>
      <c r="MNZ2" s="180"/>
      <c r="MOA2" s="180"/>
      <c r="MOB2" s="180"/>
      <c r="MOC2" s="180"/>
      <c r="MOD2" s="180"/>
      <c r="MOE2" s="180"/>
      <c r="MOF2" s="180"/>
      <c r="MOG2" s="180"/>
      <c r="MOH2" s="180"/>
      <c r="MOI2" s="180"/>
      <c r="MOJ2" s="180"/>
      <c r="MOK2" s="180"/>
      <c r="MOL2" s="180"/>
      <c r="MOM2" s="180"/>
      <c r="MON2" s="180"/>
      <c r="MOO2" s="180"/>
      <c r="MOP2" s="180"/>
      <c r="MOQ2" s="180"/>
      <c r="MOR2" s="180"/>
      <c r="MOS2" s="180"/>
      <c r="MOT2" s="180"/>
      <c r="MOU2" s="180"/>
      <c r="MOV2" s="180"/>
      <c r="MOW2" s="180"/>
      <c r="MOX2" s="180"/>
      <c r="MOY2" s="180"/>
      <c r="MOZ2" s="180"/>
      <c r="MPA2" s="180"/>
      <c r="MPB2" s="180"/>
      <c r="MPC2" s="180"/>
      <c r="MPD2" s="180"/>
      <c r="MPE2" s="180"/>
      <c r="MPF2" s="180"/>
      <c r="MPG2" s="180"/>
      <c r="MPH2" s="180"/>
      <c r="MPI2" s="180"/>
      <c r="MPJ2" s="180"/>
      <c r="MPK2" s="180"/>
      <c r="MPL2" s="180"/>
      <c r="MPM2" s="180"/>
      <c r="MPN2" s="180"/>
      <c r="MPO2" s="180"/>
      <c r="MPP2" s="180"/>
      <c r="MPQ2" s="180"/>
      <c r="MPR2" s="180"/>
      <c r="MPS2" s="180"/>
      <c r="MPT2" s="180"/>
      <c r="MPU2" s="180"/>
      <c r="MPV2" s="180"/>
      <c r="MPW2" s="180"/>
      <c r="MPX2" s="180"/>
      <c r="MPY2" s="180"/>
      <c r="MPZ2" s="180"/>
      <c r="MQA2" s="180"/>
      <c r="MQB2" s="180"/>
      <c r="MQC2" s="180"/>
      <c r="MQD2" s="180"/>
      <c r="MQE2" s="180"/>
      <c r="MQF2" s="180"/>
      <c r="MQG2" s="180"/>
      <c r="MQH2" s="180"/>
      <c r="MQI2" s="180"/>
      <c r="MQJ2" s="180"/>
      <c r="MQK2" s="180"/>
      <c r="MQL2" s="180"/>
      <c r="MQM2" s="180"/>
      <c r="MQN2" s="180"/>
      <c r="MQO2" s="180"/>
      <c r="MQP2" s="180"/>
      <c r="MQQ2" s="180"/>
      <c r="MQR2" s="180"/>
      <c r="MQS2" s="180"/>
      <c r="MQT2" s="180"/>
      <c r="MQU2" s="180"/>
      <c r="MQV2" s="180"/>
      <c r="MQW2" s="180"/>
      <c r="MQX2" s="180"/>
      <c r="MQY2" s="180"/>
      <c r="MQZ2" s="180"/>
      <c r="MRA2" s="180"/>
      <c r="MRB2" s="180"/>
      <c r="MRC2" s="180"/>
      <c r="MRD2" s="180"/>
      <c r="MRE2" s="180"/>
      <c r="MRF2" s="180"/>
      <c r="MRG2" s="180"/>
      <c r="MRH2" s="180"/>
      <c r="MRI2" s="180"/>
      <c r="MRJ2" s="180"/>
      <c r="MRK2" s="180"/>
      <c r="MRL2" s="180"/>
      <c r="MRM2" s="180"/>
      <c r="MRN2" s="180"/>
      <c r="MRO2" s="180"/>
      <c r="MRP2" s="180"/>
      <c r="MRQ2" s="180"/>
      <c r="MRR2" s="180"/>
      <c r="MRS2" s="180"/>
      <c r="MRT2" s="180"/>
      <c r="MRU2" s="180"/>
      <c r="MRV2" s="180"/>
      <c r="MRW2" s="180"/>
      <c r="MRX2" s="180"/>
      <c r="MRY2" s="180"/>
      <c r="MRZ2" s="180"/>
      <c r="MSA2" s="180"/>
      <c r="MSB2" s="180"/>
      <c r="MSC2" s="180"/>
      <c r="MSD2" s="180"/>
      <c r="MSE2" s="180"/>
      <c r="MSF2" s="180"/>
      <c r="MSG2" s="180"/>
      <c r="MSH2" s="180"/>
      <c r="MSI2" s="180"/>
      <c r="MSJ2" s="180"/>
      <c r="MSK2" s="180"/>
      <c r="MSL2" s="180"/>
      <c r="MSM2" s="180"/>
      <c r="MSN2" s="180"/>
      <c r="MSO2" s="180"/>
      <c r="MSP2" s="180"/>
      <c r="MSQ2" s="180"/>
      <c r="MSR2" s="180"/>
      <c r="MSS2" s="180"/>
      <c r="MST2" s="180"/>
      <c r="MSU2" s="180"/>
      <c r="MSV2" s="180"/>
      <c r="MSW2" s="180"/>
      <c r="MSX2" s="180"/>
      <c r="MSY2" s="180"/>
      <c r="MSZ2" s="180"/>
      <c r="MTA2" s="180"/>
      <c r="MTB2" s="180"/>
      <c r="MTC2" s="180"/>
      <c r="MTD2" s="180"/>
      <c r="MTE2" s="180"/>
      <c r="MTF2" s="180"/>
      <c r="MTG2" s="180"/>
      <c r="MTH2" s="180"/>
      <c r="MTI2" s="180"/>
      <c r="MTJ2" s="180"/>
      <c r="MTK2" s="180"/>
      <c r="MTL2" s="180"/>
      <c r="MTM2" s="180"/>
      <c r="MTN2" s="180"/>
      <c r="MTO2" s="180"/>
      <c r="MTP2" s="180"/>
      <c r="MTQ2" s="180"/>
      <c r="MTR2" s="180"/>
      <c r="MTS2" s="180"/>
      <c r="MTT2" s="180"/>
      <c r="MTU2" s="180"/>
      <c r="MTV2" s="180"/>
      <c r="MTW2" s="180"/>
      <c r="MTX2" s="180"/>
      <c r="MTY2" s="180"/>
      <c r="MTZ2" s="180"/>
      <c r="MUA2" s="180"/>
      <c r="MUB2" s="180"/>
      <c r="MUC2" s="180"/>
      <c r="MUD2" s="180"/>
      <c r="MUE2" s="180"/>
      <c r="MUF2" s="180"/>
      <c r="MUG2" s="180"/>
      <c r="MUH2" s="180"/>
      <c r="MUI2" s="180"/>
      <c r="MUJ2" s="180"/>
      <c r="MUK2" s="180"/>
      <c r="MUL2" s="180"/>
      <c r="MUM2" s="180"/>
      <c r="MUN2" s="180"/>
      <c r="MUO2" s="180"/>
      <c r="MUP2" s="180"/>
      <c r="MUQ2" s="180"/>
      <c r="MUR2" s="180"/>
      <c r="MUS2" s="180"/>
      <c r="MUT2" s="180"/>
      <c r="MUU2" s="180"/>
      <c r="MUV2" s="180"/>
      <c r="MUW2" s="180"/>
      <c r="MUX2" s="180"/>
      <c r="MUY2" s="180"/>
      <c r="MUZ2" s="180"/>
      <c r="MVA2" s="180"/>
      <c r="MVB2" s="180"/>
      <c r="MVC2" s="180"/>
      <c r="MVD2" s="180"/>
      <c r="MVE2" s="180"/>
      <c r="MVF2" s="180"/>
      <c r="MVG2" s="180"/>
      <c r="MVH2" s="180"/>
      <c r="MVI2" s="180"/>
      <c r="MVJ2" s="180"/>
      <c r="MVK2" s="180"/>
      <c r="MVL2" s="180"/>
      <c r="MVM2" s="180"/>
      <c r="MVN2" s="180"/>
      <c r="MVO2" s="180"/>
      <c r="MVP2" s="180"/>
      <c r="MVQ2" s="180"/>
      <c r="MVR2" s="180"/>
      <c r="MVS2" s="180"/>
      <c r="MVT2" s="180"/>
      <c r="MVU2" s="180"/>
      <c r="MVV2" s="180"/>
      <c r="MVW2" s="180"/>
      <c r="MVX2" s="180"/>
      <c r="MVY2" s="180"/>
      <c r="MVZ2" s="180"/>
      <c r="MWA2" s="180"/>
      <c r="MWB2" s="180"/>
      <c r="MWC2" s="180"/>
      <c r="MWD2" s="180"/>
      <c r="MWE2" s="180"/>
      <c r="MWF2" s="180"/>
      <c r="MWG2" s="180"/>
      <c r="MWH2" s="180"/>
      <c r="MWI2" s="180"/>
      <c r="MWJ2" s="180"/>
      <c r="MWK2" s="180"/>
      <c r="MWL2" s="180"/>
      <c r="MWM2" s="180"/>
      <c r="MWN2" s="180"/>
      <c r="MWO2" s="180"/>
      <c r="MWP2" s="180"/>
      <c r="MWQ2" s="180"/>
      <c r="MWR2" s="180"/>
      <c r="MWS2" s="180"/>
      <c r="MWT2" s="180"/>
      <c r="MWU2" s="180"/>
      <c r="MWV2" s="180"/>
      <c r="MWW2" s="180"/>
      <c r="MWX2" s="180"/>
      <c r="MWY2" s="180"/>
      <c r="MWZ2" s="180"/>
      <c r="MXA2" s="180"/>
      <c r="MXB2" s="180"/>
      <c r="MXC2" s="180"/>
      <c r="MXD2" s="180"/>
      <c r="MXE2" s="180"/>
      <c r="MXF2" s="180"/>
      <c r="MXG2" s="180"/>
      <c r="MXH2" s="180"/>
      <c r="MXI2" s="180"/>
      <c r="MXJ2" s="180"/>
      <c r="MXK2" s="180"/>
      <c r="MXL2" s="180"/>
      <c r="MXM2" s="180"/>
      <c r="MXN2" s="180"/>
      <c r="MXO2" s="180"/>
      <c r="MXP2" s="180"/>
      <c r="MXQ2" s="180"/>
      <c r="MXR2" s="180"/>
      <c r="MXS2" s="180"/>
      <c r="MXT2" s="180"/>
      <c r="MXU2" s="180"/>
      <c r="MXV2" s="180"/>
      <c r="MXW2" s="180"/>
      <c r="MXX2" s="180"/>
      <c r="MXY2" s="180"/>
      <c r="MXZ2" s="180"/>
      <c r="MYA2" s="180"/>
      <c r="MYB2" s="180"/>
      <c r="MYC2" s="180"/>
      <c r="MYD2" s="180"/>
      <c r="MYE2" s="180"/>
      <c r="MYF2" s="180"/>
      <c r="MYG2" s="180"/>
      <c r="MYH2" s="180"/>
      <c r="MYI2" s="180"/>
      <c r="MYJ2" s="180"/>
      <c r="MYK2" s="180"/>
      <c r="MYL2" s="180"/>
      <c r="MYM2" s="180"/>
      <c r="MYN2" s="180"/>
      <c r="MYO2" s="180"/>
      <c r="MYP2" s="180"/>
      <c r="MYQ2" s="180"/>
      <c r="MYR2" s="180"/>
      <c r="MYS2" s="180"/>
      <c r="MYT2" s="180"/>
      <c r="MYU2" s="180"/>
      <c r="MYV2" s="180"/>
      <c r="MYW2" s="180"/>
      <c r="MYX2" s="180"/>
      <c r="MYY2" s="180"/>
      <c r="MYZ2" s="180"/>
      <c r="MZA2" s="180"/>
      <c r="MZB2" s="180"/>
      <c r="MZC2" s="180"/>
      <c r="MZD2" s="180"/>
      <c r="MZE2" s="180"/>
      <c r="MZF2" s="180"/>
      <c r="MZG2" s="180"/>
      <c r="MZH2" s="180"/>
      <c r="MZI2" s="180"/>
      <c r="MZJ2" s="180"/>
      <c r="MZK2" s="180"/>
      <c r="MZL2" s="180"/>
      <c r="MZM2" s="180"/>
      <c r="MZN2" s="180"/>
      <c r="MZO2" s="180"/>
      <c r="MZP2" s="180"/>
      <c r="MZQ2" s="180"/>
      <c r="MZR2" s="180"/>
      <c r="MZS2" s="180"/>
      <c r="MZT2" s="180"/>
      <c r="MZU2" s="180"/>
      <c r="MZV2" s="180"/>
      <c r="MZW2" s="180"/>
      <c r="MZX2" s="180"/>
      <c r="MZY2" s="180"/>
      <c r="MZZ2" s="180"/>
      <c r="NAA2" s="180"/>
      <c r="NAB2" s="180"/>
      <c r="NAC2" s="180"/>
      <c r="NAD2" s="180"/>
      <c r="NAE2" s="180"/>
      <c r="NAF2" s="180"/>
      <c r="NAG2" s="180"/>
      <c r="NAH2" s="180"/>
      <c r="NAI2" s="180"/>
      <c r="NAJ2" s="180"/>
      <c r="NAK2" s="180"/>
      <c r="NAL2" s="180"/>
      <c r="NAM2" s="180"/>
      <c r="NAN2" s="180"/>
      <c r="NAO2" s="180"/>
      <c r="NAP2" s="180"/>
      <c r="NAQ2" s="180"/>
      <c r="NAR2" s="180"/>
      <c r="NAS2" s="180"/>
      <c r="NAT2" s="180"/>
      <c r="NAU2" s="180"/>
      <c r="NAV2" s="180"/>
      <c r="NAW2" s="180"/>
      <c r="NAX2" s="180"/>
      <c r="NAY2" s="180"/>
      <c r="NAZ2" s="180"/>
      <c r="NBA2" s="180"/>
      <c r="NBB2" s="180"/>
      <c r="NBC2" s="180"/>
      <c r="NBD2" s="180"/>
      <c r="NBE2" s="180"/>
      <c r="NBF2" s="180"/>
      <c r="NBG2" s="180"/>
      <c r="NBH2" s="180"/>
      <c r="NBI2" s="180"/>
      <c r="NBJ2" s="180"/>
      <c r="NBK2" s="180"/>
      <c r="NBL2" s="180"/>
      <c r="NBM2" s="180"/>
      <c r="NBN2" s="180"/>
      <c r="NBO2" s="180"/>
      <c r="NBP2" s="180"/>
      <c r="NBQ2" s="180"/>
      <c r="NBR2" s="180"/>
      <c r="NBS2" s="180"/>
      <c r="NBT2" s="180"/>
      <c r="NBU2" s="180"/>
      <c r="NBV2" s="180"/>
      <c r="NBW2" s="180"/>
      <c r="NBX2" s="180"/>
      <c r="NBY2" s="180"/>
      <c r="NBZ2" s="180"/>
      <c r="NCA2" s="180"/>
      <c r="NCB2" s="180"/>
      <c r="NCC2" s="180"/>
      <c r="NCD2" s="180"/>
      <c r="NCE2" s="180"/>
      <c r="NCF2" s="180"/>
      <c r="NCG2" s="180"/>
      <c r="NCH2" s="180"/>
      <c r="NCI2" s="180"/>
      <c r="NCJ2" s="180"/>
      <c r="NCK2" s="180"/>
      <c r="NCL2" s="180"/>
      <c r="NCM2" s="180"/>
      <c r="NCN2" s="180"/>
      <c r="NCO2" s="180"/>
      <c r="NCP2" s="180"/>
      <c r="NCQ2" s="180"/>
      <c r="NCR2" s="180"/>
      <c r="NCS2" s="180"/>
      <c r="NCT2" s="180"/>
      <c r="NCU2" s="180"/>
      <c r="NCV2" s="180"/>
      <c r="NCW2" s="180"/>
      <c r="NCX2" s="180"/>
      <c r="NCY2" s="180"/>
      <c r="NCZ2" s="180"/>
      <c r="NDA2" s="180"/>
      <c r="NDB2" s="180"/>
      <c r="NDC2" s="180"/>
      <c r="NDD2" s="180"/>
      <c r="NDE2" s="180"/>
      <c r="NDF2" s="180"/>
      <c r="NDG2" s="180"/>
      <c r="NDH2" s="180"/>
      <c r="NDI2" s="180"/>
      <c r="NDJ2" s="180"/>
      <c r="NDK2" s="180"/>
      <c r="NDL2" s="180"/>
      <c r="NDM2" s="180"/>
      <c r="NDN2" s="180"/>
      <c r="NDO2" s="180"/>
      <c r="NDP2" s="180"/>
      <c r="NDQ2" s="180"/>
      <c r="NDR2" s="180"/>
      <c r="NDS2" s="180"/>
      <c r="NDT2" s="180"/>
      <c r="NDU2" s="180"/>
      <c r="NDV2" s="180"/>
      <c r="NDW2" s="180"/>
      <c r="NDX2" s="180"/>
      <c r="NDY2" s="180"/>
      <c r="NDZ2" s="180"/>
      <c r="NEA2" s="180"/>
      <c r="NEB2" s="180"/>
      <c r="NEC2" s="180"/>
      <c r="NED2" s="180"/>
      <c r="NEE2" s="180"/>
      <c r="NEF2" s="180"/>
      <c r="NEG2" s="180"/>
      <c r="NEH2" s="180"/>
      <c r="NEI2" s="180"/>
      <c r="NEJ2" s="180"/>
      <c r="NEK2" s="180"/>
      <c r="NEL2" s="180"/>
      <c r="NEM2" s="180"/>
      <c r="NEN2" s="180"/>
      <c r="NEO2" s="180"/>
      <c r="NEP2" s="180"/>
      <c r="NEQ2" s="180"/>
      <c r="NER2" s="180"/>
      <c r="NES2" s="180"/>
      <c r="NET2" s="180"/>
      <c r="NEU2" s="180"/>
      <c r="NEV2" s="180"/>
      <c r="NEW2" s="180"/>
      <c r="NEX2" s="180"/>
      <c r="NEY2" s="180"/>
      <c r="NEZ2" s="180"/>
      <c r="NFA2" s="180"/>
      <c r="NFB2" s="180"/>
      <c r="NFC2" s="180"/>
      <c r="NFD2" s="180"/>
      <c r="NFE2" s="180"/>
      <c r="NFF2" s="180"/>
      <c r="NFG2" s="180"/>
      <c r="NFH2" s="180"/>
      <c r="NFI2" s="180"/>
      <c r="NFJ2" s="180"/>
      <c r="NFK2" s="180"/>
      <c r="NFL2" s="180"/>
      <c r="NFM2" s="180"/>
      <c r="NFN2" s="180"/>
      <c r="NFO2" s="180"/>
      <c r="NFP2" s="180"/>
      <c r="NFQ2" s="180"/>
      <c r="NFR2" s="180"/>
      <c r="NFS2" s="180"/>
      <c r="NFT2" s="180"/>
      <c r="NFU2" s="180"/>
      <c r="NFV2" s="180"/>
      <c r="NFW2" s="180"/>
      <c r="NFX2" s="180"/>
      <c r="NFY2" s="180"/>
      <c r="NFZ2" s="180"/>
      <c r="NGA2" s="180"/>
      <c r="NGB2" s="180"/>
      <c r="NGC2" s="180"/>
      <c r="NGD2" s="180"/>
      <c r="NGE2" s="180"/>
      <c r="NGF2" s="180"/>
      <c r="NGG2" s="180"/>
      <c r="NGH2" s="180"/>
      <c r="NGI2" s="180"/>
      <c r="NGJ2" s="180"/>
      <c r="NGK2" s="180"/>
      <c r="NGL2" s="180"/>
      <c r="NGM2" s="180"/>
      <c r="NGN2" s="180"/>
      <c r="NGO2" s="180"/>
      <c r="NGP2" s="180"/>
      <c r="NGQ2" s="180"/>
      <c r="NGR2" s="180"/>
      <c r="NGS2" s="180"/>
      <c r="NGT2" s="180"/>
      <c r="NGU2" s="180"/>
      <c r="NGV2" s="180"/>
      <c r="NGW2" s="180"/>
      <c r="NGX2" s="180"/>
      <c r="NGY2" s="180"/>
      <c r="NGZ2" s="180"/>
      <c r="NHA2" s="180"/>
      <c r="NHB2" s="180"/>
      <c r="NHC2" s="180"/>
      <c r="NHD2" s="180"/>
      <c r="NHE2" s="180"/>
      <c r="NHF2" s="180"/>
      <c r="NHG2" s="180"/>
      <c r="NHH2" s="180"/>
      <c r="NHI2" s="180"/>
      <c r="NHJ2" s="180"/>
      <c r="NHK2" s="180"/>
      <c r="NHL2" s="180"/>
      <c r="NHM2" s="180"/>
      <c r="NHN2" s="180"/>
      <c r="NHO2" s="180"/>
      <c r="NHP2" s="180"/>
      <c r="NHQ2" s="180"/>
      <c r="NHR2" s="180"/>
      <c r="NHS2" s="180"/>
      <c r="NHT2" s="180"/>
      <c r="NHU2" s="180"/>
      <c r="NHV2" s="180"/>
      <c r="NHW2" s="180"/>
      <c r="NHX2" s="180"/>
      <c r="NHY2" s="180"/>
      <c r="NHZ2" s="180"/>
      <c r="NIA2" s="180"/>
      <c r="NIB2" s="180"/>
      <c r="NIC2" s="180"/>
      <c r="NID2" s="180"/>
      <c r="NIE2" s="180"/>
      <c r="NIF2" s="180"/>
      <c r="NIG2" s="180"/>
      <c r="NIH2" s="180"/>
      <c r="NII2" s="180"/>
      <c r="NIJ2" s="180"/>
      <c r="NIK2" s="180"/>
      <c r="NIL2" s="180"/>
      <c r="NIM2" s="180"/>
      <c r="NIN2" s="180"/>
      <c r="NIO2" s="180"/>
      <c r="NIP2" s="180"/>
      <c r="NIQ2" s="180"/>
      <c r="NIR2" s="180"/>
      <c r="NIS2" s="180"/>
      <c r="NIT2" s="180"/>
      <c r="NIU2" s="180"/>
      <c r="NIV2" s="180"/>
      <c r="NIW2" s="180"/>
      <c r="NIX2" s="180"/>
      <c r="NIY2" s="180"/>
      <c r="NIZ2" s="180"/>
      <c r="NJA2" s="180"/>
      <c r="NJB2" s="180"/>
      <c r="NJC2" s="180"/>
      <c r="NJD2" s="180"/>
      <c r="NJE2" s="180"/>
      <c r="NJF2" s="180"/>
      <c r="NJG2" s="180"/>
      <c r="NJH2" s="180"/>
      <c r="NJI2" s="180"/>
      <c r="NJJ2" s="180"/>
      <c r="NJK2" s="180"/>
      <c r="NJL2" s="180"/>
      <c r="NJM2" s="180"/>
      <c r="NJN2" s="180"/>
      <c r="NJO2" s="180"/>
      <c r="NJP2" s="180"/>
      <c r="NJQ2" s="180"/>
      <c r="NJR2" s="180"/>
      <c r="NJS2" s="180"/>
      <c r="NJT2" s="180"/>
      <c r="NJU2" s="180"/>
      <c r="NJV2" s="180"/>
      <c r="NJW2" s="180"/>
      <c r="NJX2" s="180"/>
      <c r="NJY2" s="180"/>
      <c r="NJZ2" s="180"/>
      <c r="NKA2" s="180"/>
      <c r="NKB2" s="180"/>
      <c r="NKC2" s="180"/>
      <c r="NKD2" s="180"/>
      <c r="NKE2" s="180"/>
      <c r="NKF2" s="180"/>
      <c r="NKG2" s="180"/>
      <c r="NKH2" s="180"/>
      <c r="NKI2" s="180"/>
      <c r="NKJ2" s="180"/>
      <c r="NKK2" s="180"/>
      <c r="NKL2" s="180"/>
      <c r="NKM2" s="180"/>
      <c r="NKN2" s="180"/>
      <c r="NKO2" s="180"/>
      <c r="NKP2" s="180"/>
      <c r="NKQ2" s="180"/>
      <c r="NKR2" s="180"/>
      <c r="NKS2" s="180"/>
      <c r="NKT2" s="180"/>
      <c r="NKU2" s="180"/>
      <c r="NKV2" s="180"/>
      <c r="NKW2" s="180"/>
      <c r="NKX2" s="180"/>
      <c r="NKY2" s="180"/>
      <c r="NKZ2" s="180"/>
      <c r="NLA2" s="180"/>
      <c r="NLB2" s="180"/>
      <c r="NLC2" s="180"/>
      <c r="NLD2" s="180"/>
      <c r="NLE2" s="180"/>
      <c r="NLF2" s="180"/>
      <c r="NLG2" s="180"/>
      <c r="NLH2" s="180"/>
      <c r="NLI2" s="180"/>
      <c r="NLJ2" s="180"/>
      <c r="NLK2" s="180"/>
      <c r="NLL2" s="180"/>
      <c r="NLM2" s="180"/>
      <c r="NLN2" s="180"/>
      <c r="NLO2" s="180"/>
      <c r="NLP2" s="180"/>
      <c r="NLQ2" s="180"/>
      <c r="NLR2" s="180"/>
      <c r="NLS2" s="180"/>
      <c r="NLT2" s="180"/>
      <c r="NLU2" s="180"/>
      <c r="NLV2" s="180"/>
      <c r="NLW2" s="180"/>
      <c r="NLX2" s="180"/>
      <c r="NLY2" s="180"/>
      <c r="NLZ2" s="180"/>
      <c r="NMA2" s="180"/>
      <c r="NMB2" s="180"/>
      <c r="NMC2" s="180"/>
      <c r="NMD2" s="180"/>
      <c r="NME2" s="180"/>
      <c r="NMF2" s="180"/>
      <c r="NMG2" s="180"/>
      <c r="NMH2" s="180"/>
      <c r="NMI2" s="180"/>
      <c r="NMJ2" s="180"/>
      <c r="NMK2" s="180"/>
      <c r="NML2" s="180"/>
      <c r="NMM2" s="180"/>
      <c r="NMN2" s="180"/>
      <c r="NMO2" s="180"/>
      <c r="NMP2" s="180"/>
      <c r="NMQ2" s="180"/>
      <c r="NMR2" s="180"/>
      <c r="NMS2" s="180"/>
      <c r="NMT2" s="180"/>
      <c r="NMU2" s="180"/>
      <c r="NMV2" s="180"/>
      <c r="NMW2" s="180"/>
      <c r="NMX2" s="180"/>
      <c r="NMY2" s="180"/>
      <c r="NMZ2" s="180"/>
      <c r="NNA2" s="180"/>
      <c r="NNB2" s="180"/>
      <c r="NNC2" s="180"/>
      <c r="NND2" s="180"/>
      <c r="NNE2" s="180"/>
      <c r="NNF2" s="180"/>
      <c r="NNG2" s="180"/>
      <c r="NNH2" s="180"/>
      <c r="NNI2" s="180"/>
      <c r="NNJ2" s="180"/>
      <c r="NNK2" s="180"/>
      <c r="NNL2" s="180"/>
      <c r="NNM2" s="180"/>
      <c r="NNN2" s="180"/>
      <c r="NNO2" s="180"/>
      <c r="NNP2" s="180"/>
      <c r="NNQ2" s="180"/>
      <c r="NNR2" s="180"/>
      <c r="NNS2" s="180"/>
      <c r="NNT2" s="180"/>
      <c r="NNU2" s="180"/>
      <c r="NNV2" s="180"/>
      <c r="NNW2" s="180"/>
      <c r="NNX2" s="180"/>
      <c r="NNY2" s="180"/>
      <c r="NNZ2" s="180"/>
      <c r="NOA2" s="180"/>
      <c r="NOB2" s="180"/>
      <c r="NOC2" s="180"/>
      <c r="NOD2" s="180"/>
      <c r="NOE2" s="180"/>
      <c r="NOF2" s="180"/>
      <c r="NOG2" s="180"/>
      <c r="NOH2" s="180"/>
      <c r="NOI2" s="180"/>
      <c r="NOJ2" s="180"/>
      <c r="NOK2" s="180"/>
      <c r="NOL2" s="180"/>
      <c r="NOM2" s="180"/>
      <c r="NON2" s="180"/>
      <c r="NOO2" s="180"/>
      <c r="NOP2" s="180"/>
      <c r="NOQ2" s="180"/>
      <c r="NOR2" s="180"/>
      <c r="NOS2" s="180"/>
      <c r="NOT2" s="180"/>
      <c r="NOU2" s="180"/>
      <c r="NOV2" s="180"/>
      <c r="NOW2" s="180"/>
      <c r="NOX2" s="180"/>
      <c r="NOY2" s="180"/>
      <c r="NOZ2" s="180"/>
      <c r="NPA2" s="180"/>
      <c r="NPB2" s="180"/>
      <c r="NPC2" s="180"/>
      <c r="NPD2" s="180"/>
      <c r="NPE2" s="180"/>
      <c r="NPF2" s="180"/>
      <c r="NPG2" s="180"/>
      <c r="NPH2" s="180"/>
      <c r="NPI2" s="180"/>
      <c r="NPJ2" s="180"/>
      <c r="NPK2" s="180"/>
      <c r="NPL2" s="180"/>
      <c r="NPM2" s="180"/>
      <c r="NPN2" s="180"/>
      <c r="NPO2" s="180"/>
      <c r="NPP2" s="180"/>
      <c r="NPQ2" s="180"/>
      <c r="NPR2" s="180"/>
      <c r="NPS2" s="180"/>
      <c r="NPT2" s="180"/>
      <c r="NPU2" s="180"/>
      <c r="NPV2" s="180"/>
      <c r="NPW2" s="180"/>
      <c r="NPX2" s="180"/>
      <c r="NPY2" s="180"/>
      <c r="NPZ2" s="180"/>
      <c r="NQA2" s="180"/>
      <c r="NQB2" s="180"/>
      <c r="NQC2" s="180"/>
      <c r="NQD2" s="180"/>
      <c r="NQE2" s="180"/>
      <c r="NQF2" s="180"/>
      <c r="NQG2" s="180"/>
      <c r="NQH2" s="180"/>
      <c r="NQI2" s="180"/>
      <c r="NQJ2" s="180"/>
      <c r="NQK2" s="180"/>
      <c r="NQL2" s="180"/>
      <c r="NQM2" s="180"/>
      <c r="NQN2" s="180"/>
      <c r="NQO2" s="180"/>
      <c r="NQP2" s="180"/>
      <c r="NQQ2" s="180"/>
      <c r="NQR2" s="180"/>
      <c r="NQS2" s="180"/>
      <c r="NQT2" s="180"/>
      <c r="NQU2" s="180"/>
      <c r="NQV2" s="180"/>
      <c r="NQW2" s="180"/>
      <c r="NQX2" s="180"/>
      <c r="NQY2" s="180"/>
      <c r="NQZ2" s="180"/>
      <c r="NRA2" s="180"/>
      <c r="NRB2" s="180"/>
      <c r="NRC2" s="180"/>
      <c r="NRD2" s="180"/>
      <c r="NRE2" s="180"/>
      <c r="NRF2" s="180"/>
      <c r="NRG2" s="180"/>
      <c r="NRH2" s="180"/>
      <c r="NRI2" s="180"/>
      <c r="NRJ2" s="180"/>
      <c r="NRK2" s="180"/>
      <c r="NRL2" s="180"/>
      <c r="NRM2" s="180"/>
      <c r="NRN2" s="180"/>
      <c r="NRO2" s="180"/>
      <c r="NRP2" s="180"/>
      <c r="NRQ2" s="180"/>
      <c r="NRR2" s="180"/>
      <c r="NRS2" s="180"/>
      <c r="NRT2" s="180"/>
      <c r="NRU2" s="180"/>
      <c r="NRV2" s="180"/>
      <c r="NRW2" s="180"/>
      <c r="NRX2" s="180"/>
      <c r="NRY2" s="180"/>
      <c r="NRZ2" s="180"/>
      <c r="NSA2" s="180"/>
      <c r="NSB2" s="180"/>
      <c r="NSC2" s="180"/>
      <c r="NSD2" s="180"/>
      <c r="NSE2" s="180"/>
      <c r="NSF2" s="180"/>
      <c r="NSG2" s="180"/>
      <c r="NSH2" s="180"/>
      <c r="NSI2" s="180"/>
      <c r="NSJ2" s="180"/>
      <c r="NSK2" s="180"/>
      <c r="NSL2" s="180"/>
      <c r="NSM2" s="180"/>
      <c r="NSN2" s="180"/>
      <c r="NSO2" s="180"/>
      <c r="NSP2" s="180"/>
      <c r="NSQ2" s="180"/>
      <c r="NSR2" s="180"/>
      <c r="NSS2" s="180"/>
      <c r="NST2" s="180"/>
      <c r="NSU2" s="180"/>
      <c r="NSV2" s="180"/>
      <c r="NSW2" s="180"/>
      <c r="NSX2" s="180"/>
      <c r="NSY2" s="180"/>
      <c r="NSZ2" s="180"/>
      <c r="NTA2" s="180"/>
      <c r="NTB2" s="180"/>
      <c r="NTC2" s="180"/>
      <c r="NTD2" s="180"/>
      <c r="NTE2" s="180"/>
      <c r="NTF2" s="180"/>
      <c r="NTG2" s="180"/>
      <c r="NTH2" s="180"/>
      <c r="NTI2" s="180"/>
      <c r="NTJ2" s="180"/>
      <c r="NTK2" s="180"/>
      <c r="NTL2" s="180"/>
      <c r="NTM2" s="180"/>
      <c r="NTN2" s="180"/>
      <c r="NTO2" s="180"/>
      <c r="NTP2" s="180"/>
      <c r="NTQ2" s="180"/>
      <c r="NTR2" s="180"/>
      <c r="NTS2" s="180"/>
      <c r="NTT2" s="180"/>
      <c r="NTU2" s="180"/>
      <c r="NTV2" s="180"/>
      <c r="NTW2" s="180"/>
      <c r="NTX2" s="180"/>
      <c r="NTY2" s="180"/>
      <c r="NTZ2" s="180"/>
      <c r="NUA2" s="180"/>
      <c r="NUB2" s="180"/>
      <c r="NUC2" s="180"/>
      <c r="NUD2" s="180"/>
      <c r="NUE2" s="180"/>
      <c r="NUF2" s="180"/>
      <c r="NUG2" s="180"/>
      <c r="NUH2" s="180"/>
      <c r="NUI2" s="180"/>
      <c r="NUJ2" s="180"/>
      <c r="NUK2" s="180"/>
      <c r="NUL2" s="180"/>
      <c r="NUM2" s="180"/>
      <c r="NUN2" s="180"/>
      <c r="NUO2" s="180"/>
      <c r="NUP2" s="180"/>
      <c r="NUQ2" s="180"/>
      <c r="NUR2" s="180"/>
      <c r="NUS2" s="180"/>
      <c r="NUT2" s="180"/>
      <c r="NUU2" s="180"/>
      <c r="NUV2" s="180"/>
      <c r="NUW2" s="180"/>
      <c r="NUX2" s="180"/>
      <c r="NUY2" s="180"/>
      <c r="NUZ2" s="180"/>
      <c r="NVA2" s="180"/>
      <c r="NVB2" s="180"/>
      <c r="NVC2" s="180"/>
      <c r="NVD2" s="180"/>
      <c r="NVE2" s="180"/>
      <c r="NVF2" s="180"/>
      <c r="NVG2" s="180"/>
      <c r="NVH2" s="180"/>
      <c r="NVI2" s="180"/>
      <c r="NVJ2" s="180"/>
      <c r="NVK2" s="180"/>
      <c r="NVL2" s="180"/>
      <c r="NVM2" s="180"/>
      <c r="NVN2" s="180"/>
      <c r="NVO2" s="180"/>
      <c r="NVP2" s="180"/>
      <c r="NVQ2" s="180"/>
      <c r="NVR2" s="180"/>
      <c r="NVS2" s="180"/>
      <c r="NVT2" s="180"/>
      <c r="NVU2" s="180"/>
      <c r="NVV2" s="180"/>
      <c r="NVW2" s="180"/>
      <c r="NVX2" s="180"/>
      <c r="NVY2" s="180"/>
      <c r="NVZ2" s="180"/>
      <c r="NWA2" s="180"/>
      <c r="NWB2" s="180"/>
      <c r="NWC2" s="180"/>
      <c r="NWD2" s="180"/>
      <c r="NWE2" s="180"/>
      <c r="NWF2" s="180"/>
      <c r="NWG2" s="180"/>
      <c r="NWH2" s="180"/>
      <c r="NWI2" s="180"/>
      <c r="NWJ2" s="180"/>
      <c r="NWK2" s="180"/>
      <c r="NWL2" s="180"/>
      <c r="NWM2" s="180"/>
      <c r="NWN2" s="180"/>
      <c r="NWO2" s="180"/>
      <c r="NWP2" s="180"/>
      <c r="NWQ2" s="180"/>
      <c r="NWR2" s="180"/>
      <c r="NWS2" s="180"/>
      <c r="NWT2" s="180"/>
      <c r="NWU2" s="180"/>
      <c r="NWV2" s="180"/>
      <c r="NWW2" s="180"/>
      <c r="NWX2" s="180"/>
      <c r="NWY2" s="180"/>
      <c r="NWZ2" s="180"/>
      <c r="NXA2" s="180"/>
      <c r="NXB2" s="180"/>
      <c r="NXC2" s="180"/>
      <c r="NXD2" s="180"/>
      <c r="NXE2" s="180"/>
      <c r="NXF2" s="180"/>
      <c r="NXG2" s="180"/>
      <c r="NXH2" s="180"/>
      <c r="NXI2" s="180"/>
      <c r="NXJ2" s="180"/>
      <c r="NXK2" s="180"/>
      <c r="NXL2" s="180"/>
      <c r="NXM2" s="180"/>
      <c r="NXN2" s="180"/>
      <c r="NXO2" s="180"/>
      <c r="NXP2" s="180"/>
      <c r="NXQ2" s="180"/>
      <c r="NXR2" s="180"/>
      <c r="NXS2" s="180"/>
      <c r="NXT2" s="180"/>
      <c r="NXU2" s="180"/>
      <c r="NXV2" s="180"/>
      <c r="NXW2" s="180"/>
      <c r="NXX2" s="180"/>
      <c r="NXY2" s="180"/>
      <c r="NXZ2" s="180"/>
      <c r="NYA2" s="180"/>
      <c r="NYB2" s="180"/>
      <c r="NYC2" s="180"/>
      <c r="NYD2" s="180"/>
      <c r="NYE2" s="180"/>
      <c r="NYF2" s="180"/>
      <c r="NYG2" s="180"/>
      <c r="NYH2" s="180"/>
      <c r="NYI2" s="180"/>
      <c r="NYJ2" s="180"/>
      <c r="NYK2" s="180"/>
      <c r="NYL2" s="180"/>
      <c r="NYM2" s="180"/>
      <c r="NYN2" s="180"/>
      <c r="NYO2" s="180"/>
      <c r="NYP2" s="180"/>
      <c r="NYQ2" s="180"/>
      <c r="NYR2" s="180"/>
      <c r="NYS2" s="180"/>
      <c r="NYT2" s="180"/>
      <c r="NYU2" s="180"/>
      <c r="NYV2" s="180"/>
      <c r="NYW2" s="180"/>
      <c r="NYX2" s="180"/>
      <c r="NYY2" s="180"/>
      <c r="NYZ2" s="180"/>
      <c r="NZA2" s="180"/>
      <c r="NZB2" s="180"/>
      <c r="NZC2" s="180"/>
      <c r="NZD2" s="180"/>
      <c r="NZE2" s="180"/>
      <c r="NZF2" s="180"/>
      <c r="NZG2" s="180"/>
      <c r="NZH2" s="180"/>
      <c r="NZI2" s="180"/>
      <c r="NZJ2" s="180"/>
      <c r="NZK2" s="180"/>
      <c r="NZL2" s="180"/>
      <c r="NZM2" s="180"/>
      <c r="NZN2" s="180"/>
      <c r="NZO2" s="180"/>
      <c r="NZP2" s="180"/>
      <c r="NZQ2" s="180"/>
      <c r="NZR2" s="180"/>
      <c r="NZS2" s="180"/>
      <c r="NZT2" s="180"/>
      <c r="NZU2" s="180"/>
      <c r="NZV2" s="180"/>
      <c r="NZW2" s="180"/>
      <c r="NZX2" s="180"/>
      <c r="NZY2" s="180"/>
      <c r="NZZ2" s="180"/>
      <c r="OAA2" s="180"/>
      <c r="OAB2" s="180"/>
      <c r="OAC2" s="180"/>
      <c r="OAD2" s="180"/>
      <c r="OAE2" s="180"/>
      <c r="OAF2" s="180"/>
      <c r="OAG2" s="180"/>
      <c r="OAH2" s="180"/>
      <c r="OAI2" s="180"/>
      <c r="OAJ2" s="180"/>
      <c r="OAK2" s="180"/>
      <c r="OAL2" s="180"/>
      <c r="OAM2" s="180"/>
      <c r="OAN2" s="180"/>
      <c r="OAO2" s="180"/>
      <c r="OAP2" s="180"/>
      <c r="OAQ2" s="180"/>
      <c r="OAR2" s="180"/>
      <c r="OAS2" s="180"/>
      <c r="OAT2" s="180"/>
      <c r="OAU2" s="180"/>
      <c r="OAV2" s="180"/>
      <c r="OAW2" s="180"/>
      <c r="OAX2" s="180"/>
      <c r="OAY2" s="180"/>
      <c r="OAZ2" s="180"/>
      <c r="OBA2" s="180"/>
      <c r="OBB2" s="180"/>
      <c r="OBC2" s="180"/>
      <c r="OBD2" s="180"/>
      <c r="OBE2" s="180"/>
      <c r="OBF2" s="180"/>
      <c r="OBG2" s="180"/>
      <c r="OBH2" s="180"/>
      <c r="OBI2" s="180"/>
      <c r="OBJ2" s="180"/>
      <c r="OBK2" s="180"/>
      <c r="OBL2" s="180"/>
      <c r="OBM2" s="180"/>
      <c r="OBN2" s="180"/>
      <c r="OBO2" s="180"/>
      <c r="OBP2" s="180"/>
      <c r="OBQ2" s="180"/>
      <c r="OBR2" s="180"/>
      <c r="OBS2" s="180"/>
      <c r="OBT2" s="180"/>
      <c r="OBU2" s="180"/>
      <c r="OBV2" s="180"/>
      <c r="OBW2" s="180"/>
      <c r="OBX2" s="180"/>
      <c r="OBY2" s="180"/>
      <c r="OBZ2" s="180"/>
      <c r="OCA2" s="180"/>
      <c r="OCB2" s="180"/>
      <c r="OCC2" s="180"/>
      <c r="OCD2" s="180"/>
      <c r="OCE2" s="180"/>
      <c r="OCF2" s="180"/>
      <c r="OCG2" s="180"/>
      <c r="OCH2" s="180"/>
      <c r="OCI2" s="180"/>
      <c r="OCJ2" s="180"/>
      <c r="OCK2" s="180"/>
      <c r="OCL2" s="180"/>
      <c r="OCM2" s="180"/>
      <c r="OCN2" s="180"/>
      <c r="OCO2" s="180"/>
      <c r="OCP2" s="180"/>
      <c r="OCQ2" s="180"/>
      <c r="OCR2" s="180"/>
      <c r="OCS2" s="180"/>
      <c r="OCT2" s="180"/>
      <c r="OCU2" s="180"/>
      <c r="OCV2" s="180"/>
      <c r="OCW2" s="180"/>
      <c r="OCX2" s="180"/>
      <c r="OCY2" s="180"/>
      <c r="OCZ2" s="180"/>
      <c r="ODA2" s="180"/>
      <c r="ODB2" s="180"/>
      <c r="ODC2" s="180"/>
      <c r="ODD2" s="180"/>
      <c r="ODE2" s="180"/>
      <c r="ODF2" s="180"/>
      <c r="ODG2" s="180"/>
      <c r="ODH2" s="180"/>
      <c r="ODI2" s="180"/>
      <c r="ODJ2" s="180"/>
      <c r="ODK2" s="180"/>
      <c r="ODL2" s="180"/>
      <c r="ODM2" s="180"/>
      <c r="ODN2" s="180"/>
      <c r="ODO2" s="180"/>
      <c r="ODP2" s="180"/>
      <c r="ODQ2" s="180"/>
      <c r="ODR2" s="180"/>
      <c r="ODS2" s="180"/>
      <c r="ODT2" s="180"/>
      <c r="ODU2" s="180"/>
      <c r="ODV2" s="180"/>
      <c r="ODW2" s="180"/>
      <c r="ODX2" s="180"/>
      <c r="ODY2" s="180"/>
      <c r="ODZ2" s="180"/>
      <c r="OEA2" s="180"/>
      <c r="OEB2" s="180"/>
      <c r="OEC2" s="180"/>
      <c r="OED2" s="180"/>
      <c r="OEE2" s="180"/>
      <c r="OEF2" s="180"/>
      <c r="OEG2" s="180"/>
      <c r="OEH2" s="180"/>
      <c r="OEI2" s="180"/>
      <c r="OEJ2" s="180"/>
      <c r="OEK2" s="180"/>
      <c r="OEL2" s="180"/>
      <c r="OEM2" s="180"/>
      <c r="OEN2" s="180"/>
      <c r="OEO2" s="180"/>
      <c r="OEP2" s="180"/>
      <c r="OEQ2" s="180"/>
      <c r="OER2" s="180"/>
      <c r="OES2" s="180"/>
      <c r="OET2" s="180"/>
      <c r="OEU2" s="180"/>
      <c r="OEV2" s="180"/>
      <c r="OEW2" s="180"/>
      <c r="OEX2" s="180"/>
      <c r="OEY2" s="180"/>
      <c r="OEZ2" s="180"/>
      <c r="OFA2" s="180"/>
      <c r="OFB2" s="180"/>
      <c r="OFC2" s="180"/>
      <c r="OFD2" s="180"/>
      <c r="OFE2" s="180"/>
      <c r="OFF2" s="180"/>
      <c r="OFG2" s="180"/>
      <c r="OFH2" s="180"/>
      <c r="OFI2" s="180"/>
      <c r="OFJ2" s="180"/>
      <c r="OFK2" s="180"/>
      <c r="OFL2" s="180"/>
      <c r="OFM2" s="180"/>
      <c r="OFN2" s="180"/>
      <c r="OFO2" s="180"/>
      <c r="OFP2" s="180"/>
      <c r="OFQ2" s="180"/>
      <c r="OFR2" s="180"/>
      <c r="OFS2" s="180"/>
      <c r="OFT2" s="180"/>
      <c r="OFU2" s="180"/>
      <c r="OFV2" s="180"/>
      <c r="OFW2" s="180"/>
      <c r="OFX2" s="180"/>
      <c r="OFY2" s="180"/>
      <c r="OFZ2" s="180"/>
      <c r="OGA2" s="180"/>
      <c r="OGB2" s="180"/>
      <c r="OGC2" s="180"/>
      <c r="OGD2" s="180"/>
      <c r="OGE2" s="180"/>
      <c r="OGF2" s="180"/>
      <c r="OGG2" s="180"/>
      <c r="OGH2" s="180"/>
      <c r="OGI2" s="180"/>
      <c r="OGJ2" s="180"/>
      <c r="OGK2" s="180"/>
      <c r="OGL2" s="180"/>
      <c r="OGM2" s="180"/>
      <c r="OGN2" s="180"/>
      <c r="OGO2" s="180"/>
      <c r="OGP2" s="180"/>
      <c r="OGQ2" s="180"/>
      <c r="OGR2" s="180"/>
      <c r="OGS2" s="180"/>
      <c r="OGT2" s="180"/>
      <c r="OGU2" s="180"/>
      <c r="OGV2" s="180"/>
      <c r="OGW2" s="180"/>
      <c r="OGX2" s="180"/>
      <c r="OGY2" s="180"/>
      <c r="OGZ2" s="180"/>
      <c r="OHA2" s="180"/>
      <c r="OHB2" s="180"/>
      <c r="OHC2" s="180"/>
      <c r="OHD2" s="180"/>
      <c r="OHE2" s="180"/>
      <c r="OHF2" s="180"/>
      <c r="OHG2" s="180"/>
      <c r="OHH2" s="180"/>
      <c r="OHI2" s="180"/>
      <c r="OHJ2" s="180"/>
      <c r="OHK2" s="180"/>
      <c r="OHL2" s="180"/>
      <c r="OHM2" s="180"/>
      <c r="OHN2" s="180"/>
      <c r="OHO2" s="180"/>
      <c r="OHP2" s="180"/>
      <c r="OHQ2" s="180"/>
      <c r="OHR2" s="180"/>
      <c r="OHS2" s="180"/>
      <c r="OHT2" s="180"/>
      <c r="OHU2" s="180"/>
      <c r="OHV2" s="180"/>
      <c r="OHW2" s="180"/>
      <c r="OHX2" s="180"/>
      <c r="OHY2" s="180"/>
      <c r="OHZ2" s="180"/>
      <c r="OIA2" s="180"/>
      <c r="OIB2" s="180"/>
      <c r="OIC2" s="180"/>
      <c r="OID2" s="180"/>
      <c r="OIE2" s="180"/>
      <c r="OIF2" s="180"/>
      <c r="OIG2" s="180"/>
      <c r="OIH2" s="180"/>
      <c r="OII2" s="180"/>
      <c r="OIJ2" s="180"/>
      <c r="OIK2" s="180"/>
      <c r="OIL2" s="180"/>
      <c r="OIM2" s="180"/>
      <c r="OIN2" s="180"/>
      <c r="OIO2" s="180"/>
      <c r="OIP2" s="180"/>
      <c r="OIQ2" s="180"/>
      <c r="OIR2" s="180"/>
      <c r="OIS2" s="180"/>
      <c r="OIT2" s="180"/>
      <c r="OIU2" s="180"/>
      <c r="OIV2" s="180"/>
      <c r="OIW2" s="180"/>
      <c r="OIX2" s="180"/>
      <c r="OIY2" s="180"/>
      <c r="OIZ2" s="180"/>
      <c r="OJA2" s="180"/>
      <c r="OJB2" s="180"/>
      <c r="OJC2" s="180"/>
      <c r="OJD2" s="180"/>
      <c r="OJE2" s="180"/>
      <c r="OJF2" s="180"/>
      <c r="OJG2" s="180"/>
      <c r="OJH2" s="180"/>
      <c r="OJI2" s="180"/>
      <c r="OJJ2" s="180"/>
      <c r="OJK2" s="180"/>
      <c r="OJL2" s="180"/>
      <c r="OJM2" s="180"/>
      <c r="OJN2" s="180"/>
      <c r="OJO2" s="180"/>
      <c r="OJP2" s="180"/>
      <c r="OJQ2" s="180"/>
      <c r="OJR2" s="180"/>
      <c r="OJS2" s="180"/>
      <c r="OJT2" s="180"/>
      <c r="OJU2" s="180"/>
      <c r="OJV2" s="180"/>
      <c r="OJW2" s="180"/>
      <c r="OJX2" s="180"/>
      <c r="OJY2" s="180"/>
      <c r="OJZ2" s="180"/>
      <c r="OKA2" s="180"/>
      <c r="OKB2" s="180"/>
      <c r="OKC2" s="180"/>
      <c r="OKD2" s="180"/>
      <c r="OKE2" s="180"/>
      <c r="OKF2" s="180"/>
      <c r="OKG2" s="180"/>
      <c r="OKH2" s="180"/>
      <c r="OKI2" s="180"/>
      <c r="OKJ2" s="180"/>
      <c r="OKK2" s="180"/>
      <c r="OKL2" s="180"/>
      <c r="OKM2" s="180"/>
      <c r="OKN2" s="180"/>
      <c r="OKO2" s="180"/>
      <c r="OKP2" s="180"/>
      <c r="OKQ2" s="180"/>
      <c r="OKR2" s="180"/>
      <c r="OKS2" s="180"/>
      <c r="OKT2" s="180"/>
      <c r="OKU2" s="180"/>
      <c r="OKV2" s="180"/>
      <c r="OKW2" s="180"/>
      <c r="OKX2" s="180"/>
      <c r="OKY2" s="180"/>
      <c r="OKZ2" s="180"/>
      <c r="OLA2" s="180"/>
      <c r="OLB2" s="180"/>
      <c r="OLC2" s="180"/>
      <c r="OLD2" s="180"/>
      <c r="OLE2" s="180"/>
      <c r="OLF2" s="180"/>
      <c r="OLG2" s="180"/>
      <c r="OLH2" s="180"/>
      <c r="OLI2" s="180"/>
      <c r="OLJ2" s="180"/>
      <c r="OLK2" s="180"/>
      <c r="OLL2" s="180"/>
      <c r="OLM2" s="180"/>
      <c r="OLN2" s="180"/>
      <c r="OLO2" s="180"/>
      <c r="OLP2" s="180"/>
      <c r="OLQ2" s="180"/>
      <c r="OLR2" s="180"/>
      <c r="OLS2" s="180"/>
      <c r="OLT2" s="180"/>
      <c r="OLU2" s="180"/>
      <c r="OLV2" s="180"/>
      <c r="OLW2" s="180"/>
      <c r="OLX2" s="180"/>
      <c r="OLY2" s="180"/>
      <c r="OLZ2" s="180"/>
      <c r="OMA2" s="180"/>
      <c r="OMB2" s="180"/>
      <c r="OMC2" s="180"/>
      <c r="OMD2" s="180"/>
      <c r="OME2" s="180"/>
      <c r="OMF2" s="180"/>
      <c r="OMG2" s="180"/>
      <c r="OMH2" s="180"/>
      <c r="OMI2" s="180"/>
      <c r="OMJ2" s="180"/>
      <c r="OMK2" s="180"/>
      <c r="OML2" s="180"/>
      <c r="OMM2" s="180"/>
      <c r="OMN2" s="180"/>
      <c r="OMO2" s="180"/>
      <c r="OMP2" s="180"/>
      <c r="OMQ2" s="180"/>
      <c r="OMR2" s="180"/>
      <c r="OMS2" s="180"/>
      <c r="OMT2" s="180"/>
      <c r="OMU2" s="180"/>
      <c r="OMV2" s="180"/>
      <c r="OMW2" s="180"/>
      <c r="OMX2" s="180"/>
      <c r="OMY2" s="180"/>
      <c r="OMZ2" s="180"/>
      <c r="ONA2" s="180"/>
      <c r="ONB2" s="180"/>
      <c r="ONC2" s="180"/>
      <c r="OND2" s="180"/>
      <c r="ONE2" s="180"/>
      <c r="ONF2" s="180"/>
      <c r="ONG2" s="180"/>
      <c r="ONH2" s="180"/>
      <c r="ONI2" s="180"/>
      <c r="ONJ2" s="180"/>
      <c r="ONK2" s="180"/>
      <c r="ONL2" s="180"/>
      <c r="ONM2" s="180"/>
      <c r="ONN2" s="180"/>
      <c r="ONO2" s="180"/>
      <c r="ONP2" s="180"/>
      <c r="ONQ2" s="180"/>
      <c r="ONR2" s="180"/>
      <c r="ONS2" s="180"/>
      <c r="ONT2" s="180"/>
      <c r="ONU2" s="180"/>
      <c r="ONV2" s="180"/>
      <c r="ONW2" s="180"/>
      <c r="ONX2" s="180"/>
      <c r="ONY2" s="180"/>
      <c r="ONZ2" s="180"/>
      <c r="OOA2" s="180"/>
      <c r="OOB2" s="180"/>
      <c r="OOC2" s="180"/>
      <c r="OOD2" s="180"/>
      <c r="OOE2" s="180"/>
      <c r="OOF2" s="180"/>
      <c r="OOG2" s="180"/>
      <c r="OOH2" s="180"/>
      <c r="OOI2" s="180"/>
      <c r="OOJ2" s="180"/>
      <c r="OOK2" s="180"/>
      <c r="OOL2" s="180"/>
      <c r="OOM2" s="180"/>
      <c r="OON2" s="180"/>
      <c r="OOO2" s="180"/>
      <c r="OOP2" s="180"/>
      <c r="OOQ2" s="180"/>
      <c r="OOR2" s="180"/>
      <c r="OOS2" s="180"/>
      <c r="OOT2" s="180"/>
      <c r="OOU2" s="180"/>
      <c r="OOV2" s="180"/>
      <c r="OOW2" s="180"/>
      <c r="OOX2" s="180"/>
      <c r="OOY2" s="180"/>
      <c r="OOZ2" s="180"/>
      <c r="OPA2" s="180"/>
      <c r="OPB2" s="180"/>
      <c r="OPC2" s="180"/>
      <c r="OPD2" s="180"/>
      <c r="OPE2" s="180"/>
      <c r="OPF2" s="180"/>
      <c r="OPG2" s="180"/>
      <c r="OPH2" s="180"/>
      <c r="OPI2" s="180"/>
      <c r="OPJ2" s="180"/>
      <c r="OPK2" s="180"/>
      <c r="OPL2" s="180"/>
      <c r="OPM2" s="180"/>
      <c r="OPN2" s="180"/>
      <c r="OPO2" s="180"/>
      <c r="OPP2" s="180"/>
      <c r="OPQ2" s="180"/>
      <c r="OPR2" s="180"/>
      <c r="OPS2" s="180"/>
      <c r="OPT2" s="180"/>
      <c r="OPU2" s="180"/>
      <c r="OPV2" s="180"/>
      <c r="OPW2" s="180"/>
      <c r="OPX2" s="180"/>
      <c r="OPY2" s="180"/>
      <c r="OPZ2" s="180"/>
      <c r="OQA2" s="180"/>
      <c r="OQB2" s="180"/>
      <c r="OQC2" s="180"/>
      <c r="OQD2" s="180"/>
      <c r="OQE2" s="180"/>
      <c r="OQF2" s="180"/>
      <c r="OQG2" s="180"/>
      <c r="OQH2" s="180"/>
      <c r="OQI2" s="180"/>
      <c r="OQJ2" s="180"/>
      <c r="OQK2" s="180"/>
      <c r="OQL2" s="180"/>
      <c r="OQM2" s="180"/>
      <c r="OQN2" s="180"/>
      <c r="OQO2" s="180"/>
      <c r="OQP2" s="180"/>
      <c r="OQQ2" s="180"/>
      <c r="OQR2" s="180"/>
      <c r="OQS2" s="180"/>
      <c r="OQT2" s="180"/>
      <c r="OQU2" s="180"/>
      <c r="OQV2" s="180"/>
      <c r="OQW2" s="180"/>
      <c r="OQX2" s="180"/>
      <c r="OQY2" s="180"/>
      <c r="OQZ2" s="180"/>
      <c r="ORA2" s="180"/>
      <c r="ORB2" s="180"/>
      <c r="ORC2" s="180"/>
      <c r="ORD2" s="180"/>
      <c r="ORE2" s="180"/>
      <c r="ORF2" s="180"/>
      <c r="ORG2" s="180"/>
      <c r="ORH2" s="180"/>
      <c r="ORI2" s="180"/>
      <c r="ORJ2" s="180"/>
      <c r="ORK2" s="180"/>
      <c r="ORL2" s="180"/>
      <c r="ORM2" s="180"/>
      <c r="ORN2" s="180"/>
      <c r="ORO2" s="180"/>
      <c r="ORP2" s="180"/>
      <c r="ORQ2" s="180"/>
      <c r="ORR2" s="180"/>
      <c r="ORS2" s="180"/>
      <c r="ORT2" s="180"/>
      <c r="ORU2" s="180"/>
      <c r="ORV2" s="180"/>
      <c r="ORW2" s="180"/>
      <c r="ORX2" s="180"/>
      <c r="ORY2" s="180"/>
      <c r="ORZ2" s="180"/>
      <c r="OSA2" s="180"/>
      <c r="OSB2" s="180"/>
      <c r="OSC2" s="180"/>
      <c r="OSD2" s="180"/>
      <c r="OSE2" s="180"/>
      <c r="OSF2" s="180"/>
      <c r="OSG2" s="180"/>
      <c r="OSH2" s="180"/>
      <c r="OSI2" s="180"/>
      <c r="OSJ2" s="180"/>
      <c r="OSK2" s="180"/>
      <c r="OSL2" s="180"/>
      <c r="OSM2" s="180"/>
      <c r="OSN2" s="180"/>
      <c r="OSO2" s="180"/>
      <c r="OSP2" s="180"/>
      <c r="OSQ2" s="180"/>
      <c r="OSR2" s="180"/>
      <c r="OSS2" s="180"/>
      <c r="OST2" s="180"/>
      <c r="OSU2" s="180"/>
      <c r="OSV2" s="180"/>
      <c r="OSW2" s="180"/>
      <c r="OSX2" s="180"/>
      <c r="OSY2" s="180"/>
      <c r="OSZ2" s="180"/>
      <c r="OTA2" s="180"/>
      <c r="OTB2" s="180"/>
      <c r="OTC2" s="180"/>
      <c r="OTD2" s="180"/>
      <c r="OTE2" s="180"/>
      <c r="OTF2" s="180"/>
      <c r="OTG2" s="180"/>
      <c r="OTH2" s="180"/>
      <c r="OTI2" s="180"/>
      <c r="OTJ2" s="180"/>
      <c r="OTK2" s="180"/>
      <c r="OTL2" s="180"/>
      <c r="OTM2" s="180"/>
      <c r="OTN2" s="180"/>
      <c r="OTO2" s="180"/>
      <c r="OTP2" s="180"/>
      <c r="OTQ2" s="180"/>
      <c r="OTR2" s="180"/>
      <c r="OTS2" s="180"/>
      <c r="OTT2" s="180"/>
      <c r="OTU2" s="180"/>
      <c r="OTV2" s="180"/>
      <c r="OTW2" s="180"/>
      <c r="OTX2" s="180"/>
      <c r="OTY2" s="180"/>
      <c r="OTZ2" s="180"/>
      <c r="OUA2" s="180"/>
      <c r="OUB2" s="180"/>
      <c r="OUC2" s="180"/>
      <c r="OUD2" s="180"/>
      <c r="OUE2" s="180"/>
      <c r="OUF2" s="180"/>
      <c r="OUG2" s="180"/>
      <c r="OUH2" s="180"/>
      <c r="OUI2" s="180"/>
      <c r="OUJ2" s="180"/>
      <c r="OUK2" s="180"/>
      <c r="OUL2" s="180"/>
      <c r="OUM2" s="180"/>
      <c r="OUN2" s="180"/>
      <c r="OUO2" s="180"/>
      <c r="OUP2" s="180"/>
      <c r="OUQ2" s="180"/>
      <c r="OUR2" s="180"/>
      <c r="OUS2" s="180"/>
      <c r="OUT2" s="180"/>
      <c r="OUU2" s="180"/>
      <c r="OUV2" s="180"/>
      <c r="OUW2" s="180"/>
      <c r="OUX2" s="180"/>
      <c r="OUY2" s="180"/>
      <c r="OUZ2" s="180"/>
      <c r="OVA2" s="180"/>
      <c r="OVB2" s="180"/>
      <c r="OVC2" s="180"/>
      <c r="OVD2" s="180"/>
      <c r="OVE2" s="180"/>
      <c r="OVF2" s="180"/>
      <c r="OVG2" s="180"/>
      <c r="OVH2" s="180"/>
      <c r="OVI2" s="180"/>
      <c r="OVJ2" s="180"/>
      <c r="OVK2" s="180"/>
      <c r="OVL2" s="180"/>
      <c r="OVM2" s="180"/>
      <c r="OVN2" s="180"/>
      <c r="OVO2" s="180"/>
      <c r="OVP2" s="180"/>
      <c r="OVQ2" s="180"/>
      <c r="OVR2" s="180"/>
      <c r="OVS2" s="180"/>
      <c r="OVT2" s="180"/>
      <c r="OVU2" s="180"/>
      <c r="OVV2" s="180"/>
      <c r="OVW2" s="180"/>
      <c r="OVX2" s="180"/>
      <c r="OVY2" s="180"/>
      <c r="OVZ2" s="180"/>
      <c r="OWA2" s="180"/>
      <c r="OWB2" s="180"/>
      <c r="OWC2" s="180"/>
      <c r="OWD2" s="180"/>
      <c r="OWE2" s="180"/>
      <c r="OWF2" s="180"/>
      <c r="OWG2" s="180"/>
      <c r="OWH2" s="180"/>
      <c r="OWI2" s="180"/>
      <c r="OWJ2" s="180"/>
      <c r="OWK2" s="180"/>
      <c r="OWL2" s="180"/>
      <c r="OWM2" s="180"/>
      <c r="OWN2" s="180"/>
      <c r="OWO2" s="180"/>
      <c r="OWP2" s="180"/>
      <c r="OWQ2" s="180"/>
      <c r="OWR2" s="180"/>
      <c r="OWS2" s="180"/>
      <c r="OWT2" s="180"/>
      <c r="OWU2" s="180"/>
      <c r="OWV2" s="180"/>
      <c r="OWW2" s="180"/>
      <c r="OWX2" s="180"/>
      <c r="OWY2" s="180"/>
      <c r="OWZ2" s="180"/>
      <c r="OXA2" s="180"/>
      <c r="OXB2" s="180"/>
      <c r="OXC2" s="180"/>
      <c r="OXD2" s="180"/>
      <c r="OXE2" s="180"/>
      <c r="OXF2" s="180"/>
      <c r="OXG2" s="180"/>
      <c r="OXH2" s="180"/>
      <c r="OXI2" s="180"/>
      <c r="OXJ2" s="180"/>
      <c r="OXK2" s="180"/>
      <c r="OXL2" s="180"/>
      <c r="OXM2" s="180"/>
      <c r="OXN2" s="180"/>
      <c r="OXO2" s="180"/>
      <c r="OXP2" s="180"/>
      <c r="OXQ2" s="180"/>
      <c r="OXR2" s="180"/>
      <c r="OXS2" s="180"/>
      <c r="OXT2" s="180"/>
      <c r="OXU2" s="180"/>
      <c r="OXV2" s="180"/>
      <c r="OXW2" s="180"/>
      <c r="OXX2" s="180"/>
      <c r="OXY2" s="180"/>
      <c r="OXZ2" s="180"/>
      <c r="OYA2" s="180"/>
      <c r="OYB2" s="180"/>
      <c r="OYC2" s="180"/>
      <c r="OYD2" s="180"/>
      <c r="OYE2" s="180"/>
      <c r="OYF2" s="180"/>
      <c r="OYG2" s="180"/>
      <c r="OYH2" s="180"/>
      <c r="OYI2" s="180"/>
      <c r="OYJ2" s="180"/>
      <c r="OYK2" s="180"/>
      <c r="OYL2" s="180"/>
      <c r="OYM2" s="180"/>
      <c r="OYN2" s="180"/>
      <c r="OYO2" s="180"/>
      <c r="OYP2" s="180"/>
      <c r="OYQ2" s="180"/>
      <c r="OYR2" s="180"/>
      <c r="OYS2" s="180"/>
      <c r="OYT2" s="180"/>
      <c r="OYU2" s="180"/>
      <c r="OYV2" s="180"/>
      <c r="OYW2" s="180"/>
      <c r="OYX2" s="180"/>
      <c r="OYY2" s="180"/>
      <c r="OYZ2" s="180"/>
      <c r="OZA2" s="180"/>
      <c r="OZB2" s="180"/>
      <c r="OZC2" s="180"/>
      <c r="OZD2" s="180"/>
      <c r="OZE2" s="180"/>
      <c r="OZF2" s="180"/>
      <c r="OZG2" s="180"/>
      <c r="OZH2" s="180"/>
      <c r="OZI2" s="180"/>
      <c r="OZJ2" s="180"/>
      <c r="OZK2" s="180"/>
      <c r="OZL2" s="180"/>
      <c r="OZM2" s="180"/>
      <c r="OZN2" s="180"/>
      <c r="OZO2" s="180"/>
      <c r="OZP2" s="180"/>
      <c r="OZQ2" s="180"/>
      <c r="OZR2" s="180"/>
      <c r="OZS2" s="180"/>
      <c r="OZT2" s="180"/>
      <c r="OZU2" s="180"/>
      <c r="OZV2" s="180"/>
      <c r="OZW2" s="180"/>
      <c r="OZX2" s="180"/>
      <c r="OZY2" s="180"/>
      <c r="OZZ2" s="180"/>
      <c r="PAA2" s="180"/>
      <c r="PAB2" s="180"/>
      <c r="PAC2" s="180"/>
      <c r="PAD2" s="180"/>
      <c r="PAE2" s="180"/>
      <c r="PAF2" s="180"/>
      <c r="PAG2" s="180"/>
      <c r="PAH2" s="180"/>
      <c r="PAI2" s="180"/>
      <c r="PAJ2" s="180"/>
      <c r="PAK2" s="180"/>
      <c r="PAL2" s="180"/>
      <c r="PAM2" s="180"/>
      <c r="PAN2" s="180"/>
      <c r="PAO2" s="180"/>
      <c r="PAP2" s="180"/>
      <c r="PAQ2" s="180"/>
      <c r="PAR2" s="180"/>
      <c r="PAS2" s="180"/>
      <c r="PAT2" s="180"/>
      <c r="PAU2" s="180"/>
      <c r="PAV2" s="180"/>
      <c r="PAW2" s="180"/>
      <c r="PAX2" s="180"/>
      <c r="PAY2" s="180"/>
      <c r="PAZ2" s="180"/>
      <c r="PBA2" s="180"/>
      <c r="PBB2" s="180"/>
      <c r="PBC2" s="180"/>
      <c r="PBD2" s="180"/>
      <c r="PBE2" s="180"/>
      <c r="PBF2" s="180"/>
      <c r="PBG2" s="180"/>
      <c r="PBH2" s="180"/>
      <c r="PBI2" s="180"/>
      <c r="PBJ2" s="180"/>
      <c r="PBK2" s="180"/>
      <c r="PBL2" s="180"/>
      <c r="PBM2" s="180"/>
      <c r="PBN2" s="180"/>
      <c r="PBO2" s="180"/>
      <c r="PBP2" s="180"/>
      <c r="PBQ2" s="180"/>
      <c r="PBR2" s="180"/>
      <c r="PBS2" s="180"/>
      <c r="PBT2" s="180"/>
      <c r="PBU2" s="180"/>
      <c r="PBV2" s="180"/>
      <c r="PBW2" s="180"/>
      <c r="PBX2" s="180"/>
      <c r="PBY2" s="180"/>
      <c r="PBZ2" s="180"/>
      <c r="PCA2" s="180"/>
      <c r="PCB2" s="180"/>
      <c r="PCC2" s="180"/>
      <c r="PCD2" s="180"/>
      <c r="PCE2" s="180"/>
      <c r="PCF2" s="180"/>
      <c r="PCG2" s="180"/>
      <c r="PCH2" s="180"/>
      <c r="PCI2" s="180"/>
      <c r="PCJ2" s="180"/>
      <c r="PCK2" s="180"/>
      <c r="PCL2" s="180"/>
      <c r="PCM2" s="180"/>
      <c r="PCN2" s="180"/>
      <c r="PCO2" s="180"/>
      <c r="PCP2" s="180"/>
      <c r="PCQ2" s="180"/>
      <c r="PCR2" s="180"/>
      <c r="PCS2" s="180"/>
      <c r="PCT2" s="180"/>
      <c r="PCU2" s="180"/>
      <c r="PCV2" s="180"/>
      <c r="PCW2" s="180"/>
      <c r="PCX2" s="180"/>
      <c r="PCY2" s="180"/>
      <c r="PCZ2" s="180"/>
      <c r="PDA2" s="180"/>
      <c r="PDB2" s="180"/>
      <c r="PDC2" s="180"/>
      <c r="PDD2" s="180"/>
      <c r="PDE2" s="180"/>
      <c r="PDF2" s="180"/>
      <c r="PDG2" s="180"/>
      <c r="PDH2" s="180"/>
      <c r="PDI2" s="180"/>
      <c r="PDJ2" s="180"/>
      <c r="PDK2" s="180"/>
      <c r="PDL2" s="180"/>
      <c r="PDM2" s="180"/>
      <c r="PDN2" s="180"/>
      <c r="PDO2" s="180"/>
      <c r="PDP2" s="180"/>
      <c r="PDQ2" s="180"/>
      <c r="PDR2" s="180"/>
      <c r="PDS2" s="180"/>
      <c r="PDT2" s="180"/>
      <c r="PDU2" s="180"/>
      <c r="PDV2" s="180"/>
      <c r="PDW2" s="180"/>
      <c r="PDX2" s="180"/>
      <c r="PDY2" s="180"/>
      <c r="PDZ2" s="180"/>
      <c r="PEA2" s="180"/>
      <c r="PEB2" s="180"/>
      <c r="PEC2" s="180"/>
      <c r="PED2" s="180"/>
      <c r="PEE2" s="180"/>
      <c r="PEF2" s="180"/>
      <c r="PEG2" s="180"/>
      <c r="PEH2" s="180"/>
      <c r="PEI2" s="180"/>
      <c r="PEJ2" s="180"/>
      <c r="PEK2" s="180"/>
      <c r="PEL2" s="180"/>
      <c r="PEM2" s="180"/>
      <c r="PEN2" s="180"/>
      <c r="PEO2" s="180"/>
      <c r="PEP2" s="180"/>
      <c r="PEQ2" s="180"/>
      <c r="PER2" s="180"/>
      <c r="PES2" s="180"/>
      <c r="PET2" s="180"/>
      <c r="PEU2" s="180"/>
      <c r="PEV2" s="180"/>
      <c r="PEW2" s="180"/>
      <c r="PEX2" s="180"/>
      <c r="PEY2" s="180"/>
      <c r="PEZ2" s="180"/>
      <c r="PFA2" s="180"/>
      <c r="PFB2" s="180"/>
      <c r="PFC2" s="180"/>
      <c r="PFD2" s="180"/>
      <c r="PFE2" s="180"/>
      <c r="PFF2" s="180"/>
      <c r="PFG2" s="180"/>
      <c r="PFH2" s="180"/>
      <c r="PFI2" s="180"/>
      <c r="PFJ2" s="180"/>
      <c r="PFK2" s="180"/>
      <c r="PFL2" s="180"/>
      <c r="PFM2" s="180"/>
      <c r="PFN2" s="180"/>
      <c r="PFO2" s="180"/>
      <c r="PFP2" s="180"/>
      <c r="PFQ2" s="180"/>
      <c r="PFR2" s="180"/>
      <c r="PFS2" s="180"/>
      <c r="PFT2" s="180"/>
      <c r="PFU2" s="180"/>
      <c r="PFV2" s="180"/>
      <c r="PFW2" s="180"/>
      <c r="PFX2" s="180"/>
      <c r="PFY2" s="180"/>
      <c r="PFZ2" s="180"/>
      <c r="PGA2" s="180"/>
      <c r="PGB2" s="180"/>
      <c r="PGC2" s="180"/>
      <c r="PGD2" s="180"/>
      <c r="PGE2" s="180"/>
      <c r="PGF2" s="180"/>
      <c r="PGG2" s="180"/>
      <c r="PGH2" s="180"/>
      <c r="PGI2" s="180"/>
      <c r="PGJ2" s="180"/>
      <c r="PGK2" s="180"/>
      <c r="PGL2" s="180"/>
      <c r="PGM2" s="180"/>
      <c r="PGN2" s="180"/>
      <c r="PGO2" s="180"/>
      <c r="PGP2" s="180"/>
      <c r="PGQ2" s="180"/>
      <c r="PGR2" s="180"/>
      <c r="PGS2" s="180"/>
      <c r="PGT2" s="180"/>
      <c r="PGU2" s="180"/>
      <c r="PGV2" s="180"/>
      <c r="PGW2" s="180"/>
      <c r="PGX2" s="180"/>
      <c r="PGY2" s="180"/>
      <c r="PGZ2" s="180"/>
      <c r="PHA2" s="180"/>
      <c r="PHB2" s="180"/>
      <c r="PHC2" s="180"/>
      <c r="PHD2" s="180"/>
      <c r="PHE2" s="180"/>
      <c r="PHF2" s="180"/>
      <c r="PHG2" s="180"/>
      <c r="PHH2" s="180"/>
      <c r="PHI2" s="180"/>
      <c r="PHJ2" s="180"/>
      <c r="PHK2" s="180"/>
      <c r="PHL2" s="180"/>
      <c r="PHM2" s="180"/>
      <c r="PHN2" s="180"/>
      <c r="PHO2" s="180"/>
      <c r="PHP2" s="180"/>
      <c r="PHQ2" s="180"/>
      <c r="PHR2" s="180"/>
      <c r="PHS2" s="180"/>
      <c r="PHT2" s="180"/>
      <c r="PHU2" s="180"/>
      <c r="PHV2" s="180"/>
      <c r="PHW2" s="180"/>
      <c r="PHX2" s="180"/>
      <c r="PHY2" s="180"/>
      <c r="PHZ2" s="180"/>
      <c r="PIA2" s="180"/>
      <c r="PIB2" s="180"/>
      <c r="PIC2" s="180"/>
      <c r="PID2" s="180"/>
      <c r="PIE2" s="180"/>
      <c r="PIF2" s="180"/>
      <c r="PIG2" s="180"/>
      <c r="PIH2" s="180"/>
      <c r="PII2" s="180"/>
      <c r="PIJ2" s="180"/>
      <c r="PIK2" s="180"/>
      <c r="PIL2" s="180"/>
      <c r="PIM2" s="180"/>
      <c r="PIN2" s="180"/>
      <c r="PIO2" s="180"/>
      <c r="PIP2" s="180"/>
      <c r="PIQ2" s="180"/>
      <c r="PIR2" s="180"/>
      <c r="PIS2" s="180"/>
      <c r="PIT2" s="180"/>
      <c r="PIU2" s="180"/>
      <c r="PIV2" s="180"/>
      <c r="PIW2" s="180"/>
      <c r="PIX2" s="180"/>
      <c r="PIY2" s="180"/>
      <c r="PIZ2" s="180"/>
      <c r="PJA2" s="180"/>
      <c r="PJB2" s="180"/>
      <c r="PJC2" s="180"/>
      <c r="PJD2" s="180"/>
      <c r="PJE2" s="180"/>
      <c r="PJF2" s="180"/>
      <c r="PJG2" s="180"/>
      <c r="PJH2" s="180"/>
      <c r="PJI2" s="180"/>
      <c r="PJJ2" s="180"/>
      <c r="PJK2" s="180"/>
      <c r="PJL2" s="180"/>
      <c r="PJM2" s="180"/>
      <c r="PJN2" s="180"/>
      <c r="PJO2" s="180"/>
      <c r="PJP2" s="180"/>
      <c r="PJQ2" s="180"/>
      <c r="PJR2" s="180"/>
      <c r="PJS2" s="180"/>
      <c r="PJT2" s="180"/>
      <c r="PJU2" s="180"/>
      <c r="PJV2" s="180"/>
      <c r="PJW2" s="180"/>
      <c r="PJX2" s="180"/>
      <c r="PJY2" s="180"/>
      <c r="PJZ2" s="180"/>
      <c r="PKA2" s="180"/>
      <c r="PKB2" s="180"/>
      <c r="PKC2" s="180"/>
      <c r="PKD2" s="180"/>
      <c r="PKE2" s="180"/>
      <c r="PKF2" s="180"/>
      <c r="PKG2" s="180"/>
      <c r="PKH2" s="180"/>
      <c r="PKI2" s="180"/>
      <c r="PKJ2" s="180"/>
      <c r="PKK2" s="180"/>
      <c r="PKL2" s="180"/>
      <c r="PKM2" s="180"/>
      <c r="PKN2" s="180"/>
      <c r="PKO2" s="180"/>
      <c r="PKP2" s="180"/>
      <c r="PKQ2" s="180"/>
      <c r="PKR2" s="180"/>
      <c r="PKS2" s="180"/>
      <c r="PKT2" s="180"/>
      <c r="PKU2" s="180"/>
      <c r="PKV2" s="180"/>
      <c r="PKW2" s="180"/>
      <c r="PKX2" s="180"/>
      <c r="PKY2" s="180"/>
      <c r="PKZ2" s="180"/>
      <c r="PLA2" s="180"/>
      <c r="PLB2" s="180"/>
      <c r="PLC2" s="180"/>
      <c r="PLD2" s="180"/>
      <c r="PLE2" s="180"/>
      <c r="PLF2" s="180"/>
      <c r="PLG2" s="180"/>
      <c r="PLH2" s="180"/>
      <c r="PLI2" s="180"/>
      <c r="PLJ2" s="180"/>
      <c r="PLK2" s="180"/>
      <c r="PLL2" s="180"/>
      <c r="PLM2" s="180"/>
      <c r="PLN2" s="180"/>
      <c r="PLO2" s="180"/>
      <c r="PLP2" s="180"/>
      <c r="PLQ2" s="180"/>
      <c r="PLR2" s="180"/>
      <c r="PLS2" s="180"/>
      <c r="PLT2" s="180"/>
      <c r="PLU2" s="180"/>
      <c r="PLV2" s="180"/>
      <c r="PLW2" s="180"/>
      <c r="PLX2" s="180"/>
      <c r="PLY2" s="180"/>
      <c r="PLZ2" s="180"/>
      <c r="PMA2" s="180"/>
      <c r="PMB2" s="180"/>
      <c r="PMC2" s="180"/>
      <c r="PMD2" s="180"/>
      <c r="PME2" s="180"/>
      <c r="PMF2" s="180"/>
      <c r="PMG2" s="180"/>
      <c r="PMH2" s="180"/>
      <c r="PMI2" s="180"/>
      <c r="PMJ2" s="180"/>
      <c r="PMK2" s="180"/>
      <c r="PML2" s="180"/>
      <c r="PMM2" s="180"/>
      <c r="PMN2" s="180"/>
      <c r="PMO2" s="180"/>
      <c r="PMP2" s="180"/>
      <c r="PMQ2" s="180"/>
      <c r="PMR2" s="180"/>
      <c r="PMS2" s="180"/>
      <c r="PMT2" s="180"/>
      <c r="PMU2" s="180"/>
      <c r="PMV2" s="180"/>
      <c r="PMW2" s="180"/>
      <c r="PMX2" s="180"/>
      <c r="PMY2" s="180"/>
      <c r="PMZ2" s="180"/>
      <c r="PNA2" s="180"/>
      <c r="PNB2" s="180"/>
      <c r="PNC2" s="180"/>
      <c r="PND2" s="180"/>
      <c r="PNE2" s="180"/>
      <c r="PNF2" s="180"/>
      <c r="PNG2" s="180"/>
      <c r="PNH2" s="180"/>
      <c r="PNI2" s="180"/>
      <c r="PNJ2" s="180"/>
      <c r="PNK2" s="180"/>
      <c r="PNL2" s="180"/>
      <c r="PNM2" s="180"/>
      <c r="PNN2" s="180"/>
      <c r="PNO2" s="180"/>
      <c r="PNP2" s="180"/>
      <c r="PNQ2" s="180"/>
      <c r="PNR2" s="180"/>
      <c r="PNS2" s="180"/>
      <c r="PNT2" s="180"/>
      <c r="PNU2" s="180"/>
      <c r="PNV2" s="180"/>
      <c r="PNW2" s="180"/>
      <c r="PNX2" s="180"/>
      <c r="PNY2" s="180"/>
      <c r="PNZ2" s="180"/>
      <c r="POA2" s="180"/>
      <c r="POB2" s="180"/>
      <c r="POC2" s="180"/>
      <c r="POD2" s="180"/>
      <c r="POE2" s="180"/>
      <c r="POF2" s="180"/>
      <c r="POG2" s="180"/>
      <c r="POH2" s="180"/>
      <c r="POI2" s="180"/>
      <c r="POJ2" s="180"/>
      <c r="POK2" s="180"/>
      <c r="POL2" s="180"/>
      <c r="POM2" s="180"/>
      <c r="PON2" s="180"/>
      <c r="POO2" s="180"/>
      <c r="POP2" s="180"/>
      <c r="POQ2" s="180"/>
      <c r="POR2" s="180"/>
      <c r="POS2" s="180"/>
      <c r="POT2" s="180"/>
      <c r="POU2" s="180"/>
      <c r="POV2" s="180"/>
      <c r="POW2" s="180"/>
      <c r="POX2" s="180"/>
      <c r="POY2" s="180"/>
      <c r="POZ2" s="180"/>
      <c r="PPA2" s="180"/>
      <c r="PPB2" s="180"/>
      <c r="PPC2" s="180"/>
      <c r="PPD2" s="180"/>
      <c r="PPE2" s="180"/>
      <c r="PPF2" s="180"/>
      <c r="PPG2" s="180"/>
      <c r="PPH2" s="180"/>
      <c r="PPI2" s="180"/>
      <c r="PPJ2" s="180"/>
      <c r="PPK2" s="180"/>
      <c r="PPL2" s="180"/>
      <c r="PPM2" s="180"/>
      <c r="PPN2" s="180"/>
      <c r="PPO2" s="180"/>
      <c r="PPP2" s="180"/>
      <c r="PPQ2" s="180"/>
      <c r="PPR2" s="180"/>
      <c r="PPS2" s="180"/>
      <c r="PPT2" s="180"/>
      <c r="PPU2" s="180"/>
      <c r="PPV2" s="180"/>
      <c r="PPW2" s="180"/>
      <c r="PPX2" s="180"/>
      <c r="PPY2" s="180"/>
      <c r="PPZ2" s="180"/>
      <c r="PQA2" s="180"/>
      <c r="PQB2" s="180"/>
      <c r="PQC2" s="180"/>
      <c r="PQD2" s="180"/>
      <c r="PQE2" s="180"/>
      <c r="PQF2" s="180"/>
      <c r="PQG2" s="180"/>
      <c r="PQH2" s="180"/>
      <c r="PQI2" s="180"/>
      <c r="PQJ2" s="180"/>
      <c r="PQK2" s="180"/>
      <c r="PQL2" s="180"/>
      <c r="PQM2" s="180"/>
      <c r="PQN2" s="180"/>
      <c r="PQO2" s="180"/>
      <c r="PQP2" s="180"/>
      <c r="PQQ2" s="180"/>
      <c r="PQR2" s="180"/>
      <c r="PQS2" s="180"/>
      <c r="PQT2" s="180"/>
      <c r="PQU2" s="180"/>
      <c r="PQV2" s="180"/>
      <c r="PQW2" s="180"/>
      <c r="PQX2" s="180"/>
      <c r="PQY2" s="180"/>
      <c r="PQZ2" s="180"/>
      <c r="PRA2" s="180"/>
      <c r="PRB2" s="180"/>
      <c r="PRC2" s="180"/>
      <c r="PRD2" s="180"/>
      <c r="PRE2" s="180"/>
      <c r="PRF2" s="180"/>
      <c r="PRG2" s="180"/>
      <c r="PRH2" s="180"/>
      <c r="PRI2" s="180"/>
      <c r="PRJ2" s="180"/>
      <c r="PRK2" s="180"/>
      <c r="PRL2" s="180"/>
      <c r="PRM2" s="180"/>
      <c r="PRN2" s="180"/>
      <c r="PRO2" s="180"/>
      <c r="PRP2" s="180"/>
      <c r="PRQ2" s="180"/>
      <c r="PRR2" s="180"/>
      <c r="PRS2" s="180"/>
      <c r="PRT2" s="180"/>
      <c r="PRU2" s="180"/>
      <c r="PRV2" s="180"/>
      <c r="PRW2" s="180"/>
      <c r="PRX2" s="180"/>
      <c r="PRY2" s="180"/>
      <c r="PRZ2" s="180"/>
      <c r="PSA2" s="180"/>
      <c r="PSB2" s="180"/>
      <c r="PSC2" s="180"/>
      <c r="PSD2" s="180"/>
      <c r="PSE2" s="180"/>
      <c r="PSF2" s="180"/>
      <c r="PSG2" s="180"/>
      <c r="PSH2" s="180"/>
      <c r="PSI2" s="180"/>
      <c r="PSJ2" s="180"/>
      <c r="PSK2" s="180"/>
      <c r="PSL2" s="180"/>
      <c r="PSM2" s="180"/>
      <c r="PSN2" s="180"/>
      <c r="PSO2" s="180"/>
      <c r="PSP2" s="180"/>
      <c r="PSQ2" s="180"/>
      <c r="PSR2" s="180"/>
      <c r="PSS2" s="180"/>
      <c r="PST2" s="180"/>
      <c r="PSU2" s="180"/>
      <c r="PSV2" s="180"/>
      <c r="PSW2" s="180"/>
      <c r="PSX2" s="180"/>
      <c r="PSY2" s="180"/>
      <c r="PSZ2" s="180"/>
      <c r="PTA2" s="180"/>
      <c r="PTB2" s="180"/>
      <c r="PTC2" s="180"/>
      <c r="PTD2" s="180"/>
      <c r="PTE2" s="180"/>
      <c r="PTF2" s="180"/>
      <c r="PTG2" s="180"/>
      <c r="PTH2" s="180"/>
      <c r="PTI2" s="180"/>
      <c r="PTJ2" s="180"/>
      <c r="PTK2" s="180"/>
      <c r="PTL2" s="180"/>
      <c r="PTM2" s="180"/>
      <c r="PTN2" s="180"/>
      <c r="PTO2" s="180"/>
      <c r="PTP2" s="180"/>
      <c r="PTQ2" s="180"/>
      <c r="PTR2" s="180"/>
      <c r="PTS2" s="180"/>
      <c r="PTT2" s="180"/>
      <c r="PTU2" s="180"/>
      <c r="PTV2" s="180"/>
      <c r="PTW2" s="180"/>
      <c r="PTX2" s="180"/>
      <c r="PTY2" s="180"/>
      <c r="PTZ2" s="180"/>
      <c r="PUA2" s="180"/>
      <c r="PUB2" s="180"/>
      <c r="PUC2" s="180"/>
      <c r="PUD2" s="180"/>
      <c r="PUE2" s="180"/>
      <c r="PUF2" s="180"/>
      <c r="PUG2" s="180"/>
      <c r="PUH2" s="180"/>
      <c r="PUI2" s="180"/>
      <c r="PUJ2" s="180"/>
      <c r="PUK2" s="180"/>
      <c r="PUL2" s="180"/>
      <c r="PUM2" s="180"/>
      <c r="PUN2" s="180"/>
      <c r="PUO2" s="180"/>
      <c r="PUP2" s="180"/>
      <c r="PUQ2" s="180"/>
      <c r="PUR2" s="180"/>
      <c r="PUS2" s="180"/>
      <c r="PUT2" s="180"/>
      <c r="PUU2" s="180"/>
      <c r="PUV2" s="180"/>
      <c r="PUW2" s="180"/>
      <c r="PUX2" s="180"/>
      <c r="PUY2" s="180"/>
      <c r="PUZ2" s="180"/>
      <c r="PVA2" s="180"/>
      <c r="PVB2" s="180"/>
      <c r="PVC2" s="180"/>
      <c r="PVD2" s="180"/>
      <c r="PVE2" s="180"/>
      <c r="PVF2" s="180"/>
      <c r="PVG2" s="180"/>
      <c r="PVH2" s="180"/>
      <c r="PVI2" s="180"/>
      <c r="PVJ2" s="180"/>
      <c r="PVK2" s="180"/>
      <c r="PVL2" s="180"/>
      <c r="PVM2" s="180"/>
      <c r="PVN2" s="180"/>
      <c r="PVO2" s="180"/>
      <c r="PVP2" s="180"/>
      <c r="PVQ2" s="180"/>
      <c r="PVR2" s="180"/>
      <c r="PVS2" s="180"/>
      <c r="PVT2" s="180"/>
      <c r="PVU2" s="180"/>
      <c r="PVV2" s="180"/>
      <c r="PVW2" s="180"/>
      <c r="PVX2" s="180"/>
      <c r="PVY2" s="180"/>
      <c r="PVZ2" s="180"/>
      <c r="PWA2" s="180"/>
      <c r="PWB2" s="180"/>
      <c r="PWC2" s="180"/>
      <c r="PWD2" s="180"/>
      <c r="PWE2" s="180"/>
      <c r="PWF2" s="180"/>
      <c r="PWG2" s="180"/>
      <c r="PWH2" s="180"/>
      <c r="PWI2" s="180"/>
      <c r="PWJ2" s="180"/>
      <c r="PWK2" s="180"/>
      <c r="PWL2" s="180"/>
      <c r="PWM2" s="180"/>
      <c r="PWN2" s="180"/>
      <c r="PWO2" s="180"/>
      <c r="PWP2" s="180"/>
      <c r="PWQ2" s="180"/>
      <c r="PWR2" s="180"/>
      <c r="PWS2" s="180"/>
      <c r="PWT2" s="180"/>
      <c r="PWU2" s="180"/>
      <c r="PWV2" s="180"/>
      <c r="PWW2" s="180"/>
      <c r="PWX2" s="180"/>
      <c r="PWY2" s="180"/>
      <c r="PWZ2" s="180"/>
      <c r="PXA2" s="180"/>
      <c r="PXB2" s="180"/>
      <c r="PXC2" s="180"/>
      <c r="PXD2" s="180"/>
      <c r="PXE2" s="180"/>
      <c r="PXF2" s="180"/>
      <c r="PXG2" s="180"/>
      <c r="PXH2" s="180"/>
      <c r="PXI2" s="180"/>
      <c r="PXJ2" s="180"/>
      <c r="PXK2" s="180"/>
      <c r="PXL2" s="180"/>
      <c r="PXM2" s="180"/>
      <c r="PXN2" s="180"/>
      <c r="PXO2" s="180"/>
      <c r="PXP2" s="180"/>
      <c r="PXQ2" s="180"/>
      <c r="PXR2" s="180"/>
      <c r="PXS2" s="180"/>
      <c r="PXT2" s="180"/>
      <c r="PXU2" s="180"/>
      <c r="PXV2" s="180"/>
      <c r="PXW2" s="180"/>
      <c r="PXX2" s="180"/>
      <c r="PXY2" s="180"/>
      <c r="PXZ2" s="180"/>
      <c r="PYA2" s="180"/>
      <c r="PYB2" s="180"/>
      <c r="PYC2" s="180"/>
      <c r="PYD2" s="180"/>
      <c r="PYE2" s="180"/>
      <c r="PYF2" s="180"/>
      <c r="PYG2" s="180"/>
      <c r="PYH2" s="180"/>
      <c r="PYI2" s="180"/>
      <c r="PYJ2" s="180"/>
      <c r="PYK2" s="180"/>
      <c r="PYL2" s="180"/>
      <c r="PYM2" s="180"/>
      <c r="PYN2" s="180"/>
      <c r="PYO2" s="180"/>
      <c r="PYP2" s="180"/>
      <c r="PYQ2" s="180"/>
      <c r="PYR2" s="180"/>
      <c r="PYS2" s="180"/>
      <c r="PYT2" s="180"/>
      <c r="PYU2" s="180"/>
      <c r="PYV2" s="180"/>
      <c r="PYW2" s="180"/>
      <c r="PYX2" s="180"/>
      <c r="PYY2" s="180"/>
      <c r="PYZ2" s="180"/>
      <c r="PZA2" s="180"/>
      <c r="PZB2" s="180"/>
      <c r="PZC2" s="180"/>
      <c r="PZD2" s="180"/>
      <c r="PZE2" s="180"/>
      <c r="PZF2" s="180"/>
      <c r="PZG2" s="180"/>
      <c r="PZH2" s="180"/>
      <c r="PZI2" s="180"/>
      <c r="PZJ2" s="180"/>
      <c r="PZK2" s="180"/>
      <c r="PZL2" s="180"/>
      <c r="PZM2" s="180"/>
      <c r="PZN2" s="180"/>
      <c r="PZO2" s="180"/>
      <c r="PZP2" s="180"/>
      <c r="PZQ2" s="180"/>
      <c r="PZR2" s="180"/>
      <c r="PZS2" s="180"/>
      <c r="PZT2" s="180"/>
      <c r="PZU2" s="180"/>
      <c r="PZV2" s="180"/>
      <c r="PZW2" s="180"/>
      <c r="PZX2" s="180"/>
      <c r="PZY2" s="180"/>
      <c r="PZZ2" s="180"/>
      <c r="QAA2" s="180"/>
      <c r="QAB2" s="180"/>
      <c r="QAC2" s="180"/>
      <c r="QAD2" s="180"/>
      <c r="QAE2" s="180"/>
      <c r="QAF2" s="180"/>
      <c r="QAG2" s="180"/>
      <c r="QAH2" s="180"/>
      <c r="QAI2" s="180"/>
      <c r="QAJ2" s="180"/>
      <c r="QAK2" s="180"/>
      <c r="QAL2" s="180"/>
      <c r="QAM2" s="180"/>
      <c r="QAN2" s="180"/>
      <c r="QAO2" s="180"/>
      <c r="QAP2" s="180"/>
      <c r="QAQ2" s="180"/>
      <c r="QAR2" s="180"/>
      <c r="QAS2" s="180"/>
      <c r="QAT2" s="180"/>
      <c r="QAU2" s="180"/>
      <c r="QAV2" s="180"/>
      <c r="QAW2" s="180"/>
      <c r="QAX2" s="180"/>
      <c r="QAY2" s="180"/>
      <c r="QAZ2" s="180"/>
      <c r="QBA2" s="180"/>
      <c r="QBB2" s="180"/>
      <c r="QBC2" s="180"/>
      <c r="QBD2" s="180"/>
      <c r="QBE2" s="180"/>
      <c r="QBF2" s="180"/>
      <c r="QBG2" s="180"/>
      <c r="QBH2" s="180"/>
      <c r="QBI2" s="180"/>
      <c r="QBJ2" s="180"/>
      <c r="QBK2" s="180"/>
      <c r="QBL2" s="180"/>
      <c r="QBM2" s="180"/>
      <c r="QBN2" s="180"/>
      <c r="QBO2" s="180"/>
      <c r="QBP2" s="180"/>
      <c r="QBQ2" s="180"/>
      <c r="QBR2" s="180"/>
      <c r="QBS2" s="180"/>
      <c r="QBT2" s="180"/>
      <c r="QBU2" s="180"/>
      <c r="QBV2" s="180"/>
      <c r="QBW2" s="180"/>
      <c r="QBX2" s="180"/>
      <c r="QBY2" s="180"/>
      <c r="QBZ2" s="180"/>
      <c r="QCA2" s="180"/>
      <c r="QCB2" s="180"/>
      <c r="QCC2" s="180"/>
      <c r="QCD2" s="180"/>
      <c r="QCE2" s="180"/>
      <c r="QCF2" s="180"/>
      <c r="QCG2" s="180"/>
      <c r="QCH2" s="180"/>
      <c r="QCI2" s="180"/>
      <c r="QCJ2" s="180"/>
      <c r="QCK2" s="180"/>
      <c r="QCL2" s="180"/>
      <c r="QCM2" s="180"/>
      <c r="QCN2" s="180"/>
      <c r="QCO2" s="180"/>
      <c r="QCP2" s="180"/>
      <c r="QCQ2" s="180"/>
      <c r="QCR2" s="180"/>
      <c r="QCS2" s="180"/>
      <c r="QCT2" s="180"/>
      <c r="QCU2" s="180"/>
      <c r="QCV2" s="180"/>
      <c r="QCW2" s="180"/>
      <c r="QCX2" s="180"/>
      <c r="QCY2" s="180"/>
      <c r="QCZ2" s="180"/>
      <c r="QDA2" s="180"/>
      <c r="QDB2" s="180"/>
      <c r="QDC2" s="180"/>
      <c r="QDD2" s="180"/>
      <c r="QDE2" s="180"/>
      <c r="QDF2" s="180"/>
      <c r="QDG2" s="180"/>
      <c r="QDH2" s="180"/>
      <c r="QDI2" s="180"/>
      <c r="QDJ2" s="180"/>
      <c r="QDK2" s="180"/>
      <c r="QDL2" s="180"/>
      <c r="QDM2" s="180"/>
      <c r="QDN2" s="180"/>
      <c r="QDO2" s="180"/>
      <c r="QDP2" s="180"/>
      <c r="QDQ2" s="180"/>
      <c r="QDR2" s="180"/>
      <c r="QDS2" s="180"/>
      <c r="QDT2" s="180"/>
      <c r="QDU2" s="180"/>
      <c r="QDV2" s="180"/>
      <c r="QDW2" s="180"/>
      <c r="QDX2" s="180"/>
      <c r="QDY2" s="180"/>
      <c r="QDZ2" s="180"/>
      <c r="QEA2" s="180"/>
      <c r="QEB2" s="180"/>
      <c r="QEC2" s="180"/>
      <c r="QED2" s="180"/>
      <c r="QEE2" s="180"/>
      <c r="QEF2" s="180"/>
      <c r="QEG2" s="180"/>
      <c r="QEH2" s="180"/>
      <c r="QEI2" s="180"/>
      <c r="QEJ2" s="180"/>
      <c r="QEK2" s="180"/>
      <c r="QEL2" s="180"/>
      <c r="QEM2" s="180"/>
      <c r="QEN2" s="180"/>
      <c r="QEO2" s="180"/>
      <c r="QEP2" s="180"/>
      <c r="QEQ2" s="180"/>
      <c r="QER2" s="180"/>
      <c r="QES2" s="180"/>
      <c r="QET2" s="180"/>
      <c r="QEU2" s="180"/>
      <c r="QEV2" s="180"/>
      <c r="QEW2" s="180"/>
      <c r="QEX2" s="180"/>
      <c r="QEY2" s="180"/>
      <c r="QEZ2" s="180"/>
      <c r="QFA2" s="180"/>
      <c r="QFB2" s="180"/>
      <c r="QFC2" s="180"/>
      <c r="QFD2" s="180"/>
      <c r="QFE2" s="180"/>
      <c r="QFF2" s="180"/>
      <c r="QFG2" s="180"/>
      <c r="QFH2" s="180"/>
      <c r="QFI2" s="180"/>
      <c r="QFJ2" s="180"/>
      <c r="QFK2" s="180"/>
      <c r="QFL2" s="180"/>
      <c r="QFM2" s="180"/>
      <c r="QFN2" s="180"/>
      <c r="QFO2" s="180"/>
      <c r="QFP2" s="180"/>
      <c r="QFQ2" s="180"/>
      <c r="QFR2" s="180"/>
      <c r="QFS2" s="180"/>
      <c r="QFT2" s="180"/>
      <c r="QFU2" s="180"/>
      <c r="QFV2" s="180"/>
      <c r="QFW2" s="180"/>
      <c r="QFX2" s="180"/>
      <c r="QFY2" s="180"/>
      <c r="QFZ2" s="180"/>
      <c r="QGA2" s="180"/>
      <c r="QGB2" s="180"/>
      <c r="QGC2" s="180"/>
      <c r="QGD2" s="180"/>
      <c r="QGE2" s="180"/>
      <c r="QGF2" s="180"/>
      <c r="QGG2" s="180"/>
      <c r="QGH2" s="180"/>
      <c r="QGI2" s="180"/>
      <c r="QGJ2" s="180"/>
      <c r="QGK2" s="180"/>
      <c r="QGL2" s="180"/>
      <c r="QGM2" s="180"/>
      <c r="QGN2" s="180"/>
      <c r="QGO2" s="180"/>
      <c r="QGP2" s="180"/>
      <c r="QGQ2" s="180"/>
      <c r="QGR2" s="180"/>
      <c r="QGS2" s="180"/>
      <c r="QGT2" s="180"/>
      <c r="QGU2" s="180"/>
      <c r="QGV2" s="180"/>
      <c r="QGW2" s="180"/>
      <c r="QGX2" s="180"/>
      <c r="QGY2" s="180"/>
      <c r="QGZ2" s="180"/>
      <c r="QHA2" s="180"/>
      <c r="QHB2" s="180"/>
      <c r="QHC2" s="180"/>
      <c r="QHD2" s="180"/>
      <c r="QHE2" s="180"/>
      <c r="QHF2" s="180"/>
      <c r="QHG2" s="180"/>
      <c r="QHH2" s="180"/>
      <c r="QHI2" s="180"/>
      <c r="QHJ2" s="180"/>
      <c r="QHK2" s="180"/>
      <c r="QHL2" s="180"/>
      <c r="QHM2" s="180"/>
      <c r="QHN2" s="180"/>
      <c r="QHO2" s="180"/>
      <c r="QHP2" s="180"/>
      <c r="QHQ2" s="180"/>
      <c r="QHR2" s="180"/>
      <c r="QHS2" s="180"/>
      <c r="QHT2" s="180"/>
      <c r="QHU2" s="180"/>
      <c r="QHV2" s="180"/>
      <c r="QHW2" s="180"/>
      <c r="QHX2" s="180"/>
      <c r="QHY2" s="180"/>
      <c r="QHZ2" s="180"/>
      <c r="QIA2" s="180"/>
      <c r="QIB2" s="180"/>
      <c r="QIC2" s="180"/>
      <c r="QID2" s="180"/>
      <c r="QIE2" s="180"/>
      <c r="QIF2" s="180"/>
      <c r="QIG2" s="180"/>
      <c r="QIH2" s="180"/>
      <c r="QII2" s="180"/>
      <c r="QIJ2" s="180"/>
      <c r="QIK2" s="180"/>
      <c r="QIL2" s="180"/>
      <c r="QIM2" s="180"/>
      <c r="QIN2" s="180"/>
      <c r="QIO2" s="180"/>
      <c r="QIP2" s="180"/>
      <c r="QIQ2" s="180"/>
      <c r="QIR2" s="180"/>
      <c r="QIS2" s="180"/>
      <c r="QIT2" s="180"/>
      <c r="QIU2" s="180"/>
      <c r="QIV2" s="180"/>
      <c r="QIW2" s="180"/>
      <c r="QIX2" s="180"/>
      <c r="QIY2" s="180"/>
      <c r="QIZ2" s="180"/>
      <c r="QJA2" s="180"/>
      <c r="QJB2" s="180"/>
      <c r="QJC2" s="180"/>
      <c r="QJD2" s="180"/>
      <c r="QJE2" s="180"/>
      <c r="QJF2" s="180"/>
      <c r="QJG2" s="180"/>
      <c r="QJH2" s="180"/>
      <c r="QJI2" s="180"/>
      <c r="QJJ2" s="180"/>
      <c r="QJK2" s="180"/>
      <c r="QJL2" s="180"/>
      <c r="QJM2" s="180"/>
      <c r="QJN2" s="180"/>
      <c r="QJO2" s="180"/>
      <c r="QJP2" s="180"/>
      <c r="QJQ2" s="180"/>
      <c r="QJR2" s="180"/>
      <c r="QJS2" s="180"/>
      <c r="QJT2" s="180"/>
      <c r="QJU2" s="180"/>
      <c r="QJV2" s="180"/>
      <c r="QJW2" s="180"/>
      <c r="QJX2" s="180"/>
      <c r="QJY2" s="180"/>
      <c r="QJZ2" s="180"/>
      <c r="QKA2" s="180"/>
      <c r="QKB2" s="180"/>
      <c r="QKC2" s="180"/>
      <c r="QKD2" s="180"/>
      <c r="QKE2" s="180"/>
      <c r="QKF2" s="180"/>
      <c r="QKG2" s="180"/>
      <c r="QKH2" s="180"/>
      <c r="QKI2" s="180"/>
      <c r="QKJ2" s="180"/>
      <c r="QKK2" s="180"/>
      <c r="QKL2" s="180"/>
      <c r="QKM2" s="180"/>
      <c r="QKN2" s="180"/>
      <c r="QKO2" s="180"/>
      <c r="QKP2" s="180"/>
      <c r="QKQ2" s="180"/>
      <c r="QKR2" s="180"/>
      <c r="QKS2" s="180"/>
      <c r="QKT2" s="180"/>
      <c r="QKU2" s="180"/>
      <c r="QKV2" s="180"/>
      <c r="QKW2" s="180"/>
      <c r="QKX2" s="180"/>
      <c r="QKY2" s="180"/>
      <c r="QKZ2" s="180"/>
      <c r="QLA2" s="180"/>
      <c r="QLB2" s="180"/>
      <c r="QLC2" s="180"/>
      <c r="QLD2" s="180"/>
      <c r="QLE2" s="180"/>
      <c r="QLF2" s="180"/>
      <c r="QLG2" s="180"/>
      <c r="QLH2" s="180"/>
      <c r="QLI2" s="180"/>
      <c r="QLJ2" s="180"/>
      <c r="QLK2" s="180"/>
      <c r="QLL2" s="180"/>
      <c r="QLM2" s="180"/>
      <c r="QLN2" s="180"/>
      <c r="QLO2" s="180"/>
      <c r="QLP2" s="180"/>
      <c r="QLQ2" s="180"/>
      <c r="QLR2" s="180"/>
      <c r="QLS2" s="180"/>
      <c r="QLT2" s="180"/>
      <c r="QLU2" s="180"/>
      <c r="QLV2" s="180"/>
      <c r="QLW2" s="180"/>
      <c r="QLX2" s="180"/>
      <c r="QLY2" s="180"/>
      <c r="QLZ2" s="180"/>
      <c r="QMA2" s="180"/>
      <c r="QMB2" s="180"/>
      <c r="QMC2" s="180"/>
      <c r="QMD2" s="180"/>
      <c r="QME2" s="180"/>
      <c r="QMF2" s="180"/>
      <c r="QMG2" s="180"/>
      <c r="QMH2" s="180"/>
      <c r="QMI2" s="180"/>
      <c r="QMJ2" s="180"/>
      <c r="QMK2" s="180"/>
      <c r="QML2" s="180"/>
      <c r="QMM2" s="180"/>
      <c r="QMN2" s="180"/>
      <c r="QMO2" s="180"/>
      <c r="QMP2" s="180"/>
      <c r="QMQ2" s="180"/>
      <c r="QMR2" s="180"/>
      <c r="QMS2" s="180"/>
      <c r="QMT2" s="180"/>
      <c r="QMU2" s="180"/>
      <c r="QMV2" s="180"/>
      <c r="QMW2" s="180"/>
      <c r="QMX2" s="180"/>
      <c r="QMY2" s="180"/>
      <c r="QMZ2" s="180"/>
      <c r="QNA2" s="180"/>
      <c r="QNB2" s="180"/>
      <c r="QNC2" s="180"/>
      <c r="QND2" s="180"/>
      <c r="QNE2" s="180"/>
      <c r="QNF2" s="180"/>
      <c r="QNG2" s="180"/>
      <c r="QNH2" s="180"/>
      <c r="QNI2" s="180"/>
      <c r="QNJ2" s="180"/>
      <c r="QNK2" s="180"/>
      <c r="QNL2" s="180"/>
      <c r="QNM2" s="180"/>
      <c r="QNN2" s="180"/>
      <c r="QNO2" s="180"/>
      <c r="QNP2" s="180"/>
      <c r="QNQ2" s="180"/>
      <c r="QNR2" s="180"/>
      <c r="QNS2" s="180"/>
      <c r="QNT2" s="180"/>
      <c r="QNU2" s="180"/>
      <c r="QNV2" s="180"/>
      <c r="QNW2" s="180"/>
      <c r="QNX2" s="180"/>
      <c r="QNY2" s="180"/>
      <c r="QNZ2" s="180"/>
      <c r="QOA2" s="180"/>
      <c r="QOB2" s="180"/>
      <c r="QOC2" s="180"/>
      <c r="QOD2" s="180"/>
      <c r="QOE2" s="180"/>
      <c r="QOF2" s="180"/>
      <c r="QOG2" s="180"/>
      <c r="QOH2" s="180"/>
      <c r="QOI2" s="180"/>
      <c r="QOJ2" s="180"/>
      <c r="QOK2" s="180"/>
      <c r="QOL2" s="180"/>
      <c r="QOM2" s="180"/>
      <c r="QON2" s="180"/>
      <c r="QOO2" s="180"/>
      <c r="QOP2" s="180"/>
      <c r="QOQ2" s="180"/>
      <c r="QOR2" s="180"/>
      <c r="QOS2" s="180"/>
      <c r="QOT2" s="180"/>
      <c r="QOU2" s="180"/>
      <c r="QOV2" s="180"/>
      <c r="QOW2" s="180"/>
      <c r="QOX2" s="180"/>
      <c r="QOY2" s="180"/>
      <c r="QOZ2" s="180"/>
      <c r="QPA2" s="180"/>
      <c r="QPB2" s="180"/>
      <c r="QPC2" s="180"/>
      <c r="QPD2" s="180"/>
      <c r="QPE2" s="180"/>
      <c r="QPF2" s="180"/>
      <c r="QPG2" s="180"/>
      <c r="QPH2" s="180"/>
      <c r="QPI2" s="180"/>
      <c r="QPJ2" s="180"/>
      <c r="QPK2" s="180"/>
      <c r="QPL2" s="180"/>
      <c r="QPM2" s="180"/>
      <c r="QPN2" s="180"/>
      <c r="QPO2" s="180"/>
      <c r="QPP2" s="180"/>
      <c r="QPQ2" s="180"/>
      <c r="QPR2" s="180"/>
      <c r="QPS2" s="180"/>
      <c r="QPT2" s="180"/>
      <c r="QPU2" s="180"/>
      <c r="QPV2" s="180"/>
      <c r="QPW2" s="180"/>
      <c r="QPX2" s="180"/>
      <c r="QPY2" s="180"/>
      <c r="QPZ2" s="180"/>
      <c r="QQA2" s="180"/>
      <c r="QQB2" s="180"/>
      <c r="QQC2" s="180"/>
      <c r="QQD2" s="180"/>
      <c r="QQE2" s="180"/>
      <c r="QQF2" s="180"/>
      <c r="QQG2" s="180"/>
      <c r="QQH2" s="180"/>
      <c r="QQI2" s="180"/>
      <c r="QQJ2" s="180"/>
      <c r="QQK2" s="180"/>
      <c r="QQL2" s="180"/>
      <c r="QQM2" s="180"/>
      <c r="QQN2" s="180"/>
      <c r="QQO2" s="180"/>
      <c r="QQP2" s="180"/>
      <c r="QQQ2" s="180"/>
      <c r="QQR2" s="180"/>
      <c r="QQS2" s="180"/>
      <c r="QQT2" s="180"/>
      <c r="QQU2" s="180"/>
      <c r="QQV2" s="180"/>
      <c r="QQW2" s="180"/>
      <c r="QQX2" s="180"/>
      <c r="QQY2" s="180"/>
      <c r="QQZ2" s="180"/>
      <c r="QRA2" s="180"/>
      <c r="QRB2" s="180"/>
      <c r="QRC2" s="180"/>
      <c r="QRD2" s="180"/>
      <c r="QRE2" s="180"/>
      <c r="QRF2" s="180"/>
      <c r="QRG2" s="180"/>
      <c r="QRH2" s="180"/>
      <c r="QRI2" s="180"/>
      <c r="QRJ2" s="180"/>
      <c r="QRK2" s="180"/>
      <c r="QRL2" s="180"/>
      <c r="QRM2" s="180"/>
      <c r="QRN2" s="180"/>
      <c r="QRO2" s="180"/>
      <c r="QRP2" s="180"/>
      <c r="QRQ2" s="180"/>
      <c r="QRR2" s="180"/>
      <c r="QRS2" s="180"/>
      <c r="QRT2" s="180"/>
      <c r="QRU2" s="180"/>
      <c r="QRV2" s="180"/>
      <c r="QRW2" s="180"/>
      <c r="QRX2" s="180"/>
      <c r="QRY2" s="180"/>
      <c r="QRZ2" s="180"/>
      <c r="QSA2" s="180"/>
      <c r="QSB2" s="180"/>
      <c r="QSC2" s="180"/>
      <c r="QSD2" s="180"/>
      <c r="QSE2" s="180"/>
      <c r="QSF2" s="180"/>
      <c r="QSG2" s="180"/>
      <c r="QSH2" s="180"/>
      <c r="QSI2" s="180"/>
      <c r="QSJ2" s="180"/>
      <c r="QSK2" s="180"/>
      <c r="QSL2" s="180"/>
      <c r="QSM2" s="180"/>
      <c r="QSN2" s="180"/>
      <c r="QSO2" s="180"/>
      <c r="QSP2" s="180"/>
      <c r="QSQ2" s="180"/>
      <c r="QSR2" s="180"/>
      <c r="QSS2" s="180"/>
      <c r="QST2" s="180"/>
      <c r="QSU2" s="180"/>
      <c r="QSV2" s="180"/>
      <c r="QSW2" s="180"/>
      <c r="QSX2" s="180"/>
      <c r="QSY2" s="180"/>
      <c r="QSZ2" s="180"/>
      <c r="QTA2" s="180"/>
      <c r="QTB2" s="180"/>
      <c r="QTC2" s="180"/>
      <c r="QTD2" s="180"/>
      <c r="QTE2" s="180"/>
      <c r="QTF2" s="180"/>
      <c r="QTG2" s="180"/>
      <c r="QTH2" s="180"/>
      <c r="QTI2" s="180"/>
      <c r="QTJ2" s="180"/>
      <c r="QTK2" s="180"/>
      <c r="QTL2" s="180"/>
      <c r="QTM2" s="180"/>
      <c r="QTN2" s="180"/>
      <c r="QTO2" s="180"/>
      <c r="QTP2" s="180"/>
      <c r="QTQ2" s="180"/>
      <c r="QTR2" s="180"/>
      <c r="QTS2" s="180"/>
      <c r="QTT2" s="180"/>
      <c r="QTU2" s="180"/>
      <c r="QTV2" s="180"/>
      <c r="QTW2" s="180"/>
      <c r="QTX2" s="180"/>
      <c r="QTY2" s="180"/>
      <c r="QTZ2" s="180"/>
      <c r="QUA2" s="180"/>
      <c r="QUB2" s="180"/>
      <c r="QUC2" s="180"/>
      <c r="QUD2" s="180"/>
      <c r="QUE2" s="180"/>
      <c r="QUF2" s="180"/>
      <c r="QUG2" s="180"/>
      <c r="QUH2" s="180"/>
      <c r="QUI2" s="180"/>
      <c r="QUJ2" s="180"/>
      <c r="QUK2" s="180"/>
      <c r="QUL2" s="180"/>
      <c r="QUM2" s="180"/>
      <c r="QUN2" s="180"/>
      <c r="QUO2" s="180"/>
      <c r="QUP2" s="180"/>
      <c r="QUQ2" s="180"/>
      <c r="QUR2" s="180"/>
      <c r="QUS2" s="180"/>
      <c r="QUT2" s="180"/>
      <c r="QUU2" s="180"/>
      <c r="QUV2" s="180"/>
      <c r="QUW2" s="180"/>
      <c r="QUX2" s="180"/>
      <c r="QUY2" s="180"/>
      <c r="QUZ2" s="180"/>
      <c r="QVA2" s="180"/>
      <c r="QVB2" s="180"/>
      <c r="QVC2" s="180"/>
      <c r="QVD2" s="180"/>
      <c r="QVE2" s="180"/>
      <c r="QVF2" s="180"/>
      <c r="QVG2" s="180"/>
      <c r="QVH2" s="180"/>
      <c r="QVI2" s="180"/>
      <c r="QVJ2" s="180"/>
      <c r="QVK2" s="180"/>
      <c r="QVL2" s="180"/>
      <c r="QVM2" s="180"/>
      <c r="QVN2" s="180"/>
      <c r="QVO2" s="180"/>
      <c r="QVP2" s="180"/>
      <c r="QVQ2" s="180"/>
      <c r="QVR2" s="180"/>
      <c r="QVS2" s="180"/>
      <c r="QVT2" s="180"/>
      <c r="QVU2" s="180"/>
      <c r="QVV2" s="180"/>
      <c r="QVW2" s="180"/>
      <c r="QVX2" s="180"/>
      <c r="QVY2" s="180"/>
      <c r="QVZ2" s="180"/>
      <c r="QWA2" s="180"/>
      <c r="QWB2" s="180"/>
      <c r="QWC2" s="180"/>
      <c r="QWD2" s="180"/>
      <c r="QWE2" s="180"/>
      <c r="QWF2" s="180"/>
      <c r="QWG2" s="180"/>
      <c r="QWH2" s="180"/>
      <c r="QWI2" s="180"/>
      <c r="QWJ2" s="180"/>
      <c r="QWK2" s="180"/>
      <c r="QWL2" s="180"/>
      <c r="QWM2" s="180"/>
      <c r="QWN2" s="180"/>
      <c r="QWO2" s="180"/>
      <c r="QWP2" s="180"/>
      <c r="QWQ2" s="180"/>
      <c r="QWR2" s="180"/>
      <c r="QWS2" s="180"/>
      <c r="QWT2" s="180"/>
      <c r="QWU2" s="180"/>
      <c r="QWV2" s="180"/>
      <c r="QWW2" s="180"/>
      <c r="QWX2" s="180"/>
      <c r="QWY2" s="180"/>
      <c r="QWZ2" s="180"/>
      <c r="QXA2" s="180"/>
      <c r="QXB2" s="180"/>
      <c r="QXC2" s="180"/>
      <c r="QXD2" s="180"/>
      <c r="QXE2" s="180"/>
      <c r="QXF2" s="180"/>
      <c r="QXG2" s="180"/>
      <c r="QXH2" s="180"/>
      <c r="QXI2" s="180"/>
      <c r="QXJ2" s="180"/>
      <c r="QXK2" s="180"/>
      <c r="QXL2" s="180"/>
      <c r="QXM2" s="180"/>
      <c r="QXN2" s="180"/>
      <c r="QXO2" s="180"/>
      <c r="QXP2" s="180"/>
      <c r="QXQ2" s="180"/>
      <c r="QXR2" s="180"/>
      <c r="QXS2" s="180"/>
      <c r="QXT2" s="180"/>
      <c r="QXU2" s="180"/>
      <c r="QXV2" s="180"/>
      <c r="QXW2" s="180"/>
      <c r="QXX2" s="180"/>
      <c r="QXY2" s="180"/>
      <c r="QXZ2" s="180"/>
      <c r="QYA2" s="180"/>
      <c r="QYB2" s="180"/>
      <c r="QYC2" s="180"/>
      <c r="QYD2" s="180"/>
      <c r="QYE2" s="180"/>
      <c r="QYF2" s="180"/>
      <c r="QYG2" s="180"/>
      <c r="QYH2" s="180"/>
      <c r="QYI2" s="180"/>
      <c r="QYJ2" s="180"/>
      <c r="QYK2" s="180"/>
      <c r="QYL2" s="180"/>
      <c r="QYM2" s="180"/>
      <c r="QYN2" s="180"/>
      <c r="QYO2" s="180"/>
      <c r="QYP2" s="180"/>
      <c r="QYQ2" s="180"/>
      <c r="QYR2" s="180"/>
      <c r="QYS2" s="180"/>
      <c r="QYT2" s="180"/>
      <c r="QYU2" s="180"/>
      <c r="QYV2" s="180"/>
      <c r="QYW2" s="180"/>
      <c r="QYX2" s="180"/>
      <c r="QYY2" s="180"/>
      <c r="QYZ2" s="180"/>
      <c r="QZA2" s="180"/>
      <c r="QZB2" s="180"/>
      <c r="QZC2" s="180"/>
      <c r="QZD2" s="180"/>
      <c r="QZE2" s="180"/>
      <c r="QZF2" s="180"/>
      <c r="QZG2" s="180"/>
      <c r="QZH2" s="180"/>
      <c r="QZI2" s="180"/>
      <c r="QZJ2" s="180"/>
      <c r="QZK2" s="180"/>
      <c r="QZL2" s="180"/>
      <c r="QZM2" s="180"/>
      <c r="QZN2" s="180"/>
      <c r="QZO2" s="180"/>
      <c r="QZP2" s="180"/>
      <c r="QZQ2" s="180"/>
      <c r="QZR2" s="180"/>
      <c r="QZS2" s="180"/>
      <c r="QZT2" s="180"/>
      <c r="QZU2" s="180"/>
      <c r="QZV2" s="180"/>
      <c r="QZW2" s="180"/>
      <c r="QZX2" s="180"/>
      <c r="QZY2" s="180"/>
      <c r="QZZ2" s="180"/>
      <c r="RAA2" s="180"/>
      <c r="RAB2" s="180"/>
      <c r="RAC2" s="180"/>
      <c r="RAD2" s="180"/>
      <c r="RAE2" s="180"/>
      <c r="RAF2" s="180"/>
      <c r="RAG2" s="180"/>
      <c r="RAH2" s="180"/>
      <c r="RAI2" s="180"/>
      <c r="RAJ2" s="180"/>
      <c r="RAK2" s="180"/>
      <c r="RAL2" s="180"/>
      <c r="RAM2" s="180"/>
      <c r="RAN2" s="180"/>
      <c r="RAO2" s="180"/>
      <c r="RAP2" s="180"/>
      <c r="RAQ2" s="180"/>
      <c r="RAR2" s="180"/>
      <c r="RAS2" s="180"/>
      <c r="RAT2" s="180"/>
      <c r="RAU2" s="180"/>
      <c r="RAV2" s="180"/>
      <c r="RAW2" s="180"/>
      <c r="RAX2" s="180"/>
      <c r="RAY2" s="180"/>
      <c r="RAZ2" s="180"/>
      <c r="RBA2" s="180"/>
      <c r="RBB2" s="180"/>
      <c r="RBC2" s="180"/>
      <c r="RBD2" s="180"/>
      <c r="RBE2" s="180"/>
      <c r="RBF2" s="180"/>
      <c r="RBG2" s="180"/>
      <c r="RBH2" s="180"/>
      <c r="RBI2" s="180"/>
      <c r="RBJ2" s="180"/>
      <c r="RBK2" s="180"/>
      <c r="RBL2" s="180"/>
      <c r="RBM2" s="180"/>
      <c r="RBN2" s="180"/>
      <c r="RBO2" s="180"/>
      <c r="RBP2" s="180"/>
      <c r="RBQ2" s="180"/>
      <c r="RBR2" s="180"/>
      <c r="RBS2" s="180"/>
      <c r="RBT2" s="180"/>
      <c r="RBU2" s="180"/>
      <c r="RBV2" s="180"/>
      <c r="RBW2" s="180"/>
      <c r="RBX2" s="180"/>
      <c r="RBY2" s="180"/>
      <c r="RBZ2" s="180"/>
      <c r="RCA2" s="180"/>
      <c r="RCB2" s="180"/>
      <c r="RCC2" s="180"/>
      <c r="RCD2" s="180"/>
      <c r="RCE2" s="180"/>
      <c r="RCF2" s="180"/>
      <c r="RCG2" s="180"/>
      <c r="RCH2" s="180"/>
      <c r="RCI2" s="180"/>
      <c r="RCJ2" s="180"/>
      <c r="RCK2" s="180"/>
      <c r="RCL2" s="180"/>
      <c r="RCM2" s="180"/>
      <c r="RCN2" s="180"/>
      <c r="RCO2" s="180"/>
      <c r="RCP2" s="180"/>
      <c r="RCQ2" s="180"/>
      <c r="RCR2" s="180"/>
      <c r="RCS2" s="180"/>
      <c r="RCT2" s="180"/>
      <c r="RCU2" s="180"/>
      <c r="RCV2" s="180"/>
      <c r="RCW2" s="180"/>
      <c r="RCX2" s="180"/>
      <c r="RCY2" s="180"/>
      <c r="RCZ2" s="180"/>
      <c r="RDA2" s="180"/>
      <c r="RDB2" s="180"/>
      <c r="RDC2" s="180"/>
      <c r="RDD2" s="180"/>
      <c r="RDE2" s="180"/>
      <c r="RDF2" s="180"/>
      <c r="RDG2" s="180"/>
      <c r="RDH2" s="180"/>
      <c r="RDI2" s="180"/>
      <c r="RDJ2" s="180"/>
      <c r="RDK2" s="180"/>
      <c r="RDL2" s="180"/>
      <c r="RDM2" s="180"/>
      <c r="RDN2" s="180"/>
      <c r="RDO2" s="180"/>
      <c r="RDP2" s="180"/>
      <c r="RDQ2" s="180"/>
      <c r="RDR2" s="180"/>
      <c r="RDS2" s="180"/>
      <c r="RDT2" s="180"/>
      <c r="RDU2" s="180"/>
      <c r="RDV2" s="180"/>
      <c r="RDW2" s="180"/>
      <c r="RDX2" s="180"/>
      <c r="RDY2" s="180"/>
      <c r="RDZ2" s="180"/>
      <c r="REA2" s="180"/>
      <c r="REB2" s="180"/>
      <c r="REC2" s="180"/>
      <c r="RED2" s="180"/>
      <c r="REE2" s="180"/>
      <c r="REF2" s="180"/>
      <c r="REG2" s="180"/>
      <c r="REH2" s="180"/>
      <c r="REI2" s="180"/>
      <c r="REJ2" s="180"/>
      <c r="REK2" s="180"/>
      <c r="REL2" s="180"/>
      <c r="REM2" s="180"/>
      <c r="REN2" s="180"/>
      <c r="REO2" s="180"/>
      <c r="REP2" s="180"/>
      <c r="REQ2" s="180"/>
      <c r="RER2" s="180"/>
      <c r="RES2" s="180"/>
      <c r="RET2" s="180"/>
      <c r="REU2" s="180"/>
      <c r="REV2" s="180"/>
      <c r="REW2" s="180"/>
      <c r="REX2" s="180"/>
      <c r="REY2" s="180"/>
      <c r="REZ2" s="180"/>
      <c r="RFA2" s="180"/>
      <c r="RFB2" s="180"/>
      <c r="RFC2" s="180"/>
      <c r="RFD2" s="180"/>
      <c r="RFE2" s="180"/>
      <c r="RFF2" s="180"/>
      <c r="RFG2" s="180"/>
      <c r="RFH2" s="180"/>
      <c r="RFI2" s="180"/>
      <c r="RFJ2" s="180"/>
      <c r="RFK2" s="180"/>
      <c r="RFL2" s="180"/>
      <c r="RFM2" s="180"/>
      <c r="RFN2" s="180"/>
      <c r="RFO2" s="180"/>
      <c r="RFP2" s="180"/>
      <c r="RFQ2" s="180"/>
      <c r="RFR2" s="180"/>
      <c r="RFS2" s="180"/>
      <c r="RFT2" s="180"/>
      <c r="RFU2" s="180"/>
      <c r="RFV2" s="180"/>
      <c r="RFW2" s="180"/>
      <c r="RFX2" s="180"/>
      <c r="RFY2" s="180"/>
      <c r="RFZ2" s="180"/>
      <c r="RGA2" s="180"/>
      <c r="RGB2" s="180"/>
      <c r="RGC2" s="180"/>
      <c r="RGD2" s="180"/>
      <c r="RGE2" s="180"/>
      <c r="RGF2" s="180"/>
      <c r="RGG2" s="180"/>
      <c r="RGH2" s="180"/>
      <c r="RGI2" s="180"/>
      <c r="RGJ2" s="180"/>
      <c r="RGK2" s="180"/>
      <c r="RGL2" s="180"/>
      <c r="RGM2" s="180"/>
      <c r="RGN2" s="180"/>
      <c r="RGO2" s="180"/>
      <c r="RGP2" s="180"/>
      <c r="RGQ2" s="180"/>
      <c r="RGR2" s="180"/>
      <c r="RGS2" s="180"/>
      <c r="RGT2" s="180"/>
      <c r="RGU2" s="180"/>
      <c r="RGV2" s="180"/>
      <c r="RGW2" s="180"/>
      <c r="RGX2" s="180"/>
      <c r="RGY2" s="180"/>
      <c r="RGZ2" s="180"/>
      <c r="RHA2" s="180"/>
      <c r="RHB2" s="180"/>
      <c r="RHC2" s="180"/>
      <c r="RHD2" s="180"/>
      <c r="RHE2" s="180"/>
      <c r="RHF2" s="180"/>
      <c r="RHG2" s="180"/>
      <c r="RHH2" s="180"/>
      <c r="RHI2" s="180"/>
      <c r="RHJ2" s="180"/>
      <c r="RHK2" s="180"/>
      <c r="RHL2" s="180"/>
      <c r="RHM2" s="180"/>
      <c r="RHN2" s="180"/>
      <c r="RHO2" s="180"/>
      <c r="RHP2" s="180"/>
      <c r="RHQ2" s="180"/>
      <c r="RHR2" s="180"/>
      <c r="RHS2" s="180"/>
      <c r="RHT2" s="180"/>
      <c r="RHU2" s="180"/>
      <c r="RHV2" s="180"/>
      <c r="RHW2" s="180"/>
      <c r="RHX2" s="180"/>
      <c r="RHY2" s="180"/>
      <c r="RHZ2" s="180"/>
      <c r="RIA2" s="180"/>
      <c r="RIB2" s="180"/>
      <c r="RIC2" s="180"/>
      <c r="RID2" s="180"/>
      <c r="RIE2" s="180"/>
      <c r="RIF2" s="180"/>
      <c r="RIG2" s="180"/>
      <c r="RIH2" s="180"/>
      <c r="RII2" s="180"/>
      <c r="RIJ2" s="180"/>
      <c r="RIK2" s="180"/>
      <c r="RIL2" s="180"/>
      <c r="RIM2" s="180"/>
      <c r="RIN2" s="180"/>
      <c r="RIO2" s="180"/>
      <c r="RIP2" s="180"/>
      <c r="RIQ2" s="180"/>
      <c r="RIR2" s="180"/>
      <c r="RIS2" s="180"/>
      <c r="RIT2" s="180"/>
      <c r="RIU2" s="180"/>
      <c r="RIV2" s="180"/>
      <c r="RIW2" s="180"/>
      <c r="RIX2" s="180"/>
      <c r="RIY2" s="180"/>
      <c r="RIZ2" s="180"/>
      <c r="RJA2" s="180"/>
      <c r="RJB2" s="180"/>
      <c r="RJC2" s="180"/>
      <c r="RJD2" s="180"/>
      <c r="RJE2" s="180"/>
      <c r="RJF2" s="180"/>
      <c r="RJG2" s="180"/>
      <c r="RJH2" s="180"/>
      <c r="RJI2" s="180"/>
      <c r="RJJ2" s="180"/>
      <c r="RJK2" s="180"/>
      <c r="RJL2" s="180"/>
      <c r="RJM2" s="180"/>
      <c r="RJN2" s="180"/>
      <c r="RJO2" s="180"/>
      <c r="RJP2" s="180"/>
      <c r="RJQ2" s="180"/>
      <c r="RJR2" s="180"/>
      <c r="RJS2" s="180"/>
      <c r="RJT2" s="180"/>
      <c r="RJU2" s="180"/>
      <c r="RJV2" s="180"/>
      <c r="RJW2" s="180"/>
      <c r="RJX2" s="180"/>
      <c r="RJY2" s="180"/>
      <c r="RJZ2" s="180"/>
      <c r="RKA2" s="180"/>
      <c r="RKB2" s="180"/>
      <c r="RKC2" s="180"/>
      <c r="RKD2" s="180"/>
      <c r="RKE2" s="180"/>
      <c r="RKF2" s="180"/>
      <c r="RKG2" s="180"/>
      <c r="RKH2" s="180"/>
      <c r="RKI2" s="180"/>
      <c r="RKJ2" s="180"/>
      <c r="RKK2" s="180"/>
      <c r="RKL2" s="180"/>
      <c r="RKM2" s="180"/>
      <c r="RKN2" s="180"/>
      <c r="RKO2" s="180"/>
      <c r="RKP2" s="180"/>
      <c r="RKQ2" s="180"/>
      <c r="RKR2" s="180"/>
      <c r="RKS2" s="180"/>
      <c r="RKT2" s="180"/>
      <c r="RKU2" s="180"/>
      <c r="RKV2" s="180"/>
      <c r="RKW2" s="180"/>
      <c r="RKX2" s="180"/>
      <c r="RKY2" s="180"/>
      <c r="RKZ2" s="180"/>
      <c r="RLA2" s="180"/>
      <c r="RLB2" s="180"/>
      <c r="RLC2" s="180"/>
      <c r="RLD2" s="180"/>
      <c r="RLE2" s="180"/>
      <c r="RLF2" s="180"/>
      <c r="RLG2" s="180"/>
      <c r="RLH2" s="180"/>
      <c r="RLI2" s="180"/>
      <c r="RLJ2" s="180"/>
      <c r="RLK2" s="180"/>
      <c r="RLL2" s="180"/>
      <c r="RLM2" s="180"/>
      <c r="RLN2" s="180"/>
      <c r="RLO2" s="180"/>
      <c r="RLP2" s="180"/>
      <c r="RLQ2" s="180"/>
      <c r="RLR2" s="180"/>
      <c r="RLS2" s="180"/>
      <c r="RLT2" s="180"/>
      <c r="RLU2" s="180"/>
      <c r="RLV2" s="180"/>
      <c r="RLW2" s="180"/>
      <c r="RLX2" s="180"/>
      <c r="RLY2" s="180"/>
      <c r="RLZ2" s="180"/>
      <c r="RMA2" s="180"/>
      <c r="RMB2" s="180"/>
      <c r="RMC2" s="180"/>
      <c r="RMD2" s="180"/>
      <c r="RME2" s="180"/>
      <c r="RMF2" s="180"/>
      <c r="RMG2" s="180"/>
      <c r="RMH2" s="180"/>
      <c r="RMI2" s="180"/>
      <c r="RMJ2" s="180"/>
      <c r="RMK2" s="180"/>
      <c r="RML2" s="180"/>
      <c r="RMM2" s="180"/>
      <c r="RMN2" s="180"/>
      <c r="RMO2" s="180"/>
      <c r="RMP2" s="180"/>
      <c r="RMQ2" s="180"/>
      <c r="RMR2" s="180"/>
      <c r="RMS2" s="180"/>
      <c r="RMT2" s="180"/>
      <c r="RMU2" s="180"/>
      <c r="RMV2" s="180"/>
      <c r="RMW2" s="180"/>
      <c r="RMX2" s="180"/>
      <c r="RMY2" s="180"/>
      <c r="RMZ2" s="180"/>
      <c r="RNA2" s="180"/>
      <c r="RNB2" s="180"/>
      <c r="RNC2" s="180"/>
      <c r="RND2" s="180"/>
      <c r="RNE2" s="180"/>
      <c r="RNF2" s="180"/>
      <c r="RNG2" s="180"/>
      <c r="RNH2" s="180"/>
      <c r="RNI2" s="180"/>
      <c r="RNJ2" s="180"/>
      <c r="RNK2" s="180"/>
      <c r="RNL2" s="180"/>
      <c r="RNM2" s="180"/>
      <c r="RNN2" s="180"/>
      <c r="RNO2" s="180"/>
      <c r="RNP2" s="180"/>
      <c r="RNQ2" s="180"/>
      <c r="RNR2" s="180"/>
      <c r="RNS2" s="180"/>
      <c r="RNT2" s="180"/>
      <c r="RNU2" s="180"/>
      <c r="RNV2" s="180"/>
      <c r="RNW2" s="180"/>
      <c r="RNX2" s="180"/>
      <c r="RNY2" s="180"/>
      <c r="RNZ2" s="180"/>
      <c r="ROA2" s="180"/>
      <c r="ROB2" s="180"/>
      <c r="ROC2" s="180"/>
      <c r="ROD2" s="180"/>
      <c r="ROE2" s="180"/>
      <c r="ROF2" s="180"/>
      <c r="ROG2" s="180"/>
      <c r="ROH2" s="180"/>
      <c r="ROI2" s="180"/>
      <c r="ROJ2" s="180"/>
      <c r="ROK2" s="180"/>
      <c r="ROL2" s="180"/>
      <c r="ROM2" s="180"/>
      <c r="RON2" s="180"/>
      <c r="ROO2" s="180"/>
      <c r="ROP2" s="180"/>
      <c r="ROQ2" s="180"/>
      <c r="ROR2" s="180"/>
      <c r="ROS2" s="180"/>
      <c r="ROT2" s="180"/>
      <c r="ROU2" s="180"/>
      <c r="ROV2" s="180"/>
      <c r="ROW2" s="180"/>
      <c r="ROX2" s="180"/>
      <c r="ROY2" s="180"/>
      <c r="ROZ2" s="180"/>
      <c r="RPA2" s="180"/>
      <c r="RPB2" s="180"/>
      <c r="RPC2" s="180"/>
      <c r="RPD2" s="180"/>
      <c r="RPE2" s="180"/>
      <c r="RPF2" s="180"/>
      <c r="RPG2" s="180"/>
      <c r="RPH2" s="180"/>
      <c r="RPI2" s="180"/>
      <c r="RPJ2" s="180"/>
      <c r="RPK2" s="180"/>
      <c r="RPL2" s="180"/>
      <c r="RPM2" s="180"/>
      <c r="RPN2" s="180"/>
      <c r="RPO2" s="180"/>
      <c r="RPP2" s="180"/>
      <c r="RPQ2" s="180"/>
      <c r="RPR2" s="180"/>
      <c r="RPS2" s="180"/>
      <c r="RPT2" s="180"/>
      <c r="RPU2" s="180"/>
      <c r="RPV2" s="180"/>
      <c r="RPW2" s="180"/>
      <c r="RPX2" s="180"/>
      <c r="RPY2" s="180"/>
      <c r="RPZ2" s="180"/>
      <c r="RQA2" s="180"/>
      <c r="RQB2" s="180"/>
      <c r="RQC2" s="180"/>
      <c r="RQD2" s="180"/>
      <c r="RQE2" s="180"/>
      <c r="RQF2" s="180"/>
      <c r="RQG2" s="180"/>
      <c r="RQH2" s="180"/>
      <c r="RQI2" s="180"/>
      <c r="RQJ2" s="180"/>
      <c r="RQK2" s="180"/>
      <c r="RQL2" s="180"/>
      <c r="RQM2" s="180"/>
      <c r="RQN2" s="180"/>
      <c r="RQO2" s="180"/>
      <c r="RQP2" s="180"/>
      <c r="RQQ2" s="180"/>
      <c r="RQR2" s="180"/>
      <c r="RQS2" s="180"/>
      <c r="RQT2" s="180"/>
      <c r="RQU2" s="180"/>
      <c r="RQV2" s="180"/>
      <c r="RQW2" s="180"/>
      <c r="RQX2" s="180"/>
      <c r="RQY2" s="180"/>
      <c r="RQZ2" s="180"/>
      <c r="RRA2" s="180"/>
      <c r="RRB2" s="180"/>
      <c r="RRC2" s="180"/>
      <c r="RRD2" s="180"/>
      <c r="RRE2" s="180"/>
      <c r="RRF2" s="180"/>
      <c r="RRG2" s="180"/>
      <c r="RRH2" s="180"/>
      <c r="RRI2" s="180"/>
      <c r="RRJ2" s="180"/>
      <c r="RRK2" s="180"/>
      <c r="RRL2" s="180"/>
      <c r="RRM2" s="180"/>
      <c r="RRN2" s="180"/>
      <c r="RRO2" s="180"/>
      <c r="RRP2" s="180"/>
      <c r="RRQ2" s="180"/>
      <c r="RRR2" s="180"/>
      <c r="RRS2" s="180"/>
      <c r="RRT2" s="180"/>
      <c r="RRU2" s="180"/>
      <c r="RRV2" s="180"/>
      <c r="RRW2" s="180"/>
      <c r="RRX2" s="180"/>
      <c r="RRY2" s="180"/>
      <c r="RRZ2" s="180"/>
      <c r="RSA2" s="180"/>
      <c r="RSB2" s="180"/>
      <c r="RSC2" s="180"/>
      <c r="RSD2" s="180"/>
      <c r="RSE2" s="180"/>
      <c r="RSF2" s="180"/>
      <c r="RSG2" s="180"/>
      <c r="RSH2" s="180"/>
      <c r="RSI2" s="180"/>
      <c r="RSJ2" s="180"/>
      <c r="RSK2" s="180"/>
      <c r="RSL2" s="180"/>
      <c r="RSM2" s="180"/>
      <c r="RSN2" s="180"/>
      <c r="RSO2" s="180"/>
      <c r="RSP2" s="180"/>
      <c r="RSQ2" s="180"/>
      <c r="RSR2" s="180"/>
      <c r="RSS2" s="180"/>
      <c r="RST2" s="180"/>
      <c r="RSU2" s="180"/>
      <c r="RSV2" s="180"/>
      <c r="RSW2" s="180"/>
      <c r="RSX2" s="180"/>
      <c r="RSY2" s="180"/>
      <c r="RSZ2" s="180"/>
      <c r="RTA2" s="180"/>
      <c r="RTB2" s="180"/>
      <c r="RTC2" s="180"/>
      <c r="RTD2" s="180"/>
      <c r="RTE2" s="180"/>
      <c r="RTF2" s="180"/>
      <c r="RTG2" s="180"/>
      <c r="RTH2" s="180"/>
      <c r="RTI2" s="180"/>
      <c r="RTJ2" s="180"/>
      <c r="RTK2" s="180"/>
      <c r="RTL2" s="180"/>
      <c r="RTM2" s="180"/>
      <c r="RTN2" s="180"/>
      <c r="RTO2" s="180"/>
      <c r="RTP2" s="180"/>
      <c r="RTQ2" s="180"/>
      <c r="RTR2" s="180"/>
      <c r="RTS2" s="180"/>
      <c r="RTT2" s="180"/>
      <c r="RTU2" s="180"/>
      <c r="RTV2" s="180"/>
      <c r="RTW2" s="180"/>
      <c r="RTX2" s="180"/>
      <c r="RTY2" s="180"/>
      <c r="RTZ2" s="180"/>
      <c r="RUA2" s="180"/>
      <c r="RUB2" s="180"/>
      <c r="RUC2" s="180"/>
      <c r="RUD2" s="180"/>
      <c r="RUE2" s="180"/>
      <c r="RUF2" s="180"/>
      <c r="RUG2" s="180"/>
      <c r="RUH2" s="180"/>
      <c r="RUI2" s="180"/>
      <c r="RUJ2" s="180"/>
      <c r="RUK2" s="180"/>
      <c r="RUL2" s="180"/>
      <c r="RUM2" s="180"/>
      <c r="RUN2" s="180"/>
      <c r="RUO2" s="180"/>
      <c r="RUP2" s="180"/>
      <c r="RUQ2" s="180"/>
      <c r="RUR2" s="180"/>
      <c r="RUS2" s="180"/>
      <c r="RUT2" s="180"/>
      <c r="RUU2" s="180"/>
      <c r="RUV2" s="180"/>
      <c r="RUW2" s="180"/>
      <c r="RUX2" s="180"/>
      <c r="RUY2" s="180"/>
      <c r="RUZ2" s="180"/>
      <c r="RVA2" s="180"/>
      <c r="RVB2" s="180"/>
      <c r="RVC2" s="180"/>
      <c r="RVD2" s="180"/>
      <c r="RVE2" s="180"/>
      <c r="RVF2" s="180"/>
      <c r="RVG2" s="180"/>
      <c r="RVH2" s="180"/>
      <c r="RVI2" s="180"/>
      <c r="RVJ2" s="180"/>
      <c r="RVK2" s="180"/>
      <c r="RVL2" s="180"/>
      <c r="RVM2" s="180"/>
      <c r="RVN2" s="180"/>
      <c r="RVO2" s="180"/>
      <c r="RVP2" s="180"/>
      <c r="RVQ2" s="180"/>
      <c r="RVR2" s="180"/>
      <c r="RVS2" s="180"/>
      <c r="RVT2" s="180"/>
      <c r="RVU2" s="180"/>
      <c r="RVV2" s="180"/>
      <c r="RVW2" s="180"/>
      <c r="RVX2" s="180"/>
      <c r="RVY2" s="180"/>
      <c r="RVZ2" s="180"/>
      <c r="RWA2" s="180"/>
      <c r="RWB2" s="180"/>
      <c r="RWC2" s="180"/>
      <c r="RWD2" s="180"/>
      <c r="RWE2" s="180"/>
      <c r="RWF2" s="180"/>
      <c r="RWG2" s="180"/>
      <c r="RWH2" s="180"/>
      <c r="RWI2" s="180"/>
      <c r="RWJ2" s="180"/>
      <c r="RWK2" s="180"/>
      <c r="RWL2" s="180"/>
      <c r="RWM2" s="180"/>
      <c r="RWN2" s="180"/>
      <c r="RWO2" s="180"/>
      <c r="RWP2" s="180"/>
      <c r="RWQ2" s="180"/>
      <c r="RWR2" s="180"/>
      <c r="RWS2" s="180"/>
      <c r="RWT2" s="180"/>
      <c r="RWU2" s="180"/>
      <c r="RWV2" s="180"/>
      <c r="RWW2" s="180"/>
      <c r="RWX2" s="180"/>
      <c r="RWY2" s="180"/>
      <c r="RWZ2" s="180"/>
      <c r="RXA2" s="180"/>
      <c r="RXB2" s="180"/>
      <c r="RXC2" s="180"/>
      <c r="RXD2" s="180"/>
      <c r="RXE2" s="180"/>
      <c r="RXF2" s="180"/>
      <c r="RXG2" s="180"/>
      <c r="RXH2" s="180"/>
      <c r="RXI2" s="180"/>
      <c r="RXJ2" s="180"/>
      <c r="RXK2" s="180"/>
      <c r="RXL2" s="180"/>
      <c r="RXM2" s="180"/>
      <c r="RXN2" s="180"/>
      <c r="RXO2" s="180"/>
      <c r="RXP2" s="180"/>
      <c r="RXQ2" s="180"/>
      <c r="RXR2" s="180"/>
      <c r="RXS2" s="180"/>
      <c r="RXT2" s="180"/>
      <c r="RXU2" s="180"/>
      <c r="RXV2" s="180"/>
      <c r="RXW2" s="180"/>
      <c r="RXX2" s="180"/>
      <c r="RXY2" s="180"/>
      <c r="RXZ2" s="180"/>
      <c r="RYA2" s="180"/>
      <c r="RYB2" s="180"/>
      <c r="RYC2" s="180"/>
      <c r="RYD2" s="180"/>
      <c r="RYE2" s="180"/>
      <c r="RYF2" s="180"/>
      <c r="RYG2" s="180"/>
      <c r="RYH2" s="180"/>
      <c r="RYI2" s="180"/>
      <c r="RYJ2" s="180"/>
      <c r="RYK2" s="180"/>
      <c r="RYL2" s="180"/>
      <c r="RYM2" s="180"/>
      <c r="RYN2" s="180"/>
      <c r="RYO2" s="180"/>
      <c r="RYP2" s="180"/>
      <c r="RYQ2" s="180"/>
      <c r="RYR2" s="180"/>
      <c r="RYS2" s="180"/>
      <c r="RYT2" s="180"/>
      <c r="RYU2" s="180"/>
      <c r="RYV2" s="180"/>
      <c r="RYW2" s="180"/>
      <c r="RYX2" s="180"/>
      <c r="RYY2" s="180"/>
      <c r="RYZ2" s="180"/>
      <c r="RZA2" s="180"/>
      <c r="RZB2" s="180"/>
      <c r="RZC2" s="180"/>
      <c r="RZD2" s="180"/>
      <c r="RZE2" s="180"/>
      <c r="RZF2" s="180"/>
      <c r="RZG2" s="180"/>
      <c r="RZH2" s="180"/>
      <c r="RZI2" s="180"/>
      <c r="RZJ2" s="180"/>
      <c r="RZK2" s="180"/>
      <c r="RZL2" s="180"/>
      <c r="RZM2" s="180"/>
      <c r="RZN2" s="180"/>
      <c r="RZO2" s="180"/>
      <c r="RZP2" s="180"/>
      <c r="RZQ2" s="180"/>
      <c r="RZR2" s="180"/>
      <c r="RZS2" s="180"/>
      <c r="RZT2" s="180"/>
      <c r="RZU2" s="180"/>
      <c r="RZV2" s="180"/>
      <c r="RZW2" s="180"/>
      <c r="RZX2" s="180"/>
      <c r="RZY2" s="180"/>
      <c r="RZZ2" s="180"/>
      <c r="SAA2" s="180"/>
      <c r="SAB2" s="180"/>
      <c r="SAC2" s="180"/>
      <c r="SAD2" s="180"/>
      <c r="SAE2" s="180"/>
      <c r="SAF2" s="180"/>
      <c r="SAG2" s="180"/>
      <c r="SAH2" s="180"/>
      <c r="SAI2" s="180"/>
      <c r="SAJ2" s="180"/>
      <c r="SAK2" s="180"/>
      <c r="SAL2" s="180"/>
      <c r="SAM2" s="180"/>
      <c r="SAN2" s="180"/>
      <c r="SAO2" s="180"/>
      <c r="SAP2" s="180"/>
      <c r="SAQ2" s="180"/>
      <c r="SAR2" s="180"/>
      <c r="SAS2" s="180"/>
      <c r="SAT2" s="180"/>
      <c r="SAU2" s="180"/>
      <c r="SAV2" s="180"/>
      <c r="SAW2" s="180"/>
      <c r="SAX2" s="180"/>
      <c r="SAY2" s="180"/>
      <c r="SAZ2" s="180"/>
      <c r="SBA2" s="180"/>
      <c r="SBB2" s="180"/>
      <c r="SBC2" s="180"/>
      <c r="SBD2" s="180"/>
      <c r="SBE2" s="180"/>
      <c r="SBF2" s="180"/>
      <c r="SBG2" s="180"/>
      <c r="SBH2" s="180"/>
      <c r="SBI2" s="180"/>
      <c r="SBJ2" s="180"/>
      <c r="SBK2" s="180"/>
      <c r="SBL2" s="180"/>
      <c r="SBM2" s="180"/>
      <c r="SBN2" s="180"/>
      <c r="SBO2" s="180"/>
      <c r="SBP2" s="180"/>
      <c r="SBQ2" s="180"/>
      <c r="SBR2" s="180"/>
      <c r="SBS2" s="180"/>
      <c r="SBT2" s="180"/>
      <c r="SBU2" s="180"/>
      <c r="SBV2" s="180"/>
      <c r="SBW2" s="180"/>
      <c r="SBX2" s="180"/>
      <c r="SBY2" s="180"/>
      <c r="SBZ2" s="180"/>
      <c r="SCA2" s="180"/>
      <c r="SCB2" s="180"/>
      <c r="SCC2" s="180"/>
      <c r="SCD2" s="180"/>
      <c r="SCE2" s="180"/>
      <c r="SCF2" s="180"/>
      <c r="SCG2" s="180"/>
      <c r="SCH2" s="180"/>
      <c r="SCI2" s="180"/>
      <c r="SCJ2" s="180"/>
      <c r="SCK2" s="180"/>
      <c r="SCL2" s="180"/>
      <c r="SCM2" s="180"/>
      <c r="SCN2" s="180"/>
      <c r="SCO2" s="180"/>
      <c r="SCP2" s="180"/>
      <c r="SCQ2" s="180"/>
      <c r="SCR2" s="180"/>
      <c r="SCS2" s="180"/>
      <c r="SCT2" s="180"/>
      <c r="SCU2" s="180"/>
      <c r="SCV2" s="180"/>
      <c r="SCW2" s="180"/>
      <c r="SCX2" s="180"/>
      <c r="SCY2" s="180"/>
      <c r="SCZ2" s="180"/>
      <c r="SDA2" s="180"/>
      <c r="SDB2" s="180"/>
      <c r="SDC2" s="180"/>
      <c r="SDD2" s="180"/>
      <c r="SDE2" s="180"/>
      <c r="SDF2" s="180"/>
      <c r="SDG2" s="180"/>
      <c r="SDH2" s="180"/>
      <c r="SDI2" s="180"/>
      <c r="SDJ2" s="180"/>
      <c r="SDK2" s="180"/>
      <c r="SDL2" s="180"/>
      <c r="SDM2" s="180"/>
      <c r="SDN2" s="180"/>
      <c r="SDO2" s="180"/>
      <c r="SDP2" s="180"/>
      <c r="SDQ2" s="180"/>
      <c r="SDR2" s="180"/>
      <c r="SDS2" s="180"/>
      <c r="SDT2" s="180"/>
      <c r="SDU2" s="180"/>
      <c r="SDV2" s="180"/>
      <c r="SDW2" s="180"/>
      <c r="SDX2" s="180"/>
      <c r="SDY2" s="180"/>
      <c r="SDZ2" s="180"/>
      <c r="SEA2" s="180"/>
      <c r="SEB2" s="180"/>
      <c r="SEC2" s="180"/>
      <c r="SED2" s="180"/>
      <c r="SEE2" s="180"/>
      <c r="SEF2" s="180"/>
      <c r="SEG2" s="180"/>
      <c r="SEH2" s="180"/>
      <c r="SEI2" s="180"/>
      <c r="SEJ2" s="180"/>
      <c r="SEK2" s="180"/>
      <c r="SEL2" s="180"/>
      <c r="SEM2" s="180"/>
      <c r="SEN2" s="180"/>
      <c r="SEO2" s="180"/>
      <c r="SEP2" s="180"/>
      <c r="SEQ2" s="180"/>
      <c r="SER2" s="180"/>
      <c r="SES2" s="180"/>
      <c r="SET2" s="180"/>
      <c r="SEU2" s="180"/>
      <c r="SEV2" s="180"/>
      <c r="SEW2" s="180"/>
      <c r="SEX2" s="180"/>
      <c r="SEY2" s="180"/>
      <c r="SEZ2" s="180"/>
      <c r="SFA2" s="180"/>
      <c r="SFB2" s="180"/>
      <c r="SFC2" s="180"/>
      <c r="SFD2" s="180"/>
      <c r="SFE2" s="180"/>
      <c r="SFF2" s="180"/>
      <c r="SFG2" s="180"/>
      <c r="SFH2" s="180"/>
      <c r="SFI2" s="180"/>
      <c r="SFJ2" s="180"/>
      <c r="SFK2" s="180"/>
      <c r="SFL2" s="180"/>
      <c r="SFM2" s="180"/>
      <c r="SFN2" s="180"/>
      <c r="SFO2" s="180"/>
      <c r="SFP2" s="180"/>
      <c r="SFQ2" s="180"/>
      <c r="SFR2" s="180"/>
      <c r="SFS2" s="180"/>
      <c r="SFT2" s="180"/>
      <c r="SFU2" s="180"/>
      <c r="SFV2" s="180"/>
      <c r="SFW2" s="180"/>
      <c r="SFX2" s="180"/>
      <c r="SFY2" s="180"/>
      <c r="SFZ2" s="180"/>
      <c r="SGA2" s="180"/>
      <c r="SGB2" s="180"/>
      <c r="SGC2" s="180"/>
      <c r="SGD2" s="180"/>
      <c r="SGE2" s="180"/>
      <c r="SGF2" s="180"/>
      <c r="SGG2" s="180"/>
      <c r="SGH2" s="180"/>
      <c r="SGI2" s="180"/>
      <c r="SGJ2" s="180"/>
      <c r="SGK2" s="180"/>
      <c r="SGL2" s="180"/>
      <c r="SGM2" s="180"/>
      <c r="SGN2" s="180"/>
      <c r="SGO2" s="180"/>
      <c r="SGP2" s="180"/>
      <c r="SGQ2" s="180"/>
      <c r="SGR2" s="180"/>
      <c r="SGS2" s="180"/>
      <c r="SGT2" s="180"/>
      <c r="SGU2" s="180"/>
      <c r="SGV2" s="180"/>
      <c r="SGW2" s="180"/>
      <c r="SGX2" s="180"/>
      <c r="SGY2" s="180"/>
      <c r="SGZ2" s="180"/>
      <c r="SHA2" s="180"/>
      <c r="SHB2" s="180"/>
      <c r="SHC2" s="180"/>
      <c r="SHD2" s="180"/>
      <c r="SHE2" s="180"/>
      <c r="SHF2" s="180"/>
      <c r="SHG2" s="180"/>
      <c r="SHH2" s="180"/>
      <c r="SHI2" s="180"/>
      <c r="SHJ2" s="180"/>
      <c r="SHK2" s="180"/>
      <c r="SHL2" s="180"/>
      <c r="SHM2" s="180"/>
      <c r="SHN2" s="180"/>
      <c r="SHO2" s="180"/>
      <c r="SHP2" s="180"/>
      <c r="SHQ2" s="180"/>
      <c r="SHR2" s="180"/>
      <c r="SHS2" s="180"/>
      <c r="SHT2" s="180"/>
      <c r="SHU2" s="180"/>
      <c r="SHV2" s="180"/>
      <c r="SHW2" s="180"/>
      <c r="SHX2" s="180"/>
      <c r="SHY2" s="180"/>
      <c r="SHZ2" s="180"/>
      <c r="SIA2" s="180"/>
      <c r="SIB2" s="180"/>
      <c r="SIC2" s="180"/>
      <c r="SID2" s="180"/>
      <c r="SIE2" s="180"/>
      <c r="SIF2" s="180"/>
      <c r="SIG2" s="180"/>
      <c r="SIH2" s="180"/>
      <c r="SII2" s="180"/>
      <c r="SIJ2" s="180"/>
      <c r="SIK2" s="180"/>
      <c r="SIL2" s="180"/>
      <c r="SIM2" s="180"/>
      <c r="SIN2" s="180"/>
      <c r="SIO2" s="180"/>
      <c r="SIP2" s="180"/>
      <c r="SIQ2" s="180"/>
      <c r="SIR2" s="180"/>
      <c r="SIS2" s="180"/>
      <c r="SIT2" s="180"/>
      <c r="SIU2" s="180"/>
      <c r="SIV2" s="180"/>
      <c r="SIW2" s="180"/>
      <c r="SIX2" s="180"/>
      <c r="SIY2" s="180"/>
      <c r="SIZ2" s="180"/>
      <c r="SJA2" s="180"/>
      <c r="SJB2" s="180"/>
      <c r="SJC2" s="180"/>
      <c r="SJD2" s="180"/>
      <c r="SJE2" s="180"/>
      <c r="SJF2" s="180"/>
      <c r="SJG2" s="180"/>
      <c r="SJH2" s="180"/>
      <c r="SJI2" s="180"/>
      <c r="SJJ2" s="180"/>
      <c r="SJK2" s="180"/>
      <c r="SJL2" s="180"/>
      <c r="SJM2" s="180"/>
      <c r="SJN2" s="180"/>
      <c r="SJO2" s="180"/>
      <c r="SJP2" s="180"/>
      <c r="SJQ2" s="180"/>
      <c r="SJR2" s="180"/>
      <c r="SJS2" s="180"/>
      <c r="SJT2" s="180"/>
      <c r="SJU2" s="180"/>
      <c r="SJV2" s="180"/>
      <c r="SJW2" s="180"/>
      <c r="SJX2" s="180"/>
      <c r="SJY2" s="180"/>
      <c r="SJZ2" s="180"/>
      <c r="SKA2" s="180"/>
      <c r="SKB2" s="180"/>
      <c r="SKC2" s="180"/>
      <c r="SKD2" s="180"/>
      <c r="SKE2" s="180"/>
      <c r="SKF2" s="180"/>
      <c r="SKG2" s="180"/>
      <c r="SKH2" s="180"/>
      <c r="SKI2" s="180"/>
      <c r="SKJ2" s="180"/>
      <c r="SKK2" s="180"/>
      <c r="SKL2" s="180"/>
      <c r="SKM2" s="180"/>
      <c r="SKN2" s="180"/>
      <c r="SKO2" s="180"/>
      <c r="SKP2" s="180"/>
      <c r="SKQ2" s="180"/>
      <c r="SKR2" s="180"/>
      <c r="SKS2" s="180"/>
      <c r="SKT2" s="180"/>
      <c r="SKU2" s="180"/>
      <c r="SKV2" s="180"/>
      <c r="SKW2" s="180"/>
      <c r="SKX2" s="180"/>
      <c r="SKY2" s="180"/>
      <c r="SKZ2" s="180"/>
      <c r="SLA2" s="180"/>
      <c r="SLB2" s="180"/>
      <c r="SLC2" s="180"/>
      <c r="SLD2" s="180"/>
      <c r="SLE2" s="180"/>
      <c r="SLF2" s="180"/>
      <c r="SLG2" s="180"/>
      <c r="SLH2" s="180"/>
      <c r="SLI2" s="180"/>
      <c r="SLJ2" s="180"/>
      <c r="SLK2" s="180"/>
      <c r="SLL2" s="180"/>
      <c r="SLM2" s="180"/>
      <c r="SLN2" s="180"/>
      <c r="SLO2" s="180"/>
      <c r="SLP2" s="180"/>
      <c r="SLQ2" s="180"/>
      <c r="SLR2" s="180"/>
      <c r="SLS2" s="180"/>
      <c r="SLT2" s="180"/>
      <c r="SLU2" s="180"/>
      <c r="SLV2" s="180"/>
      <c r="SLW2" s="180"/>
      <c r="SLX2" s="180"/>
      <c r="SLY2" s="180"/>
      <c r="SLZ2" s="180"/>
      <c r="SMA2" s="180"/>
      <c r="SMB2" s="180"/>
      <c r="SMC2" s="180"/>
      <c r="SMD2" s="180"/>
      <c r="SME2" s="180"/>
      <c r="SMF2" s="180"/>
      <c r="SMG2" s="180"/>
      <c r="SMH2" s="180"/>
      <c r="SMI2" s="180"/>
      <c r="SMJ2" s="180"/>
      <c r="SMK2" s="180"/>
      <c r="SML2" s="180"/>
      <c r="SMM2" s="180"/>
      <c r="SMN2" s="180"/>
      <c r="SMO2" s="180"/>
      <c r="SMP2" s="180"/>
      <c r="SMQ2" s="180"/>
      <c r="SMR2" s="180"/>
      <c r="SMS2" s="180"/>
      <c r="SMT2" s="180"/>
      <c r="SMU2" s="180"/>
      <c r="SMV2" s="180"/>
      <c r="SMW2" s="180"/>
      <c r="SMX2" s="180"/>
      <c r="SMY2" s="180"/>
      <c r="SMZ2" s="180"/>
      <c r="SNA2" s="180"/>
      <c r="SNB2" s="180"/>
      <c r="SNC2" s="180"/>
      <c r="SND2" s="180"/>
      <c r="SNE2" s="180"/>
      <c r="SNF2" s="180"/>
      <c r="SNG2" s="180"/>
      <c r="SNH2" s="180"/>
      <c r="SNI2" s="180"/>
      <c r="SNJ2" s="180"/>
      <c r="SNK2" s="180"/>
      <c r="SNL2" s="180"/>
      <c r="SNM2" s="180"/>
      <c r="SNN2" s="180"/>
      <c r="SNO2" s="180"/>
      <c r="SNP2" s="180"/>
      <c r="SNQ2" s="180"/>
      <c r="SNR2" s="180"/>
      <c r="SNS2" s="180"/>
      <c r="SNT2" s="180"/>
      <c r="SNU2" s="180"/>
      <c r="SNV2" s="180"/>
      <c r="SNW2" s="180"/>
      <c r="SNX2" s="180"/>
      <c r="SNY2" s="180"/>
      <c r="SNZ2" s="180"/>
      <c r="SOA2" s="180"/>
      <c r="SOB2" s="180"/>
      <c r="SOC2" s="180"/>
      <c r="SOD2" s="180"/>
      <c r="SOE2" s="180"/>
      <c r="SOF2" s="180"/>
      <c r="SOG2" s="180"/>
      <c r="SOH2" s="180"/>
      <c r="SOI2" s="180"/>
      <c r="SOJ2" s="180"/>
      <c r="SOK2" s="180"/>
      <c r="SOL2" s="180"/>
      <c r="SOM2" s="180"/>
      <c r="SON2" s="180"/>
      <c r="SOO2" s="180"/>
      <c r="SOP2" s="180"/>
      <c r="SOQ2" s="180"/>
      <c r="SOR2" s="180"/>
      <c r="SOS2" s="180"/>
      <c r="SOT2" s="180"/>
      <c r="SOU2" s="180"/>
      <c r="SOV2" s="180"/>
      <c r="SOW2" s="180"/>
      <c r="SOX2" s="180"/>
      <c r="SOY2" s="180"/>
      <c r="SOZ2" s="180"/>
      <c r="SPA2" s="180"/>
      <c r="SPB2" s="180"/>
      <c r="SPC2" s="180"/>
      <c r="SPD2" s="180"/>
      <c r="SPE2" s="180"/>
      <c r="SPF2" s="180"/>
      <c r="SPG2" s="180"/>
      <c r="SPH2" s="180"/>
      <c r="SPI2" s="180"/>
      <c r="SPJ2" s="180"/>
      <c r="SPK2" s="180"/>
      <c r="SPL2" s="180"/>
      <c r="SPM2" s="180"/>
      <c r="SPN2" s="180"/>
      <c r="SPO2" s="180"/>
      <c r="SPP2" s="180"/>
      <c r="SPQ2" s="180"/>
      <c r="SPR2" s="180"/>
      <c r="SPS2" s="180"/>
      <c r="SPT2" s="180"/>
      <c r="SPU2" s="180"/>
      <c r="SPV2" s="180"/>
      <c r="SPW2" s="180"/>
      <c r="SPX2" s="180"/>
      <c r="SPY2" s="180"/>
      <c r="SPZ2" s="180"/>
      <c r="SQA2" s="180"/>
      <c r="SQB2" s="180"/>
      <c r="SQC2" s="180"/>
      <c r="SQD2" s="180"/>
      <c r="SQE2" s="180"/>
      <c r="SQF2" s="180"/>
      <c r="SQG2" s="180"/>
      <c r="SQH2" s="180"/>
      <c r="SQI2" s="180"/>
      <c r="SQJ2" s="180"/>
      <c r="SQK2" s="180"/>
      <c r="SQL2" s="180"/>
      <c r="SQM2" s="180"/>
      <c r="SQN2" s="180"/>
      <c r="SQO2" s="180"/>
      <c r="SQP2" s="180"/>
      <c r="SQQ2" s="180"/>
      <c r="SQR2" s="180"/>
      <c r="SQS2" s="180"/>
      <c r="SQT2" s="180"/>
      <c r="SQU2" s="180"/>
      <c r="SQV2" s="180"/>
      <c r="SQW2" s="180"/>
      <c r="SQX2" s="180"/>
      <c r="SQY2" s="180"/>
      <c r="SQZ2" s="180"/>
      <c r="SRA2" s="180"/>
      <c r="SRB2" s="180"/>
      <c r="SRC2" s="180"/>
      <c r="SRD2" s="180"/>
      <c r="SRE2" s="180"/>
      <c r="SRF2" s="180"/>
      <c r="SRG2" s="180"/>
      <c r="SRH2" s="180"/>
      <c r="SRI2" s="180"/>
      <c r="SRJ2" s="180"/>
      <c r="SRK2" s="180"/>
      <c r="SRL2" s="180"/>
      <c r="SRM2" s="180"/>
      <c r="SRN2" s="180"/>
      <c r="SRO2" s="180"/>
      <c r="SRP2" s="180"/>
      <c r="SRQ2" s="180"/>
      <c r="SRR2" s="180"/>
      <c r="SRS2" s="180"/>
      <c r="SRT2" s="180"/>
      <c r="SRU2" s="180"/>
      <c r="SRV2" s="180"/>
      <c r="SRW2" s="180"/>
      <c r="SRX2" s="180"/>
      <c r="SRY2" s="180"/>
      <c r="SRZ2" s="180"/>
      <c r="SSA2" s="180"/>
      <c r="SSB2" s="180"/>
      <c r="SSC2" s="180"/>
      <c r="SSD2" s="180"/>
      <c r="SSE2" s="180"/>
      <c r="SSF2" s="180"/>
      <c r="SSG2" s="180"/>
      <c r="SSH2" s="180"/>
      <c r="SSI2" s="180"/>
      <c r="SSJ2" s="180"/>
      <c r="SSK2" s="180"/>
      <c r="SSL2" s="180"/>
      <c r="SSM2" s="180"/>
      <c r="SSN2" s="180"/>
      <c r="SSO2" s="180"/>
      <c r="SSP2" s="180"/>
      <c r="SSQ2" s="180"/>
      <c r="SSR2" s="180"/>
      <c r="SSS2" s="180"/>
      <c r="SST2" s="180"/>
      <c r="SSU2" s="180"/>
      <c r="SSV2" s="180"/>
      <c r="SSW2" s="180"/>
      <c r="SSX2" s="180"/>
      <c r="SSY2" s="180"/>
      <c r="SSZ2" s="180"/>
      <c r="STA2" s="180"/>
      <c r="STB2" s="180"/>
      <c r="STC2" s="180"/>
      <c r="STD2" s="180"/>
      <c r="STE2" s="180"/>
      <c r="STF2" s="180"/>
      <c r="STG2" s="180"/>
      <c r="STH2" s="180"/>
      <c r="STI2" s="180"/>
      <c r="STJ2" s="180"/>
      <c r="STK2" s="180"/>
      <c r="STL2" s="180"/>
      <c r="STM2" s="180"/>
      <c r="STN2" s="180"/>
      <c r="STO2" s="180"/>
      <c r="STP2" s="180"/>
      <c r="STQ2" s="180"/>
      <c r="STR2" s="180"/>
      <c r="STS2" s="180"/>
      <c r="STT2" s="180"/>
      <c r="STU2" s="180"/>
      <c r="STV2" s="180"/>
      <c r="STW2" s="180"/>
      <c r="STX2" s="180"/>
      <c r="STY2" s="180"/>
      <c r="STZ2" s="180"/>
      <c r="SUA2" s="180"/>
      <c r="SUB2" s="180"/>
      <c r="SUC2" s="180"/>
      <c r="SUD2" s="180"/>
      <c r="SUE2" s="180"/>
      <c r="SUF2" s="180"/>
      <c r="SUG2" s="180"/>
      <c r="SUH2" s="180"/>
      <c r="SUI2" s="180"/>
      <c r="SUJ2" s="180"/>
      <c r="SUK2" s="180"/>
      <c r="SUL2" s="180"/>
      <c r="SUM2" s="180"/>
      <c r="SUN2" s="180"/>
      <c r="SUO2" s="180"/>
      <c r="SUP2" s="180"/>
      <c r="SUQ2" s="180"/>
      <c r="SUR2" s="180"/>
      <c r="SUS2" s="180"/>
      <c r="SUT2" s="180"/>
      <c r="SUU2" s="180"/>
      <c r="SUV2" s="180"/>
      <c r="SUW2" s="180"/>
      <c r="SUX2" s="180"/>
      <c r="SUY2" s="180"/>
      <c r="SUZ2" s="180"/>
      <c r="SVA2" s="180"/>
      <c r="SVB2" s="180"/>
      <c r="SVC2" s="180"/>
      <c r="SVD2" s="180"/>
      <c r="SVE2" s="180"/>
      <c r="SVF2" s="180"/>
      <c r="SVG2" s="180"/>
      <c r="SVH2" s="180"/>
      <c r="SVI2" s="180"/>
      <c r="SVJ2" s="180"/>
      <c r="SVK2" s="180"/>
      <c r="SVL2" s="180"/>
      <c r="SVM2" s="180"/>
      <c r="SVN2" s="180"/>
      <c r="SVO2" s="180"/>
      <c r="SVP2" s="180"/>
      <c r="SVQ2" s="180"/>
      <c r="SVR2" s="180"/>
      <c r="SVS2" s="180"/>
      <c r="SVT2" s="180"/>
      <c r="SVU2" s="180"/>
      <c r="SVV2" s="180"/>
      <c r="SVW2" s="180"/>
      <c r="SVX2" s="180"/>
      <c r="SVY2" s="180"/>
      <c r="SVZ2" s="180"/>
      <c r="SWA2" s="180"/>
      <c r="SWB2" s="180"/>
      <c r="SWC2" s="180"/>
      <c r="SWD2" s="180"/>
      <c r="SWE2" s="180"/>
      <c r="SWF2" s="180"/>
      <c r="SWG2" s="180"/>
      <c r="SWH2" s="180"/>
      <c r="SWI2" s="180"/>
      <c r="SWJ2" s="180"/>
      <c r="SWK2" s="180"/>
      <c r="SWL2" s="180"/>
      <c r="SWM2" s="180"/>
      <c r="SWN2" s="180"/>
      <c r="SWO2" s="180"/>
      <c r="SWP2" s="180"/>
      <c r="SWQ2" s="180"/>
      <c r="SWR2" s="180"/>
      <c r="SWS2" s="180"/>
      <c r="SWT2" s="180"/>
      <c r="SWU2" s="180"/>
      <c r="SWV2" s="180"/>
      <c r="SWW2" s="180"/>
      <c r="SWX2" s="180"/>
      <c r="SWY2" s="180"/>
      <c r="SWZ2" s="180"/>
      <c r="SXA2" s="180"/>
      <c r="SXB2" s="180"/>
      <c r="SXC2" s="180"/>
      <c r="SXD2" s="180"/>
      <c r="SXE2" s="180"/>
      <c r="SXF2" s="180"/>
      <c r="SXG2" s="180"/>
      <c r="SXH2" s="180"/>
      <c r="SXI2" s="180"/>
      <c r="SXJ2" s="180"/>
      <c r="SXK2" s="180"/>
      <c r="SXL2" s="180"/>
      <c r="SXM2" s="180"/>
      <c r="SXN2" s="180"/>
      <c r="SXO2" s="180"/>
      <c r="SXP2" s="180"/>
      <c r="SXQ2" s="180"/>
      <c r="SXR2" s="180"/>
      <c r="SXS2" s="180"/>
      <c r="SXT2" s="180"/>
      <c r="SXU2" s="180"/>
      <c r="SXV2" s="180"/>
      <c r="SXW2" s="180"/>
      <c r="SXX2" s="180"/>
      <c r="SXY2" s="180"/>
      <c r="SXZ2" s="180"/>
      <c r="SYA2" s="180"/>
      <c r="SYB2" s="180"/>
      <c r="SYC2" s="180"/>
      <c r="SYD2" s="180"/>
      <c r="SYE2" s="180"/>
      <c r="SYF2" s="180"/>
      <c r="SYG2" s="180"/>
      <c r="SYH2" s="180"/>
      <c r="SYI2" s="180"/>
      <c r="SYJ2" s="180"/>
      <c r="SYK2" s="180"/>
      <c r="SYL2" s="180"/>
      <c r="SYM2" s="180"/>
      <c r="SYN2" s="180"/>
      <c r="SYO2" s="180"/>
      <c r="SYP2" s="180"/>
      <c r="SYQ2" s="180"/>
      <c r="SYR2" s="180"/>
      <c r="SYS2" s="180"/>
      <c r="SYT2" s="180"/>
      <c r="SYU2" s="180"/>
      <c r="SYV2" s="180"/>
      <c r="SYW2" s="180"/>
      <c r="SYX2" s="180"/>
      <c r="SYY2" s="180"/>
      <c r="SYZ2" s="180"/>
      <c r="SZA2" s="180"/>
      <c r="SZB2" s="180"/>
      <c r="SZC2" s="180"/>
      <c r="SZD2" s="180"/>
      <c r="SZE2" s="180"/>
      <c r="SZF2" s="180"/>
      <c r="SZG2" s="180"/>
      <c r="SZH2" s="180"/>
      <c r="SZI2" s="180"/>
      <c r="SZJ2" s="180"/>
      <c r="SZK2" s="180"/>
      <c r="SZL2" s="180"/>
      <c r="SZM2" s="180"/>
      <c r="SZN2" s="180"/>
      <c r="SZO2" s="180"/>
      <c r="SZP2" s="180"/>
      <c r="SZQ2" s="180"/>
      <c r="SZR2" s="180"/>
      <c r="SZS2" s="180"/>
      <c r="SZT2" s="180"/>
      <c r="SZU2" s="180"/>
      <c r="SZV2" s="180"/>
      <c r="SZW2" s="180"/>
      <c r="SZX2" s="180"/>
      <c r="SZY2" s="180"/>
      <c r="SZZ2" s="180"/>
      <c r="TAA2" s="180"/>
      <c r="TAB2" s="180"/>
      <c r="TAC2" s="180"/>
      <c r="TAD2" s="180"/>
      <c r="TAE2" s="180"/>
      <c r="TAF2" s="180"/>
      <c r="TAG2" s="180"/>
      <c r="TAH2" s="180"/>
      <c r="TAI2" s="180"/>
      <c r="TAJ2" s="180"/>
      <c r="TAK2" s="180"/>
      <c r="TAL2" s="180"/>
      <c r="TAM2" s="180"/>
      <c r="TAN2" s="180"/>
      <c r="TAO2" s="180"/>
      <c r="TAP2" s="180"/>
      <c r="TAQ2" s="180"/>
      <c r="TAR2" s="180"/>
      <c r="TAS2" s="180"/>
      <c r="TAT2" s="180"/>
      <c r="TAU2" s="180"/>
      <c r="TAV2" s="180"/>
      <c r="TAW2" s="180"/>
      <c r="TAX2" s="180"/>
      <c r="TAY2" s="180"/>
      <c r="TAZ2" s="180"/>
      <c r="TBA2" s="180"/>
      <c r="TBB2" s="180"/>
      <c r="TBC2" s="180"/>
      <c r="TBD2" s="180"/>
      <c r="TBE2" s="180"/>
      <c r="TBF2" s="180"/>
      <c r="TBG2" s="180"/>
      <c r="TBH2" s="180"/>
      <c r="TBI2" s="180"/>
      <c r="TBJ2" s="180"/>
      <c r="TBK2" s="180"/>
      <c r="TBL2" s="180"/>
      <c r="TBM2" s="180"/>
      <c r="TBN2" s="180"/>
      <c r="TBO2" s="180"/>
      <c r="TBP2" s="180"/>
      <c r="TBQ2" s="180"/>
      <c r="TBR2" s="180"/>
      <c r="TBS2" s="180"/>
      <c r="TBT2" s="180"/>
      <c r="TBU2" s="180"/>
      <c r="TBV2" s="180"/>
      <c r="TBW2" s="180"/>
      <c r="TBX2" s="180"/>
      <c r="TBY2" s="180"/>
      <c r="TBZ2" s="180"/>
      <c r="TCA2" s="180"/>
      <c r="TCB2" s="180"/>
      <c r="TCC2" s="180"/>
      <c r="TCD2" s="180"/>
      <c r="TCE2" s="180"/>
      <c r="TCF2" s="180"/>
      <c r="TCG2" s="180"/>
      <c r="TCH2" s="180"/>
      <c r="TCI2" s="180"/>
      <c r="TCJ2" s="180"/>
      <c r="TCK2" s="180"/>
      <c r="TCL2" s="180"/>
      <c r="TCM2" s="180"/>
      <c r="TCN2" s="180"/>
      <c r="TCO2" s="180"/>
      <c r="TCP2" s="180"/>
      <c r="TCQ2" s="180"/>
      <c r="TCR2" s="180"/>
      <c r="TCS2" s="180"/>
      <c r="TCT2" s="180"/>
      <c r="TCU2" s="180"/>
      <c r="TCV2" s="180"/>
      <c r="TCW2" s="180"/>
      <c r="TCX2" s="180"/>
      <c r="TCY2" s="180"/>
      <c r="TCZ2" s="180"/>
      <c r="TDA2" s="180"/>
      <c r="TDB2" s="180"/>
      <c r="TDC2" s="180"/>
      <c r="TDD2" s="180"/>
      <c r="TDE2" s="180"/>
      <c r="TDF2" s="180"/>
      <c r="TDG2" s="180"/>
      <c r="TDH2" s="180"/>
      <c r="TDI2" s="180"/>
      <c r="TDJ2" s="180"/>
      <c r="TDK2" s="180"/>
      <c r="TDL2" s="180"/>
      <c r="TDM2" s="180"/>
      <c r="TDN2" s="180"/>
      <c r="TDO2" s="180"/>
      <c r="TDP2" s="180"/>
      <c r="TDQ2" s="180"/>
      <c r="TDR2" s="180"/>
      <c r="TDS2" s="180"/>
      <c r="TDT2" s="180"/>
      <c r="TDU2" s="180"/>
      <c r="TDV2" s="180"/>
      <c r="TDW2" s="180"/>
      <c r="TDX2" s="180"/>
      <c r="TDY2" s="180"/>
      <c r="TDZ2" s="180"/>
      <c r="TEA2" s="180"/>
      <c r="TEB2" s="180"/>
      <c r="TEC2" s="180"/>
      <c r="TED2" s="180"/>
      <c r="TEE2" s="180"/>
      <c r="TEF2" s="180"/>
      <c r="TEG2" s="180"/>
      <c r="TEH2" s="180"/>
      <c r="TEI2" s="180"/>
      <c r="TEJ2" s="180"/>
      <c r="TEK2" s="180"/>
      <c r="TEL2" s="180"/>
      <c r="TEM2" s="180"/>
      <c r="TEN2" s="180"/>
      <c r="TEO2" s="180"/>
      <c r="TEP2" s="180"/>
      <c r="TEQ2" s="180"/>
      <c r="TER2" s="180"/>
      <c r="TES2" s="180"/>
      <c r="TET2" s="180"/>
      <c r="TEU2" s="180"/>
      <c r="TEV2" s="180"/>
      <c r="TEW2" s="180"/>
      <c r="TEX2" s="180"/>
      <c r="TEY2" s="180"/>
      <c r="TEZ2" s="180"/>
      <c r="TFA2" s="180"/>
      <c r="TFB2" s="180"/>
      <c r="TFC2" s="180"/>
      <c r="TFD2" s="180"/>
      <c r="TFE2" s="180"/>
      <c r="TFF2" s="180"/>
      <c r="TFG2" s="180"/>
      <c r="TFH2" s="180"/>
      <c r="TFI2" s="180"/>
      <c r="TFJ2" s="180"/>
      <c r="TFK2" s="180"/>
      <c r="TFL2" s="180"/>
      <c r="TFM2" s="180"/>
      <c r="TFN2" s="180"/>
      <c r="TFO2" s="180"/>
      <c r="TFP2" s="180"/>
      <c r="TFQ2" s="180"/>
      <c r="TFR2" s="180"/>
      <c r="TFS2" s="180"/>
      <c r="TFT2" s="180"/>
      <c r="TFU2" s="180"/>
      <c r="TFV2" s="180"/>
      <c r="TFW2" s="180"/>
      <c r="TFX2" s="180"/>
      <c r="TFY2" s="180"/>
      <c r="TFZ2" s="180"/>
      <c r="TGA2" s="180"/>
      <c r="TGB2" s="180"/>
      <c r="TGC2" s="180"/>
      <c r="TGD2" s="180"/>
      <c r="TGE2" s="180"/>
      <c r="TGF2" s="180"/>
      <c r="TGG2" s="180"/>
      <c r="TGH2" s="180"/>
      <c r="TGI2" s="180"/>
      <c r="TGJ2" s="180"/>
      <c r="TGK2" s="180"/>
      <c r="TGL2" s="180"/>
      <c r="TGM2" s="180"/>
      <c r="TGN2" s="180"/>
      <c r="TGO2" s="180"/>
      <c r="TGP2" s="180"/>
      <c r="TGQ2" s="180"/>
      <c r="TGR2" s="180"/>
      <c r="TGS2" s="180"/>
      <c r="TGT2" s="180"/>
      <c r="TGU2" s="180"/>
      <c r="TGV2" s="180"/>
      <c r="TGW2" s="180"/>
      <c r="TGX2" s="180"/>
      <c r="TGY2" s="180"/>
      <c r="TGZ2" s="180"/>
      <c r="THA2" s="180"/>
      <c r="THB2" s="180"/>
      <c r="THC2" s="180"/>
      <c r="THD2" s="180"/>
      <c r="THE2" s="180"/>
      <c r="THF2" s="180"/>
      <c r="THG2" s="180"/>
      <c r="THH2" s="180"/>
      <c r="THI2" s="180"/>
      <c r="THJ2" s="180"/>
      <c r="THK2" s="180"/>
      <c r="THL2" s="180"/>
      <c r="THM2" s="180"/>
      <c r="THN2" s="180"/>
      <c r="THO2" s="180"/>
      <c r="THP2" s="180"/>
      <c r="THQ2" s="180"/>
      <c r="THR2" s="180"/>
      <c r="THS2" s="180"/>
      <c r="THT2" s="180"/>
      <c r="THU2" s="180"/>
      <c r="THV2" s="180"/>
      <c r="THW2" s="180"/>
      <c r="THX2" s="180"/>
      <c r="THY2" s="180"/>
      <c r="THZ2" s="180"/>
      <c r="TIA2" s="180"/>
      <c r="TIB2" s="180"/>
      <c r="TIC2" s="180"/>
      <c r="TID2" s="180"/>
      <c r="TIE2" s="180"/>
      <c r="TIF2" s="180"/>
      <c r="TIG2" s="180"/>
      <c r="TIH2" s="180"/>
      <c r="TII2" s="180"/>
      <c r="TIJ2" s="180"/>
      <c r="TIK2" s="180"/>
      <c r="TIL2" s="180"/>
      <c r="TIM2" s="180"/>
      <c r="TIN2" s="180"/>
      <c r="TIO2" s="180"/>
      <c r="TIP2" s="180"/>
      <c r="TIQ2" s="180"/>
      <c r="TIR2" s="180"/>
      <c r="TIS2" s="180"/>
      <c r="TIT2" s="180"/>
      <c r="TIU2" s="180"/>
      <c r="TIV2" s="180"/>
      <c r="TIW2" s="180"/>
      <c r="TIX2" s="180"/>
      <c r="TIY2" s="180"/>
      <c r="TIZ2" s="180"/>
      <c r="TJA2" s="180"/>
      <c r="TJB2" s="180"/>
      <c r="TJC2" s="180"/>
      <c r="TJD2" s="180"/>
      <c r="TJE2" s="180"/>
      <c r="TJF2" s="180"/>
      <c r="TJG2" s="180"/>
      <c r="TJH2" s="180"/>
      <c r="TJI2" s="180"/>
      <c r="TJJ2" s="180"/>
      <c r="TJK2" s="180"/>
      <c r="TJL2" s="180"/>
      <c r="TJM2" s="180"/>
      <c r="TJN2" s="180"/>
      <c r="TJO2" s="180"/>
      <c r="TJP2" s="180"/>
      <c r="TJQ2" s="180"/>
      <c r="TJR2" s="180"/>
      <c r="TJS2" s="180"/>
      <c r="TJT2" s="180"/>
      <c r="TJU2" s="180"/>
      <c r="TJV2" s="180"/>
      <c r="TJW2" s="180"/>
      <c r="TJX2" s="180"/>
      <c r="TJY2" s="180"/>
      <c r="TJZ2" s="180"/>
      <c r="TKA2" s="180"/>
      <c r="TKB2" s="180"/>
      <c r="TKC2" s="180"/>
      <c r="TKD2" s="180"/>
      <c r="TKE2" s="180"/>
      <c r="TKF2" s="180"/>
      <c r="TKG2" s="180"/>
      <c r="TKH2" s="180"/>
      <c r="TKI2" s="180"/>
      <c r="TKJ2" s="180"/>
      <c r="TKK2" s="180"/>
      <c r="TKL2" s="180"/>
      <c r="TKM2" s="180"/>
      <c r="TKN2" s="180"/>
      <c r="TKO2" s="180"/>
      <c r="TKP2" s="180"/>
      <c r="TKQ2" s="180"/>
      <c r="TKR2" s="180"/>
      <c r="TKS2" s="180"/>
      <c r="TKT2" s="180"/>
      <c r="TKU2" s="180"/>
      <c r="TKV2" s="180"/>
      <c r="TKW2" s="180"/>
      <c r="TKX2" s="180"/>
      <c r="TKY2" s="180"/>
      <c r="TKZ2" s="180"/>
      <c r="TLA2" s="180"/>
      <c r="TLB2" s="180"/>
      <c r="TLC2" s="180"/>
      <c r="TLD2" s="180"/>
      <c r="TLE2" s="180"/>
      <c r="TLF2" s="180"/>
      <c r="TLG2" s="180"/>
      <c r="TLH2" s="180"/>
      <c r="TLI2" s="180"/>
      <c r="TLJ2" s="180"/>
      <c r="TLK2" s="180"/>
      <c r="TLL2" s="180"/>
      <c r="TLM2" s="180"/>
      <c r="TLN2" s="180"/>
      <c r="TLO2" s="180"/>
      <c r="TLP2" s="180"/>
      <c r="TLQ2" s="180"/>
      <c r="TLR2" s="180"/>
      <c r="TLS2" s="180"/>
      <c r="TLT2" s="180"/>
      <c r="TLU2" s="180"/>
      <c r="TLV2" s="180"/>
      <c r="TLW2" s="180"/>
      <c r="TLX2" s="180"/>
      <c r="TLY2" s="180"/>
      <c r="TLZ2" s="180"/>
      <c r="TMA2" s="180"/>
      <c r="TMB2" s="180"/>
      <c r="TMC2" s="180"/>
      <c r="TMD2" s="180"/>
      <c r="TME2" s="180"/>
      <c r="TMF2" s="180"/>
      <c r="TMG2" s="180"/>
      <c r="TMH2" s="180"/>
      <c r="TMI2" s="180"/>
      <c r="TMJ2" s="180"/>
      <c r="TMK2" s="180"/>
      <c r="TML2" s="180"/>
      <c r="TMM2" s="180"/>
      <c r="TMN2" s="180"/>
      <c r="TMO2" s="180"/>
      <c r="TMP2" s="180"/>
      <c r="TMQ2" s="180"/>
      <c r="TMR2" s="180"/>
      <c r="TMS2" s="180"/>
      <c r="TMT2" s="180"/>
      <c r="TMU2" s="180"/>
      <c r="TMV2" s="180"/>
      <c r="TMW2" s="180"/>
      <c r="TMX2" s="180"/>
      <c r="TMY2" s="180"/>
      <c r="TMZ2" s="180"/>
      <c r="TNA2" s="180"/>
      <c r="TNB2" s="180"/>
      <c r="TNC2" s="180"/>
      <c r="TND2" s="180"/>
      <c r="TNE2" s="180"/>
      <c r="TNF2" s="180"/>
      <c r="TNG2" s="180"/>
      <c r="TNH2" s="180"/>
      <c r="TNI2" s="180"/>
      <c r="TNJ2" s="180"/>
      <c r="TNK2" s="180"/>
      <c r="TNL2" s="180"/>
      <c r="TNM2" s="180"/>
      <c r="TNN2" s="180"/>
      <c r="TNO2" s="180"/>
      <c r="TNP2" s="180"/>
      <c r="TNQ2" s="180"/>
      <c r="TNR2" s="180"/>
      <c r="TNS2" s="180"/>
      <c r="TNT2" s="180"/>
      <c r="TNU2" s="180"/>
      <c r="TNV2" s="180"/>
      <c r="TNW2" s="180"/>
      <c r="TNX2" s="180"/>
      <c r="TNY2" s="180"/>
      <c r="TNZ2" s="180"/>
      <c r="TOA2" s="180"/>
      <c r="TOB2" s="180"/>
      <c r="TOC2" s="180"/>
      <c r="TOD2" s="180"/>
      <c r="TOE2" s="180"/>
      <c r="TOF2" s="180"/>
      <c r="TOG2" s="180"/>
      <c r="TOH2" s="180"/>
      <c r="TOI2" s="180"/>
      <c r="TOJ2" s="180"/>
      <c r="TOK2" s="180"/>
      <c r="TOL2" s="180"/>
      <c r="TOM2" s="180"/>
      <c r="TON2" s="180"/>
      <c r="TOO2" s="180"/>
      <c r="TOP2" s="180"/>
      <c r="TOQ2" s="180"/>
      <c r="TOR2" s="180"/>
      <c r="TOS2" s="180"/>
      <c r="TOT2" s="180"/>
      <c r="TOU2" s="180"/>
      <c r="TOV2" s="180"/>
      <c r="TOW2" s="180"/>
      <c r="TOX2" s="180"/>
      <c r="TOY2" s="180"/>
      <c r="TOZ2" s="180"/>
      <c r="TPA2" s="180"/>
      <c r="TPB2" s="180"/>
      <c r="TPC2" s="180"/>
      <c r="TPD2" s="180"/>
      <c r="TPE2" s="180"/>
      <c r="TPF2" s="180"/>
      <c r="TPG2" s="180"/>
      <c r="TPH2" s="180"/>
      <c r="TPI2" s="180"/>
      <c r="TPJ2" s="180"/>
      <c r="TPK2" s="180"/>
      <c r="TPL2" s="180"/>
      <c r="TPM2" s="180"/>
      <c r="TPN2" s="180"/>
      <c r="TPO2" s="180"/>
      <c r="TPP2" s="180"/>
      <c r="TPQ2" s="180"/>
      <c r="TPR2" s="180"/>
      <c r="TPS2" s="180"/>
      <c r="TPT2" s="180"/>
      <c r="TPU2" s="180"/>
      <c r="TPV2" s="180"/>
      <c r="TPW2" s="180"/>
      <c r="TPX2" s="180"/>
      <c r="TPY2" s="180"/>
      <c r="TPZ2" s="180"/>
      <c r="TQA2" s="180"/>
      <c r="TQB2" s="180"/>
      <c r="TQC2" s="180"/>
      <c r="TQD2" s="180"/>
      <c r="TQE2" s="180"/>
      <c r="TQF2" s="180"/>
      <c r="TQG2" s="180"/>
      <c r="TQH2" s="180"/>
      <c r="TQI2" s="180"/>
      <c r="TQJ2" s="180"/>
      <c r="TQK2" s="180"/>
      <c r="TQL2" s="180"/>
      <c r="TQM2" s="180"/>
      <c r="TQN2" s="180"/>
      <c r="TQO2" s="180"/>
      <c r="TQP2" s="180"/>
      <c r="TQQ2" s="180"/>
      <c r="TQR2" s="180"/>
      <c r="TQS2" s="180"/>
      <c r="TQT2" s="180"/>
      <c r="TQU2" s="180"/>
      <c r="TQV2" s="180"/>
      <c r="TQW2" s="180"/>
      <c r="TQX2" s="180"/>
      <c r="TQY2" s="180"/>
      <c r="TQZ2" s="180"/>
      <c r="TRA2" s="180"/>
      <c r="TRB2" s="180"/>
      <c r="TRC2" s="180"/>
      <c r="TRD2" s="180"/>
      <c r="TRE2" s="180"/>
      <c r="TRF2" s="180"/>
      <c r="TRG2" s="180"/>
      <c r="TRH2" s="180"/>
      <c r="TRI2" s="180"/>
      <c r="TRJ2" s="180"/>
      <c r="TRK2" s="180"/>
      <c r="TRL2" s="180"/>
      <c r="TRM2" s="180"/>
      <c r="TRN2" s="180"/>
      <c r="TRO2" s="180"/>
      <c r="TRP2" s="180"/>
      <c r="TRQ2" s="180"/>
      <c r="TRR2" s="180"/>
      <c r="TRS2" s="180"/>
      <c r="TRT2" s="180"/>
      <c r="TRU2" s="180"/>
      <c r="TRV2" s="180"/>
      <c r="TRW2" s="180"/>
      <c r="TRX2" s="180"/>
      <c r="TRY2" s="180"/>
      <c r="TRZ2" s="180"/>
      <c r="TSA2" s="180"/>
      <c r="TSB2" s="180"/>
      <c r="TSC2" s="180"/>
      <c r="TSD2" s="180"/>
      <c r="TSE2" s="180"/>
      <c r="TSF2" s="180"/>
      <c r="TSG2" s="180"/>
      <c r="TSH2" s="180"/>
      <c r="TSI2" s="180"/>
      <c r="TSJ2" s="180"/>
      <c r="TSK2" s="180"/>
      <c r="TSL2" s="180"/>
      <c r="TSM2" s="180"/>
      <c r="TSN2" s="180"/>
      <c r="TSO2" s="180"/>
      <c r="TSP2" s="180"/>
      <c r="TSQ2" s="180"/>
      <c r="TSR2" s="180"/>
      <c r="TSS2" s="180"/>
      <c r="TST2" s="180"/>
      <c r="TSU2" s="180"/>
      <c r="TSV2" s="180"/>
      <c r="TSW2" s="180"/>
      <c r="TSX2" s="180"/>
      <c r="TSY2" s="180"/>
      <c r="TSZ2" s="180"/>
      <c r="TTA2" s="180"/>
      <c r="TTB2" s="180"/>
      <c r="TTC2" s="180"/>
      <c r="TTD2" s="180"/>
      <c r="TTE2" s="180"/>
      <c r="TTF2" s="180"/>
      <c r="TTG2" s="180"/>
      <c r="TTH2" s="180"/>
      <c r="TTI2" s="180"/>
      <c r="TTJ2" s="180"/>
      <c r="TTK2" s="180"/>
      <c r="TTL2" s="180"/>
      <c r="TTM2" s="180"/>
      <c r="TTN2" s="180"/>
      <c r="TTO2" s="180"/>
      <c r="TTP2" s="180"/>
      <c r="TTQ2" s="180"/>
      <c r="TTR2" s="180"/>
      <c r="TTS2" s="180"/>
      <c r="TTT2" s="180"/>
      <c r="TTU2" s="180"/>
      <c r="TTV2" s="180"/>
      <c r="TTW2" s="180"/>
      <c r="TTX2" s="180"/>
      <c r="TTY2" s="180"/>
      <c r="TTZ2" s="180"/>
      <c r="TUA2" s="180"/>
      <c r="TUB2" s="180"/>
      <c r="TUC2" s="180"/>
      <c r="TUD2" s="180"/>
      <c r="TUE2" s="180"/>
      <c r="TUF2" s="180"/>
      <c r="TUG2" s="180"/>
      <c r="TUH2" s="180"/>
      <c r="TUI2" s="180"/>
      <c r="TUJ2" s="180"/>
      <c r="TUK2" s="180"/>
      <c r="TUL2" s="180"/>
      <c r="TUM2" s="180"/>
      <c r="TUN2" s="180"/>
      <c r="TUO2" s="180"/>
      <c r="TUP2" s="180"/>
      <c r="TUQ2" s="180"/>
      <c r="TUR2" s="180"/>
      <c r="TUS2" s="180"/>
      <c r="TUT2" s="180"/>
      <c r="TUU2" s="180"/>
      <c r="TUV2" s="180"/>
      <c r="TUW2" s="180"/>
      <c r="TUX2" s="180"/>
      <c r="TUY2" s="180"/>
      <c r="TUZ2" s="180"/>
      <c r="TVA2" s="180"/>
      <c r="TVB2" s="180"/>
      <c r="TVC2" s="180"/>
      <c r="TVD2" s="180"/>
      <c r="TVE2" s="180"/>
      <c r="TVF2" s="180"/>
      <c r="TVG2" s="180"/>
      <c r="TVH2" s="180"/>
      <c r="TVI2" s="180"/>
      <c r="TVJ2" s="180"/>
      <c r="TVK2" s="180"/>
      <c r="TVL2" s="180"/>
      <c r="TVM2" s="180"/>
      <c r="TVN2" s="180"/>
      <c r="TVO2" s="180"/>
      <c r="TVP2" s="180"/>
      <c r="TVQ2" s="180"/>
      <c r="TVR2" s="180"/>
      <c r="TVS2" s="180"/>
      <c r="TVT2" s="180"/>
      <c r="TVU2" s="180"/>
      <c r="TVV2" s="180"/>
      <c r="TVW2" s="180"/>
      <c r="TVX2" s="180"/>
      <c r="TVY2" s="180"/>
      <c r="TVZ2" s="180"/>
      <c r="TWA2" s="180"/>
      <c r="TWB2" s="180"/>
      <c r="TWC2" s="180"/>
      <c r="TWD2" s="180"/>
      <c r="TWE2" s="180"/>
      <c r="TWF2" s="180"/>
      <c r="TWG2" s="180"/>
      <c r="TWH2" s="180"/>
      <c r="TWI2" s="180"/>
      <c r="TWJ2" s="180"/>
      <c r="TWK2" s="180"/>
      <c r="TWL2" s="180"/>
      <c r="TWM2" s="180"/>
      <c r="TWN2" s="180"/>
      <c r="TWO2" s="180"/>
      <c r="TWP2" s="180"/>
      <c r="TWQ2" s="180"/>
      <c r="TWR2" s="180"/>
      <c r="TWS2" s="180"/>
      <c r="TWT2" s="180"/>
      <c r="TWU2" s="180"/>
      <c r="TWV2" s="180"/>
      <c r="TWW2" s="180"/>
      <c r="TWX2" s="180"/>
      <c r="TWY2" s="180"/>
      <c r="TWZ2" s="180"/>
      <c r="TXA2" s="180"/>
      <c r="TXB2" s="180"/>
      <c r="TXC2" s="180"/>
      <c r="TXD2" s="180"/>
      <c r="TXE2" s="180"/>
      <c r="TXF2" s="180"/>
      <c r="TXG2" s="180"/>
      <c r="TXH2" s="180"/>
      <c r="TXI2" s="180"/>
      <c r="TXJ2" s="180"/>
      <c r="TXK2" s="180"/>
      <c r="TXL2" s="180"/>
      <c r="TXM2" s="180"/>
      <c r="TXN2" s="180"/>
      <c r="TXO2" s="180"/>
      <c r="TXP2" s="180"/>
      <c r="TXQ2" s="180"/>
      <c r="TXR2" s="180"/>
      <c r="TXS2" s="180"/>
      <c r="TXT2" s="180"/>
      <c r="TXU2" s="180"/>
      <c r="TXV2" s="180"/>
      <c r="TXW2" s="180"/>
      <c r="TXX2" s="180"/>
      <c r="TXY2" s="180"/>
      <c r="TXZ2" s="180"/>
      <c r="TYA2" s="180"/>
      <c r="TYB2" s="180"/>
      <c r="TYC2" s="180"/>
      <c r="TYD2" s="180"/>
      <c r="TYE2" s="180"/>
      <c r="TYF2" s="180"/>
      <c r="TYG2" s="180"/>
      <c r="TYH2" s="180"/>
      <c r="TYI2" s="180"/>
      <c r="TYJ2" s="180"/>
      <c r="TYK2" s="180"/>
      <c r="TYL2" s="180"/>
      <c r="TYM2" s="180"/>
      <c r="TYN2" s="180"/>
      <c r="TYO2" s="180"/>
      <c r="TYP2" s="180"/>
      <c r="TYQ2" s="180"/>
      <c r="TYR2" s="180"/>
      <c r="TYS2" s="180"/>
      <c r="TYT2" s="180"/>
      <c r="TYU2" s="180"/>
      <c r="TYV2" s="180"/>
      <c r="TYW2" s="180"/>
      <c r="TYX2" s="180"/>
      <c r="TYY2" s="180"/>
      <c r="TYZ2" s="180"/>
      <c r="TZA2" s="180"/>
      <c r="TZB2" s="180"/>
      <c r="TZC2" s="180"/>
      <c r="TZD2" s="180"/>
      <c r="TZE2" s="180"/>
      <c r="TZF2" s="180"/>
      <c r="TZG2" s="180"/>
      <c r="TZH2" s="180"/>
      <c r="TZI2" s="180"/>
      <c r="TZJ2" s="180"/>
      <c r="TZK2" s="180"/>
      <c r="TZL2" s="180"/>
      <c r="TZM2" s="180"/>
      <c r="TZN2" s="180"/>
      <c r="TZO2" s="180"/>
      <c r="TZP2" s="180"/>
      <c r="TZQ2" s="180"/>
      <c r="TZR2" s="180"/>
      <c r="TZS2" s="180"/>
      <c r="TZT2" s="180"/>
      <c r="TZU2" s="180"/>
      <c r="TZV2" s="180"/>
      <c r="TZW2" s="180"/>
      <c r="TZX2" s="180"/>
      <c r="TZY2" s="180"/>
      <c r="TZZ2" s="180"/>
      <c r="UAA2" s="180"/>
      <c r="UAB2" s="180"/>
      <c r="UAC2" s="180"/>
      <c r="UAD2" s="180"/>
      <c r="UAE2" s="180"/>
      <c r="UAF2" s="180"/>
      <c r="UAG2" s="180"/>
      <c r="UAH2" s="180"/>
      <c r="UAI2" s="180"/>
      <c r="UAJ2" s="180"/>
      <c r="UAK2" s="180"/>
      <c r="UAL2" s="180"/>
      <c r="UAM2" s="180"/>
      <c r="UAN2" s="180"/>
      <c r="UAO2" s="180"/>
      <c r="UAP2" s="180"/>
      <c r="UAQ2" s="180"/>
      <c r="UAR2" s="180"/>
      <c r="UAS2" s="180"/>
      <c r="UAT2" s="180"/>
      <c r="UAU2" s="180"/>
      <c r="UAV2" s="180"/>
      <c r="UAW2" s="180"/>
      <c r="UAX2" s="180"/>
      <c r="UAY2" s="180"/>
      <c r="UAZ2" s="180"/>
      <c r="UBA2" s="180"/>
      <c r="UBB2" s="180"/>
      <c r="UBC2" s="180"/>
      <c r="UBD2" s="180"/>
      <c r="UBE2" s="180"/>
      <c r="UBF2" s="180"/>
      <c r="UBG2" s="180"/>
      <c r="UBH2" s="180"/>
      <c r="UBI2" s="180"/>
      <c r="UBJ2" s="180"/>
      <c r="UBK2" s="180"/>
      <c r="UBL2" s="180"/>
      <c r="UBM2" s="180"/>
      <c r="UBN2" s="180"/>
      <c r="UBO2" s="180"/>
      <c r="UBP2" s="180"/>
      <c r="UBQ2" s="180"/>
      <c r="UBR2" s="180"/>
      <c r="UBS2" s="180"/>
      <c r="UBT2" s="180"/>
      <c r="UBU2" s="180"/>
      <c r="UBV2" s="180"/>
      <c r="UBW2" s="180"/>
      <c r="UBX2" s="180"/>
      <c r="UBY2" s="180"/>
      <c r="UBZ2" s="180"/>
      <c r="UCA2" s="180"/>
      <c r="UCB2" s="180"/>
      <c r="UCC2" s="180"/>
      <c r="UCD2" s="180"/>
      <c r="UCE2" s="180"/>
      <c r="UCF2" s="180"/>
      <c r="UCG2" s="180"/>
      <c r="UCH2" s="180"/>
      <c r="UCI2" s="180"/>
      <c r="UCJ2" s="180"/>
      <c r="UCK2" s="180"/>
      <c r="UCL2" s="180"/>
      <c r="UCM2" s="180"/>
      <c r="UCN2" s="180"/>
      <c r="UCO2" s="180"/>
      <c r="UCP2" s="180"/>
      <c r="UCQ2" s="180"/>
      <c r="UCR2" s="180"/>
      <c r="UCS2" s="180"/>
      <c r="UCT2" s="180"/>
      <c r="UCU2" s="180"/>
      <c r="UCV2" s="180"/>
      <c r="UCW2" s="180"/>
      <c r="UCX2" s="180"/>
      <c r="UCY2" s="180"/>
      <c r="UCZ2" s="180"/>
      <c r="UDA2" s="180"/>
      <c r="UDB2" s="180"/>
      <c r="UDC2" s="180"/>
      <c r="UDD2" s="180"/>
      <c r="UDE2" s="180"/>
      <c r="UDF2" s="180"/>
      <c r="UDG2" s="180"/>
      <c r="UDH2" s="180"/>
      <c r="UDI2" s="180"/>
      <c r="UDJ2" s="180"/>
      <c r="UDK2" s="180"/>
      <c r="UDL2" s="180"/>
      <c r="UDM2" s="180"/>
      <c r="UDN2" s="180"/>
      <c r="UDO2" s="180"/>
      <c r="UDP2" s="180"/>
      <c r="UDQ2" s="180"/>
      <c r="UDR2" s="180"/>
      <c r="UDS2" s="180"/>
      <c r="UDT2" s="180"/>
      <c r="UDU2" s="180"/>
      <c r="UDV2" s="180"/>
      <c r="UDW2" s="180"/>
      <c r="UDX2" s="180"/>
      <c r="UDY2" s="180"/>
      <c r="UDZ2" s="180"/>
      <c r="UEA2" s="180"/>
      <c r="UEB2" s="180"/>
      <c r="UEC2" s="180"/>
      <c r="UED2" s="180"/>
      <c r="UEE2" s="180"/>
      <c r="UEF2" s="180"/>
      <c r="UEG2" s="180"/>
      <c r="UEH2" s="180"/>
      <c r="UEI2" s="180"/>
      <c r="UEJ2" s="180"/>
      <c r="UEK2" s="180"/>
      <c r="UEL2" s="180"/>
      <c r="UEM2" s="180"/>
      <c r="UEN2" s="180"/>
      <c r="UEO2" s="180"/>
      <c r="UEP2" s="180"/>
      <c r="UEQ2" s="180"/>
      <c r="UER2" s="180"/>
      <c r="UES2" s="180"/>
      <c r="UET2" s="180"/>
      <c r="UEU2" s="180"/>
      <c r="UEV2" s="180"/>
      <c r="UEW2" s="180"/>
      <c r="UEX2" s="180"/>
      <c r="UEY2" s="180"/>
      <c r="UEZ2" s="180"/>
      <c r="UFA2" s="180"/>
      <c r="UFB2" s="180"/>
      <c r="UFC2" s="180"/>
      <c r="UFD2" s="180"/>
      <c r="UFE2" s="180"/>
      <c r="UFF2" s="180"/>
      <c r="UFG2" s="180"/>
      <c r="UFH2" s="180"/>
      <c r="UFI2" s="180"/>
      <c r="UFJ2" s="180"/>
      <c r="UFK2" s="180"/>
      <c r="UFL2" s="180"/>
      <c r="UFM2" s="180"/>
      <c r="UFN2" s="180"/>
      <c r="UFO2" s="180"/>
      <c r="UFP2" s="180"/>
      <c r="UFQ2" s="180"/>
      <c r="UFR2" s="180"/>
      <c r="UFS2" s="180"/>
      <c r="UFT2" s="180"/>
      <c r="UFU2" s="180"/>
      <c r="UFV2" s="180"/>
      <c r="UFW2" s="180"/>
      <c r="UFX2" s="180"/>
      <c r="UFY2" s="180"/>
      <c r="UFZ2" s="180"/>
      <c r="UGA2" s="180"/>
      <c r="UGB2" s="180"/>
      <c r="UGC2" s="180"/>
      <c r="UGD2" s="180"/>
      <c r="UGE2" s="180"/>
      <c r="UGF2" s="180"/>
      <c r="UGG2" s="180"/>
      <c r="UGH2" s="180"/>
      <c r="UGI2" s="180"/>
      <c r="UGJ2" s="180"/>
      <c r="UGK2" s="180"/>
      <c r="UGL2" s="180"/>
      <c r="UGM2" s="180"/>
      <c r="UGN2" s="180"/>
      <c r="UGO2" s="180"/>
      <c r="UGP2" s="180"/>
      <c r="UGQ2" s="180"/>
      <c r="UGR2" s="180"/>
      <c r="UGS2" s="180"/>
      <c r="UGT2" s="180"/>
      <c r="UGU2" s="180"/>
      <c r="UGV2" s="180"/>
      <c r="UGW2" s="180"/>
      <c r="UGX2" s="180"/>
      <c r="UGY2" s="180"/>
      <c r="UGZ2" s="180"/>
      <c r="UHA2" s="180"/>
      <c r="UHB2" s="180"/>
      <c r="UHC2" s="180"/>
      <c r="UHD2" s="180"/>
      <c r="UHE2" s="180"/>
      <c r="UHF2" s="180"/>
      <c r="UHG2" s="180"/>
      <c r="UHH2" s="180"/>
      <c r="UHI2" s="180"/>
      <c r="UHJ2" s="180"/>
      <c r="UHK2" s="180"/>
      <c r="UHL2" s="180"/>
      <c r="UHM2" s="180"/>
      <c r="UHN2" s="180"/>
      <c r="UHO2" s="180"/>
      <c r="UHP2" s="180"/>
      <c r="UHQ2" s="180"/>
      <c r="UHR2" s="180"/>
      <c r="UHS2" s="180"/>
      <c r="UHT2" s="180"/>
      <c r="UHU2" s="180"/>
      <c r="UHV2" s="180"/>
      <c r="UHW2" s="180"/>
      <c r="UHX2" s="180"/>
      <c r="UHY2" s="180"/>
      <c r="UHZ2" s="180"/>
      <c r="UIA2" s="180"/>
      <c r="UIB2" s="180"/>
      <c r="UIC2" s="180"/>
      <c r="UID2" s="180"/>
      <c r="UIE2" s="180"/>
      <c r="UIF2" s="180"/>
      <c r="UIG2" s="180"/>
      <c r="UIH2" s="180"/>
      <c r="UII2" s="180"/>
      <c r="UIJ2" s="180"/>
      <c r="UIK2" s="180"/>
      <c r="UIL2" s="180"/>
      <c r="UIM2" s="180"/>
      <c r="UIN2" s="180"/>
      <c r="UIO2" s="180"/>
      <c r="UIP2" s="180"/>
      <c r="UIQ2" s="180"/>
      <c r="UIR2" s="180"/>
      <c r="UIS2" s="180"/>
      <c r="UIT2" s="180"/>
      <c r="UIU2" s="180"/>
      <c r="UIV2" s="180"/>
      <c r="UIW2" s="180"/>
      <c r="UIX2" s="180"/>
      <c r="UIY2" s="180"/>
      <c r="UIZ2" s="180"/>
      <c r="UJA2" s="180"/>
      <c r="UJB2" s="180"/>
      <c r="UJC2" s="180"/>
      <c r="UJD2" s="180"/>
      <c r="UJE2" s="180"/>
      <c r="UJF2" s="180"/>
      <c r="UJG2" s="180"/>
      <c r="UJH2" s="180"/>
      <c r="UJI2" s="180"/>
      <c r="UJJ2" s="180"/>
      <c r="UJK2" s="180"/>
      <c r="UJL2" s="180"/>
      <c r="UJM2" s="180"/>
      <c r="UJN2" s="180"/>
      <c r="UJO2" s="180"/>
      <c r="UJP2" s="180"/>
      <c r="UJQ2" s="180"/>
      <c r="UJR2" s="180"/>
      <c r="UJS2" s="180"/>
      <c r="UJT2" s="180"/>
      <c r="UJU2" s="180"/>
      <c r="UJV2" s="180"/>
      <c r="UJW2" s="180"/>
      <c r="UJX2" s="180"/>
      <c r="UJY2" s="180"/>
      <c r="UJZ2" s="180"/>
      <c r="UKA2" s="180"/>
      <c r="UKB2" s="180"/>
      <c r="UKC2" s="180"/>
      <c r="UKD2" s="180"/>
      <c r="UKE2" s="180"/>
      <c r="UKF2" s="180"/>
      <c r="UKG2" s="180"/>
      <c r="UKH2" s="180"/>
      <c r="UKI2" s="180"/>
      <c r="UKJ2" s="180"/>
      <c r="UKK2" s="180"/>
      <c r="UKL2" s="180"/>
      <c r="UKM2" s="180"/>
      <c r="UKN2" s="180"/>
      <c r="UKO2" s="180"/>
      <c r="UKP2" s="180"/>
      <c r="UKQ2" s="180"/>
      <c r="UKR2" s="180"/>
      <c r="UKS2" s="180"/>
      <c r="UKT2" s="180"/>
      <c r="UKU2" s="180"/>
      <c r="UKV2" s="180"/>
      <c r="UKW2" s="180"/>
      <c r="UKX2" s="180"/>
      <c r="UKY2" s="180"/>
      <c r="UKZ2" s="180"/>
      <c r="ULA2" s="180"/>
      <c r="ULB2" s="180"/>
      <c r="ULC2" s="180"/>
      <c r="ULD2" s="180"/>
      <c r="ULE2" s="180"/>
      <c r="ULF2" s="180"/>
      <c r="ULG2" s="180"/>
      <c r="ULH2" s="180"/>
      <c r="ULI2" s="180"/>
      <c r="ULJ2" s="180"/>
      <c r="ULK2" s="180"/>
      <c r="ULL2" s="180"/>
      <c r="ULM2" s="180"/>
      <c r="ULN2" s="180"/>
      <c r="ULO2" s="180"/>
      <c r="ULP2" s="180"/>
      <c r="ULQ2" s="180"/>
      <c r="ULR2" s="180"/>
      <c r="ULS2" s="180"/>
      <c r="ULT2" s="180"/>
      <c r="ULU2" s="180"/>
      <c r="ULV2" s="180"/>
      <c r="ULW2" s="180"/>
      <c r="ULX2" s="180"/>
      <c r="ULY2" s="180"/>
      <c r="ULZ2" s="180"/>
      <c r="UMA2" s="180"/>
      <c r="UMB2" s="180"/>
      <c r="UMC2" s="180"/>
      <c r="UMD2" s="180"/>
      <c r="UME2" s="180"/>
      <c r="UMF2" s="180"/>
      <c r="UMG2" s="180"/>
      <c r="UMH2" s="180"/>
      <c r="UMI2" s="180"/>
      <c r="UMJ2" s="180"/>
      <c r="UMK2" s="180"/>
      <c r="UML2" s="180"/>
      <c r="UMM2" s="180"/>
      <c r="UMN2" s="180"/>
      <c r="UMO2" s="180"/>
      <c r="UMP2" s="180"/>
      <c r="UMQ2" s="180"/>
      <c r="UMR2" s="180"/>
      <c r="UMS2" s="180"/>
      <c r="UMT2" s="180"/>
      <c r="UMU2" s="180"/>
      <c r="UMV2" s="180"/>
      <c r="UMW2" s="180"/>
      <c r="UMX2" s="180"/>
      <c r="UMY2" s="180"/>
      <c r="UMZ2" s="180"/>
      <c r="UNA2" s="180"/>
      <c r="UNB2" s="180"/>
      <c r="UNC2" s="180"/>
      <c r="UND2" s="180"/>
      <c r="UNE2" s="180"/>
      <c r="UNF2" s="180"/>
      <c r="UNG2" s="180"/>
      <c r="UNH2" s="180"/>
      <c r="UNI2" s="180"/>
      <c r="UNJ2" s="180"/>
      <c r="UNK2" s="180"/>
      <c r="UNL2" s="180"/>
      <c r="UNM2" s="180"/>
      <c r="UNN2" s="180"/>
      <c r="UNO2" s="180"/>
      <c r="UNP2" s="180"/>
      <c r="UNQ2" s="180"/>
      <c r="UNR2" s="180"/>
      <c r="UNS2" s="180"/>
      <c r="UNT2" s="180"/>
      <c r="UNU2" s="180"/>
      <c r="UNV2" s="180"/>
      <c r="UNW2" s="180"/>
      <c r="UNX2" s="180"/>
      <c r="UNY2" s="180"/>
      <c r="UNZ2" s="180"/>
      <c r="UOA2" s="180"/>
      <c r="UOB2" s="180"/>
      <c r="UOC2" s="180"/>
      <c r="UOD2" s="180"/>
      <c r="UOE2" s="180"/>
      <c r="UOF2" s="180"/>
      <c r="UOG2" s="180"/>
      <c r="UOH2" s="180"/>
      <c r="UOI2" s="180"/>
      <c r="UOJ2" s="180"/>
      <c r="UOK2" s="180"/>
      <c r="UOL2" s="180"/>
      <c r="UOM2" s="180"/>
      <c r="UON2" s="180"/>
      <c r="UOO2" s="180"/>
      <c r="UOP2" s="180"/>
      <c r="UOQ2" s="180"/>
      <c r="UOR2" s="180"/>
      <c r="UOS2" s="180"/>
      <c r="UOT2" s="180"/>
      <c r="UOU2" s="180"/>
      <c r="UOV2" s="180"/>
      <c r="UOW2" s="180"/>
      <c r="UOX2" s="180"/>
      <c r="UOY2" s="180"/>
      <c r="UOZ2" s="180"/>
      <c r="UPA2" s="180"/>
      <c r="UPB2" s="180"/>
      <c r="UPC2" s="180"/>
      <c r="UPD2" s="180"/>
      <c r="UPE2" s="180"/>
      <c r="UPF2" s="180"/>
      <c r="UPG2" s="180"/>
      <c r="UPH2" s="180"/>
      <c r="UPI2" s="180"/>
      <c r="UPJ2" s="180"/>
      <c r="UPK2" s="180"/>
      <c r="UPL2" s="180"/>
      <c r="UPM2" s="180"/>
      <c r="UPN2" s="180"/>
      <c r="UPO2" s="180"/>
      <c r="UPP2" s="180"/>
      <c r="UPQ2" s="180"/>
      <c r="UPR2" s="180"/>
      <c r="UPS2" s="180"/>
      <c r="UPT2" s="180"/>
      <c r="UPU2" s="180"/>
      <c r="UPV2" s="180"/>
      <c r="UPW2" s="180"/>
      <c r="UPX2" s="180"/>
      <c r="UPY2" s="180"/>
      <c r="UPZ2" s="180"/>
      <c r="UQA2" s="180"/>
      <c r="UQB2" s="180"/>
      <c r="UQC2" s="180"/>
      <c r="UQD2" s="180"/>
      <c r="UQE2" s="180"/>
      <c r="UQF2" s="180"/>
      <c r="UQG2" s="180"/>
      <c r="UQH2" s="180"/>
      <c r="UQI2" s="180"/>
      <c r="UQJ2" s="180"/>
      <c r="UQK2" s="180"/>
      <c r="UQL2" s="180"/>
      <c r="UQM2" s="180"/>
      <c r="UQN2" s="180"/>
      <c r="UQO2" s="180"/>
      <c r="UQP2" s="180"/>
      <c r="UQQ2" s="180"/>
      <c r="UQR2" s="180"/>
      <c r="UQS2" s="180"/>
      <c r="UQT2" s="180"/>
      <c r="UQU2" s="180"/>
      <c r="UQV2" s="180"/>
      <c r="UQW2" s="180"/>
      <c r="UQX2" s="180"/>
      <c r="UQY2" s="180"/>
      <c r="UQZ2" s="180"/>
      <c r="URA2" s="180"/>
      <c r="URB2" s="180"/>
      <c r="URC2" s="180"/>
      <c r="URD2" s="180"/>
      <c r="URE2" s="180"/>
      <c r="URF2" s="180"/>
      <c r="URG2" s="180"/>
      <c r="URH2" s="180"/>
      <c r="URI2" s="180"/>
      <c r="URJ2" s="180"/>
      <c r="URK2" s="180"/>
      <c r="URL2" s="180"/>
      <c r="URM2" s="180"/>
      <c r="URN2" s="180"/>
      <c r="URO2" s="180"/>
      <c r="URP2" s="180"/>
      <c r="URQ2" s="180"/>
      <c r="URR2" s="180"/>
      <c r="URS2" s="180"/>
      <c r="URT2" s="180"/>
      <c r="URU2" s="180"/>
      <c r="URV2" s="180"/>
      <c r="URW2" s="180"/>
      <c r="URX2" s="180"/>
      <c r="URY2" s="180"/>
      <c r="URZ2" s="180"/>
      <c r="USA2" s="180"/>
      <c r="USB2" s="180"/>
      <c r="USC2" s="180"/>
      <c r="USD2" s="180"/>
      <c r="USE2" s="180"/>
      <c r="USF2" s="180"/>
      <c r="USG2" s="180"/>
      <c r="USH2" s="180"/>
      <c r="USI2" s="180"/>
      <c r="USJ2" s="180"/>
      <c r="USK2" s="180"/>
      <c r="USL2" s="180"/>
      <c r="USM2" s="180"/>
      <c r="USN2" s="180"/>
      <c r="USO2" s="180"/>
      <c r="USP2" s="180"/>
      <c r="USQ2" s="180"/>
      <c r="USR2" s="180"/>
      <c r="USS2" s="180"/>
      <c r="UST2" s="180"/>
      <c r="USU2" s="180"/>
      <c r="USV2" s="180"/>
      <c r="USW2" s="180"/>
      <c r="USX2" s="180"/>
      <c r="USY2" s="180"/>
      <c r="USZ2" s="180"/>
      <c r="UTA2" s="180"/>
      <c r="UTB2" s="180"/>
      <c r="UTC2" s="180"/>
      <c r="UTD2" s="180"/>
      <c r="UTE2" s="180"/>
      <c r="UTF2" s="180"/>
      <c r="UTG2" s="180"/>
      <c r="UTH2" s="180"/>
      <c r="UTI2" s="180"/>
      <c r="UTJ2" s="180"/>
      <c r="UTK2" s="180"/>
      <c r="UTL2" s="180"/>
      <c r="UTM2" s="180"/>
      <c r="UTN2" s="180"/>
      <c r="UTO2" s="180"/>
      <c r="UTP2" s="180"/>
      <c r="UTQ2" s="180"/>
      <c r="UTR2" s="180"/>
      <c r="UTS2" s="180"/>
      <c r="UTT2" s="180"/>
      <c r="UTU2" s="180"/>
      <c r="UTV2" s="180"/>
      <c r="UTW2" s="180"/>
      <c r="UTX2" s="180"/>
      <c r="UTY2" s="180"/>
      <c r="UTZ2" s="180"/>
      <c r="UUA2" s="180"/>
      <c r="UUB2" s="180"/>
      <c r="UUC2" s="180"/>
      <c r="UUD2" s="180"/>
      <c r="UUE2" s="180"/>
      <c r="UUF2" s="180"/>
      <c r="UUG2" s="180"/>
      <c r="UUH2" s="180"/>
      <c r="UUI2" s="180"/>
      <c r="UUJ2" s="180"/>
      <c r="UUK2" s="180"/>
      <c r="UUL2" s="180"/>
      <c r="UUM2" s="180"/>
      <c r="UUN2" s="180"/>
      <c r="UUO2" s="180"/>
      <c r="UUP2" s="180"/>
      <c r="UUQ2" s="180"/>
      <c r="UUR2" s="180"/>
      <c r="UUS2" s="180"/>
      <c r="UUT2" s="180"/>
      <c r="UUU2" s="180"/>
      <c r="UUV2" s="180"/>
      <c r="UUW2" s="180"/>
      <c r="UUX2" s="180"/>
      <c r="UUY2" s="180"/>
      <c r="UUZ2" s="180"/>
      <c r="UVA2" s="180"/>
      <c r="UVB2" s="180"/>
      <c r="UVC2" s="180"/>
      <c r="UVD2" s="180"/>
      <c r="UVE2" s="180"/>
      <c r="UVF2" s="180"/>
      <c r="UVG2" s="180"/>
      <c r="UVH2" s="180"/>
      <c r="UVI2" s="180"/>
      <c r="UVJ2" s="180"/>
      <c r="UVK2" s="180"/>
      <c r="UVL2" s="180"/>
      <c r="UVM2" s="180"/>
      <c r="UVN2" s="180"/>
      <c r="UVO2" s="180"/>
      <c r="UVP2" s="180"/>
      <c r="UVQ2" s="180"/>
      <c r="UVR2" s="180"/>
      <c r="UVS2" s="180"/>
      <c r="UVT2" s="180"/>
      <c r="UVU2" s="180"/>
      <c r="UVV2" s="180"/>
      <c r="UVW2" s="180"/>
      <c r="UVX2" s="180"/>
      <c r="UVY2" s="180"/>
      <c r="UVZ2" s="180"/>
      <c r="UWA2" s="180"/>
      <c r="UWB2" s="180"/>
      <c r="UWC2" s="180"/>
      <c r="UWD2" s="180"/>
      <c r="UWE2" s="180"/>
      <c r="UWF2" s="180"/>
      <c r="UWG2" s="180"/>
      <c r="UWH2" s="180"/>
      <c r="UWI2" s="180"/>
      <c r="UWJ2" s="180"/>
      <c r="UWK2" s="180"/>
      <c r="UWL2" s="180"/>
      <c r="UWM2" s="180"/>
      <c r="UWN2" s="180"/>
      <c r="UWO2" s="180"/>
      <c r="UWP2" s="180"/>
      <c r="UWQ2" s="180"/>
      <c r="UWR2" s="180"/>
      <c r="UWS2" s="180"/>
      <c r="UWT2" s="180"/>
      <c r="UWU2" s="180"/>
      <c r="UWV2" s="180"/>
      <c r="UWW2" s="180"/>
      <c r="UWX2" s="180"/>
      <c r="UWY2" s="180"/>
      <c r="UWZ2" s="180"/>
      <c r="UXA2" s="180"/>
      <c r="UXB2" s="180"/>
      <c r="UXC2" s="180"/>
      <c r="UXD2" s="180"/>
      <c r="UXE2" s="180"/>
      <c r="UXF2" s="180"/>
      <c r="UXG2" s="180"/>
      <c r="UXH2" s="180"/>
      <c r="UXI2" s="180"/>
      <c r="UXJ2" s="180"/>
      <c r="UXK2" s="180"/>
      <c r="UXL2" s="180"/>
      <c r="UXM2" s="180"/>
      <c r="UXN2" s="180"/>
      <c r="UXO2" s="180"/>
      <c r="UXP2" s="180"/>
      <c r="UXQ2" s="180"/>
      <c r="UXR2" s="180"/>
      <c r="UXS2" s="180"/>
      <c r="UXT2" s="180"/>
      <c r="UXU2" s="180"/>
      <c r="UXV2" s="180"/>
      <c r="UXW2" s="180"/>
      <c r="UXX2" s="180"/>
      <c r="UXY2" s="180"/>
      <c r="UXZ2" s="180"/>
      <c r="UYA2" s="180"/>
      <c r="UYB2" s="180"/>
      <c r="UYC2" s="180"/>
      <c r="UYD2" s="180"/>
      <c r="UYE2" s="180"/>
      <c r="UYF2" s="180"/>
      <c r="UYG2" s="180"/>
      <c r="UYH2" s="180"/>
      <c r="UYI2" s="180"/>
      <c r="UYJ2" s="180"/>
      <c r="UYK2" s="180"/>
      <c r="UYL2" s="180"/>
      <c r="UYM2" s="180"/>
      <c r="UYN2" s="180"/>
      <c r="UYO2" s="180"/>
      <c r="UYP2" s="180"/>
      <c r="UYQ2" s="180"/>
      <c r="UYR2" s="180"/>
      <c r="UYS2" s="180"/>
      <c r="UYT2" s="180"/>
      <c r="UYU2" s="180"/>
      <c r="UYV2" s="180"/>
      <c r="UYW2" s="180"/>
      <c r="UYX2" s="180"/>
      <c r="UYY2" s="180"/>
      <c r="UYZ2" s="180"/>
      <c r="UZA2" s="180"/>
      <c r="UZB2" s="180"/>
      <c r="UZC2" s="180"/>
      <c r="UZD2" s="180"/>
      <c r="UZE2" s="180"/>
      <c r="UZF2" s="180"/>
      <c r="UZG2" s="180"/>
      <c r="UZH2" s="180"/>
      <c r="UZI2" s="180"/>
      <c r="UZJ2" s="180"/>
      <c r="UZK2" s="180"/>
      <c r="UZL2" s="180"/>
      <c r="UZM2" s="180"/>
      <c r="UZN2" s="180"/>
      <c r="UZO2" s="180"/>
      <c r="UZP2" s="180"/>
      <c r="UZQ2" s="180"/>
      <c r="UZR2" s="180"/>
      <c r="UZS2" s="180"/>
      <c r="UZT2" s="180"/>
      <c r="UZU2" s="180"/>
      <c r="UZV2" s="180"/>
      <c r="UZW2" s="180"/>
      <c r="UZX2" s="180"/>
      <c r="UZY2" s="180"/>
      <c r="UZZ2" s="180"/>
      <c r="VAA2" s="180"/>
      <c r="VAB2" s="180"/>
      <c r="VAC2" s="180"/>
      <c r="VAD2" s="180"/>
      <c r="VAE2" s="180"/>
      <c r="VAF2" s="180"/>
      <c r="VAG2" s="180"/>
      <c r="VAH2" s="180"/>
      <c r="VAI2" s="180"/>
      <c r="VAJ2" s="180"/>
      <c r="VAK2" s="180"/>
      <c r="VAL2" s="180"/>
      <c r="VAM2" s="180"/>
      <c r="VAN2" s="180"/>
      <c r="VAO2" s="180"/>
      <c r="VAP2" s="180"/>
      <c r="VAQ2" s="180"/>
      <c r="VAR2" s="180"/>
      <c r="VAS2" s="180"/>
      <c r="VAT2" s="180"/>
      <c r="VAU2" s="180"/>
      <c r="VAV2" s="180"/>
      <c r="VAW2" s="180"/>
      <c r="VAX2" s="180"/>
      <c r="VAY2" s="180"/>
      <c r="VAZ2" s="180"/>
      <c r="VBA2" s="180"/>
      <c r="VBB2" s="180"/>
      <c r="VBC2" s="180"/>
      <c r="VBD2" s="180"/>
      <c r="VBE2" s="180"/>
      <c r="VBF2" s="180"/>
      <c r="VBG2" s="180"/>
      <c r="VBH2" s="180"/>
      <c r="VBI2" s="180"/>
      <c r="VBJ2" s="180"/>
      <c r="VBK2" s="180"/>
      <c r="VBL2" s="180"/>
      <c r="VBM2" s="180"/>
      <c r="VBN2" s="180"/>
      <c r="VBO2" s="180"/>
      <c r="VBP2" s="180"/>
      <c r="VBQ2" s="180"/>
      <c r="VBR2" s="180"/>
      <c r="VBS2" s="180"/>
      <c r="VBT2" s="180"/>
      <c r="VBU2" s="180"/>
      <c r="VBV2" s="180"/>
      <c r="VBW2" s="180"/>
      <c r="VBX2" s="180"/>
      <c r="VBY2" s="180"/>
      <c r="VBZ2" s="180"/>
      <c r="VCA2" s="180"/>
      <c r="VCB2" s="180"/>
      <c r="VCC2" s="180"/>
      <c r="VCD2" s="180"/>
      <c r="VCE2" s="180"/>
      <c r="VCF2" s="180"/>
      <c r="VCG2" s="180"/>
      <c r="VCH2" s="180"/>
      <c r="VCI2" s="180"/>
      <c r="VCJ2" s="180"/>
      <c r="VCK2" s="180"/>
      <c r="VCL2" s="180"/>
      <c r="VCM2" s="180"/>
      <c r="VCN2" s="180"/>
      <c r="VCO2" s="180"/>
      <c r="VCP2" s="180"/>
      <c r="VCQ2" s="180"/>
      <c r="VCR2" s="180"/>
      <c r="VCS2" s="180"/>
      <c r="VCT2" s="180"/>
      <c r="VCU2" s="180"/>
      <c r="VCV2" s="180"/>
      <c r="VCW2" s="180"/>
      <c r="VCX2" s="180"/>
      <c r="VCY2" s="180"/>
      <c r="VCZ2" s="180"/>
      <c r="VDA2" s="180"/>
      <c r="VDB2" s="180"/>
      <c r="VDC2" s="180"/>
      <c r="VDD2" s="180"/>
      <c r="VDE2" s="180"/>
      <c r="VDF2" s="180"/>
      <c r="VDG2" s="180"/>
      <c r="VDH2" s="180"/>
      <c r="VDI2" s="180"/>
      <c r="VDJ2" s="180"/>
      <c r="VDK2" s="180"/>
      <c r="VDL2" s="180"/>
      <c r="VDM2" s="180"/>
      <c r="VDN2" s="180"/>
      <c r="VDO2" s="180"/>
      <c r="VDP2" s="180"/>
      <c r="VDQ2" s="180"/>
      <c r="VDR2" s="180"/>
      <c r="VDS2" s="180"/>
      <c r="VDT2" s="180"/>
      <c r="VDU2" s="180"/>
      <c r="VDV2" s="180"/>
      <c r="VDW2" s="180"/>
      <c r="VDX2" s="180"/>
      <c r="VDY2" s="180"/>
      <c r="VDZ2" s="180"/>
      <c r="VEA2" s="180"/>
      <c r="VEB2" s="180"/>
      <c r="VEC2" s="180"/>
      <c r="VED2" s="180"/>
      <c r="VEE2" s="180"/>
      <c r="VEF2" s="180"/>
      <c r="VEG2" s="180"/>
      <c r="VEH2" s="180"/>
      <c r="VEI2" s="180"/>
      <c r="VEJ2" s="180"/>
      <c r="VEK2" s="180"/>
      <c r="VEL2" s="180"/>
      <c r="VEM2" s="180"/>
      <c r="VEN2" s="180"/>
      <c r="VEO2" s="180"/>
      <c r="VEP2" s="180"/>
      <c r="VEQ2" s="180"/>
      <c r="VER2" s="180"/>
      <c r="VES2" s="180"/>
      <c r="VET2" s="180"/>
      <c r="VEU2" s="180"/>
      <c r="VEV2" s="180"/>
      <c r="VEW2" s="180"/>
      <c r="VEX2" s="180"/>
      <c r="VEY2" s="180"/>
      <c r="VEZ2" s="180"/>
      <c r="VFA2" s="180"/>
      <c r="VFB2" s="180"/>
      <c r="VFC2" s="180"/>
      <c r="VFD2" s="180"/>
      <c r="VFE2" s="180"/>
      <c r="VFF2" s="180"/>
      <c r="VFG2" s="180"/>
      <c r="VFH2" s="180"/>
      <c r="VFI2" s="180"/>
      <c r="VFJ2" s="180"/>
      <c r="VFK2" s="180"/>
      <c r="VFL2" s="180"/>
      <c r="VFM2" s="180"/>
      <c r="VFN2" s="180"/>
      <c r="VFO2" s="180"/>
      <c r="VFP2" s="180"/>
      <c r="VFQ2" s="180"/>
      <c r="VFR2" s="180"/>
      <c r="VFS2" s="180"/>
      <c r="VFT2" s="180"/>
      <c r="VFU2" s="180"/>
      <c r="VFV2" s="180"/>
      <c r="VFW2" s="180"/>
      <c r="VFX2" s="180"/>
      <c r="VFY2" s="180"/>
      <c r="VFZ2" s="180"/>
      <c r="VGA2" s="180"/>
      <c r="VGB2" s="180"/>
      <c r="VGC2" s="180"/>
      <c r="VGD2" s="180"/>
      <c r="VGE2" s="180"/>
      <c r="VGF2" s="180"/>
      <c r="VGG2" s="180"/>
      <c r="VGH2" s="180"/>
      <c r="VGI2" s="180"/>
      <c r="VGJ2" s="180"/>
      <c r="VGK2" s="180"/>
      <c r="VGL2" s="180"/>
      <c r="VGM2" s="180"/>
      <c r="VGN2" s="180"/>
      <c r="VGO2" s="180"/>
      <c r="VGP2" s="180"/>
      <c r="VGQ2" s="180"/>
      <c r="VGR2" s="180"/>
      <c r="VGS2" s="180"/>
      <c r="VGT2" s="180"/>
      <c r="VGU2" s="180"/>
      <c r="VGV2" s="180"/>
      <c r="VGW2" s="180"/>
      <c r="VGX2" s="180"/>
      <c r="VGY2" s="180"/>
      <c r="VGZ2" s="180"/>
      <c r="VHA2" s="180"/>
      <c r="VHB2" s="180"/>
      <c r="VHC2" s="180"/>
      <c r="VHD2" s="180"/>
      <c r="VHE2" s="180"/>
      <c r="VHF2" s="180"/>
      <c r="VHG2" s="180"/>
      <c r="VHH2" s="180"/>
      <c r="VHI2" s="180"/>
      <c r="VHJ2" s="180"/>
      <c r="VHK2" s="180"/>
      <c r="VHL2" s="180"/>
      <c r="VHM2" s="180"/>
      <c r="VHN2" s="180"/>
      <c r="VHO2" s="180"/>
      <c r="VHP2" s="180"/>
      <c r="VHQ2" s="180"/>
      <c r="VHR2" s="180"/>
      <c r="VHS2" s="180"/>
      <c r="VHT2" s="180"/>
      <c r="VHU2" s="180"/>
      <c r="VHV2" s="180"/>
      <c r="VHW2" s="180"/>
      <c r="VHX2" s="180"/>
      <c r="VHY2" s="180"/>
      <c r="VHZ2" s="180"/>
      <c r="VIA2" s="180"/>
      <c r="VIB2" s="180"/>
      <c r="VIC2" s="180"/>
      <c r="VID2" s="180"/>
      <c r="VIE2" s="180"/>
      <c r="VIF2" s="180"/>
      <c r="VIG2" s="180"/>
      <c r="VIH2" s="180"/>
      <c r="VII2" s="180"/>
      <c r="VIJ2" s="180"/>
      <c r="VIK2" s="180"/>
      <c r="VIL2" s="180"/>
      <c r="VIM2" s="180"/>
      <c r="VIN2" s="180"/>
      <c r="VIO2" s="180"/>
      <c r="VIP2" s="180"/>
      <c r="VIQ2" s="180"/>
      <c r="VIR2" s="180"/>
      <c r="VIS2" s="180"/>
      <c r="VIT2" s="180"/>
      <c r="VIU2" s="180"/>
      <c r="VIV2" s="180"/>
      <c r="VIW2" s="180"/>
      <c r="VIX2" s="180"/>
      <c r="VIY2" s="180"/>
      <c r="VIZ2" s="180"/>
      <c r="VJA2" s="180"/>
      <c r="VJB2" s="180"/>
      <c r="VJC2" s="180"/>
      <c r="VJD2" s="180"/>
      <c r="VJE2" s="180"/>
      <c r="VJF2" s="180"/>
      <c r="VJG2" s="180"/>
      <c r="VJH2" s="180"/>
      <c r="VJI2" s="180"/>
      <c r="VJJ2" s="180"/>
      <c r="VJK2" s="180"/>
      <c r="VJL2" s="180"/>
      <c r="VJM2" s="180"/>
      <c r="VJN2" s="180"/>
      <c r="VJO2" s="180"/>
      <c r="VJP2" s="180"/>
      <c r="VJQ2" s="180"/>
      <c r="VJR2" s="180"/>
      <c r="VJS2" s="180"/>
      <c r="VJT2" s="180"/>
      <c r="VJU2" s="180"/>
      <c r="VJV2" s="180"/>
      <c r="VJW2" s="180"/>
      <c r="VJX2" s="180"/>
      <c r="VJY2" s="180"/>
      <c r="VJZ2" s="180"/>
      <c r="VKA2" s="180"/>
      <c r="VKB2" s="180"/>
      <c r="VKC2" s="180"/>
      <c r="VKD2" s="180"/>
      <c r="VKE2" s="180"/>
      <c r="VKF2" s="180"/>
      <c r="VKG2" s="180"/>
      <c r="VKH2" s="180"/>
      <c r="VKI2" s="180"/>
      <c r="VKJ2" s="180"/>
      <c r="VKK2" s="180"/>
      <c r="VKL2" s="180"/>
      <c r="VKM2" s="180"/>
      <c r="VKN2" s="180"/>
      <c r="VKO2" s="180"/>
      <c r="VKP2" s="180"/>
      <c r="VKQ2" s="180"/>
      <c r="VKR2" s="180"/>
      <c r="VKS2" s="180"/>
      <c r="VKT2" s="180"/>
      <c r="VKU2" s="180"/>
      <c r="VKV2" s="180"/>
      <c r="VKW2" s="180"/>
      <c r="VKX2" s="180"/>
      <c r="VKY2" s="180"/>
      <c r="VKZ2" s="180"/>
      <c r="VLA2" s="180"/>
      <c r="VLB2" s="180"/>
      <c r="VLC2" s="180"/>
      <c r="VLD2" s="180"/>
      <c r="VLE2" s="180"/>
      <c r="VLF2" s="180"/>
      <c r="VLG2" s="180"/>
      <c r="VLH2" s="180"/>
      <c r="VLI2" s="180"/>
      <c r="VLJ2" s="180"/>
      <c r="VLK2" s="180"/>
      <c r="VLL2" s="180"/>
      <c r="VLM2" s="180"/>
      <c r="VLN2" s="180"/>
      <c r="VLO2" s="180"/>
      <c r="VLP2" s="180"/>
      <c r="VLQ2" s="180"/>
      <c r="VLR2" s="180"/>
      <c r="VLS2" s="180"/>
      <c r="VLT2" s="180"/>
      <c r="VLU2" s="180"/>
      <c r="VLV2" s="180"/>
      <c r="VLW2" s="180"/>
      <c r="VLX2" s="180"/>
      <c r="VLY2" s="180"/>
      <c r="VLZ2" s="180"/>
      <c r="VMA2" s="180"/>
      <c r="VMB2" s="180"/>
      <c r="VMC2" s="180"/>
      <c r="VMD2" s="180"/>
      <c r="VME2" s="180"/>
      <c r="VMF2" s="180"/>
      <c r="VMG2" s="180"/>
      <c r="VMH2" s="180"/>
      <c r="VMI2" s="180"/>
      <c r="VMJ2" s="180"/>
      <c r="VMK2" s="180"/>
      <c r="VML2" s="180"/>
      <c r="VMM2" s="180"/>
      <c r="VMN2" s="180"/>
      <c r="VMO2" s="180"/>
      <c r="VMP2" s="180"/>
      <c r="VMQ2" s="180"/>
      <c r="VMR2" s="180"/>
      <c r="VMS2" s="180"/>
      <c r="VMT2" s="180"/>
      <c r="VMU2" s="180"/>
      <c r="VMV2" s="180"/>
      <c r="VMW2" s="180"/>
      <c r="VMX2" s="180"/>
      <c r="VMY2" s="180"/>
      <c r="VMZ2" s="180"/>
      <c r="VNA2" s="180"/>
      <c r="VNB2" s="180"/>
      <c r="VNC2" s="180"/>
      <c r="VND2" s="180"/>
      <c r="VNE2" s="180"/>
      <c r="VNF2" s="180"/>
      <c r="VNG2" s="180"/>
      <c r="VNH2" s="180"/>
      <c r="VNI2" s="180"/>
      <c r="VNJ2" s="180"/>
      <c r="VNK2" s="180"/>
      <c r="VNL2" s="180"/>
      <c r="VNM2" s="180"/>
      <c r="VNN2" s="180"/>
      <c r="VNO2" s="180"/>
      <c r="VNP2" s="180"/>
      <c r="VNQ2" s="180"/>
      <c r="VNR2" s="180"/>
      <c r="VNS2" s="180"/>
      <c r="VNT2" s="180"/>
      <c r="VNU2" s="180"/>
      <c r="VNV2" s="180"/>
      <c r="VNW2" s="180"/>
      <c r="VNX2" s="180"/>
      <c r="VNY2" s="180"/>
      <c r="VNZ2" s="180"/>
      <c r="VOA2" s="180"/>
      <c r="VOB2" s="180"/>
      <c r="VOC2" s="180"/>
      <c r="VOD2" s="180"/>
      <c r="VOE2" s="180"/>
      <c r="VOF2" s="180"/>
      <c r="VOG2" s="180"/>
      <c r="VOH2" s="180"/>
      <c r="VOI2" s="180"/>
      <c r="VOJ2" s="180"/>
      <c r="VOK2" s="180"/>
      <c r="VOL2" s="180"/>
      <c r="VOM2" s="180"/>
      <c r="VON2" s="180"/>
      <c r="VOO2" s="180"/>
      <c r="VOP2" s="180"/>
      <c r="VOQ2" s="180"/>
      <c r="VOR2" s="180"/>
      <c r="VOS2" s="180"/>
      <c r="VOT2" s="180"/>
      <c r="VOU2" s="180"/>
      <c r="VOV2" s="180"/>
      <c r="VOW2" s="180"/>
      <c r="VOX2" s="180"/>
      <c r="VOY2" s="180"/>
      <c r="VOZ2" s="180"/>
      <c r="VPA2" s="180"/>
      <c r="VPB2" s="180"/>
      <c r="VPC2" s="180"/>
      <c r="VPD2" s="180"/>
      <c r="VPE2" s="180"/>
      <c r="VPF2" s="180"/>
      <c r="VPG2" s="180"/>
      <c r="VPH2" s="180"/>
      <c r="VPI2" s="180"/>
      <c r="VPJ2" s="180"/>
      <c r="VPK2" s="180"/>
      <c r="VPL2" s="180"/>
      <c r="VPM2" s="180"/>
      <c r="VPN2" s="180"/>
      <c r="VPO2" s="180"/>
      <c r="VPP2" s="180"/>
      <c r="VPQ2" s="180"/>
      <c r="VPR2" s="180"/>
      <c r="VPS2" s="180"/>
      <c r="VPT2" s="180"/>
      <c r="VPU2" s="180"/>
      <c r="VPV2" s="180"/>
      <c r="VPW2" s="180"/>
      <c r="VPX2" s="180"/>
      <c r="VPY2" s="180"/>
      <c r="VPZ2" s="180"/>
      <c r="VQA2" s="180"/>
      <c r="VQB2" s="180"/>
      <c r="VQC2" s="180"/>
      <c r="VQD2" s="180"/>
      <c r="VQE2" s="180"/>
      <c r="VQF2" s="180"/>
      <c r="VQG2" s="180"/>
      <c r="VQH2" s="180"/>
      <c r="VQI2" s="180"/>
      <c r="VQJ2" s="180"/>
      <c r="VQK2" s="180"/>
      <c r="VQL2" s="180"/>
      <c r="VQM2" s="180"/>
      <c r="VQN2" s="180"/>
      <c r="VQO2" s="180"/>
      <c r="VQP2" s="180"/>
      <c r="VQQ2" s="180"/>
      <c r="VQR2" s="180"/>
      <c r="VQS2" s="180"/>
      <c r="VQT2" s="180"/>
      <c r="VQU2" s="180"/>
      <c r="VQV2" s="180"/>
      <c r="VQW2" s="180"/>
      <c r="VQX2" s="180"/>
      <c r="VQY2" s="180"/>
      <c r="VQZ2" s="180"/>
      <c r="VRA2" s="180"/>
      <c r="VRB2" s="180"/>
      <c r="VRC2" s="180"/>
      <c r="VRD2" s="180"/>
      <c r="VRE2" s="180"/>
      <c r="VRF2" s="180"/>
      <c r="VRG2" s="180"/>
      <c r="VRH2" s="180"/>
      <c r="VRI2" s="180"/>
      <c r="VRJ2" s="180"/>
      <c r="VRK2" s="180"/>
      <c r="VRL2" s="180"/>
      <c r="VRM2" s="180"/>
      <c r="VRN2" s="180"/>
      <c r="VRO2" s="180"/>
      <c r="VRP2" s="180"/>
      <c r="VRQ2" s="180"/>
      <c r="VRR2" s="180"/>
      <c r="VRS2" s="180"/>
      <c r="VRT2" s="180"/>
      <c r="VRU2" s="180"/>
      <c r="VRV2" s="180"/>
      <c r="VRW2" s="180"/>
      <c r="VRX2" s="180"/>
      <c r="VRY2" s="180"/>
      <c r="VRZ2" s="180"/>
      <c r="VSA2" s="180"/>
      <c r="VSB2" s="180"/>
      <c r="VSC2" s="180"/>
      <c r="VSD2" s="180"/>
      <c r="VSE2" s="180"/>
      <c r="VSF2" s="180"/>
      <c r="VSG2" s="180"/>
      <c r="VSH2" s="180"/>
      <c r="VSI2" s="180"/>
      <c r="VSJ2" s="180"/>
      <c r="VSK2" s="180"/>
      <c r="VSL2" s="180"/>
      <c r="VSM2" s="180"/>
      <c r="VSN2" s="180"/>
      <c r="VSO2" s="180"/>
      <c r="VSP2" s="180"/>
      <c r="VSQ2" s="180"/>
      <c r="VSR2" s="180"/>
      <c r="VSS2" s="180"/>
      <c r="VST2" s="180"/>
      <c r="VSU2" s="180"/>
      <c r="VSV2" s="180"/>
      <c r="VSW2" s="180"/>
      <c r="VSX2" s="180"/>
      <c r="VSY2" s="180"/>
      <c r="VSZ2" s="180"/>
      <c r="VTA2" s="180"/>
      <c r="VTB2" s="180"/>
      <c r="VTC2" s="180"/>
      <c r="VTD2" s="180"/>
      <c r="VTE2" s="180"/>
      <c r="VTF2" s="180"/>
      <c r="VTG2" s="180"/>
      <c r="VTH2" s="180"/>
      <c r="VTI2" s="180"/>
      <c r="VTJ2" s="180"/>
      <c r="VTK2" s="180"/>
      <c r="VTL2" s="180"/>
      <c r="VTM2" s="180"/>
      <c r="VTN2" s="180"/>
      <c r="VTO2" s="180"/>
      <c r="VTP2" s="180"/>
      <c r="VTQ2" s="180"/>
      <c r="VTR2" s="180"/>
      <c r="VTS2" s="180"/>
      <c r="VTT2" s="180"/>
      <c r="VTU2" s="180"/>
      <c r="VTV2" s="180"/>
      <c r="VTW2" s="180"/>
      <c r="VTX2" s="180"/>
      <c r="VTY2" s="180"/>
      <c r="VTZ2" s="180"/>
      <c r="VUA2" s="180"/>
      <c r="VUB2" s="180"/>
      <c r="VUC2" s="180"/>
      <c r="VUD2" s="180"/>
      <c r="VUE2" s="180"/>
      <c r="VUF2" s="180"/>
      <c r="VUG2" s="180"/>
      <c r="VUH2" s="180"/>
      <c r="VUI2" s="180"/>
      <c r="VUJ2" s="180"/>
      <c r="VUK2" s="180"/>
      <c r="VUL2" s="180"/>
      <c r="VUM2" s="180"/>
      <c r="VUN2" s="180"/>
      <c r="VUO2" s="180"/>
      <c r="VUP2" s="180"/>
      <c r="VUQ2" s="180"/>
      <c r="VUR2" s="180"/>
      <c r="VUS2" s="180"/>
      <c r="VUT2" s="180"/>
      <c r="VUU2" s="180"/>
      <c r="VUV2" s="180"/>
      <c r="VUW2" s="180"/>
      <c r="VUX2" s="180"/>
      <c r="VUY2" s="180"/>
      <c r="VUZ2" s="180"/>
      <c r="VVA2" s="180"/>
      <c r="VVB2" s="180"/>
      <c r="VVC2" s="180"/>
      <c r="VVD2" s="180"/>
      <c r="VVE2" s="180"/>
      <c r="VVF2" s="180"/>
      <c r="VVG2" s="180"/>
      <c r="VVH2" s="180"/>
      <c r="VVI2" s="180"/>
      <c r="VVJ2" s="180"/>
      <c r="VVK2" s="180"/>
      <c r="VVL2" s="180"/>
      <c r="VVM2" s="180"/>
      <c r="VVN2" s="180"/>
      <c r="VVO2" s="180"/>
      <c r="VVP2" s="180"/>
      <c r="VVQ2" s="180"/>
      <c r="VVR2" s="180"/>
      <c r="VVS2" s="180"/>
      <c r="VVT2" s="180"/>
      <c r="VVU2" s="180"/>
      <c r="VVV2" s="180"/>
      <c r="VVW2" s="180"/>
      <c r="VVX2" s="180"/>
      <c r="VVY2" s="180"/>
      <c r="VVZ2" s="180"/>
      <c r="VWA2" s="180"/>
      <c r="VWB2" s="180"/>
      <c r="VWC2" s="180"/>
      <c r="VWD2" s="180"/>
      <c r="VWE2" s="180"/>
      <c r="VWF2" s="180"/>
      <c r="VWG2" s="180"/>
      <c r="VWH2" s="180"/>
      <c r="VWI2" s="180"/>
      <c r="VWJ2" s="180"/>
      <c r="VWK2" s="180"/>
      <c r="VWL2" s="180"/>
      <c r="VWM2" s="180"/>
      <c r="VWN2" s="180"/>
      <c r="VWO2" s="180"/>
      <c r="VWP2" s="180"/>
      <c r="VWQ2" s="180"/>
      <c r="VWR2" s="180"/>
      <c r="VWS2" s="180"/>
      <c r="VWT2" s="180"/>
      <c r="VWU2" s="180"/>
      <c r="VWV2" s="180"/>
      <c r="VWW2" s="180"/>
      <c r="VWX2" s="180"/>
      <c r="VWY2" s="180"/>
      <c r="VWZ2" s="180"/>
      <c r="VXA2" s="180"/>
      <c r="VXB2" s="180"/>
      <c r="VXC2" s="180"/>
      <c r="VXD2" s="180"/>
      <c r="VXE2" s="180"/>
      <c r="VXF2" s="180"/>
      <c r="VXG2" s="180"/>
      <c r="VXH2" s="180"/>
      <c r="VXI2" s="180"/>
      <c r="VXJ2" s="180"/>
      <c r="VXK2" s="180"/>
      <c r="VXL2" s="180"/>
      <c r="VXM2" s="180"/>
      <c r="VXN2" s="180"/>
      <c r="VXO2" s="180"/>
      <c r="VXP2" s="180"/>
      <c r="VXQ2" s="180"/>
      <c r="VXR2" s="180"/>
      <c r="VXS2" s="180"/>
      <c r="VXT2" s="180"/>
      <c r="VXU2" s="180"/>
      <c r="VXV2" s="180"/>
      <c r="VXW2" s="180"/>
      <c r="VXX2" s="180"/>
      <c r="VXY2" s="180"/>
      <c r="VXZ2" s="180"/>
      <c r="VYA2" s="180"/>
      <c r="VYB2" s="180"/>
      <c r="VYC2" s="180"/>
      <c r="VYD2" s="180"/>
      <c r="VYE2" s="180"/>
      <c r="VYF2" s="180"/>
      <c r="VYG2" s="180"/>
      <c r="VYH2" s="180"/>
      <c r="VYI2" s="180"/>
      <c r="VYJ2" s="180"/>
      <c r="VYK2" s="180"/>
      <c r="VYL2" s="180"/>
      <c r="VYM2" s="180"/>
      <c r="VYN2" s="180"/>
      <c r="VYO2" s="180"/>
      <c r="VYP2" s="180"/>
      <c r="VYQ2" s="180"/>
      <c r="VYR2" s="180"/>
      <c r="VYS2" s="180"/>
      <c r="VYT2" s="180"/>
      <c r="VYU2" s="180"/>
      <c r="VYV2" s="180"/>
      <c r="VYW2" s="180"/>
      <c r="VYX2" s="180"/>
      <c r="VYY2" s="180"/>
      <c r="VYZ2" s="180"/>
      <c r="VZA2" s="180"/>
      <c r="VZB2" s="180"/>
      <c r="VZC2" s="180"/>
      <c r="VZD2" s="180"/>
      <c r="VZE2" s="180"/>
      <c r="VZF2" s="180"/>
      <c r="VZG2" s="180"/>
      <c r="VZH2" s="180"/>
      <c r="VZI2" s="180"/>
      <c r="VZJ2" s="180"/>
      <c r="VZK2" s="180"/>
      <c r="VZL2" s="180"/>
      <c r="VZM2" s="180"/>
      <c r="VZN2" s="180"/>
      <c r="VZO2" s="180"/>
      <c r="VZP2" s="180"/>
      <c r="VZQ2" s="180"/>
      <c r="VZR2" s="180"/>
      <c r="VZS2" s="180"/>
      <c r="VZT2" s="180"/>
      <c r="VZU2" s="180"/>
      <c r="VZV2" s="180"/>
      <c r="VZW2" s="180"/>
      <c r="VZX2" s="180"/>
      <c r="VZY2" s="180"/>
      <c r="VZZ2" s="180"/>
      <c r="WAA2" s="180"/>
      <c r="WAB2" s="180"/>
      <c r="WAC2" s="180"/>
      <c r="WAD2" s="180"/>
      <c r="WAE2" s="180"/>
      <c r="WAF2" s="180"/>
      <c r="WAG2" s="180"/>
      <c r="WAH2" s="180"/>
      <c r="WAI2" s="180"/>
      <c r="WAJ2" s="180"/>
      <c r="WAK2" s="180"/>
      <c r="WAL2" s="180"/>
      <c r="WAM2" s="180"/>
      <c r="WAN2" s="180"/>
      <c r="WAO2" s="180"/>
      <c r="WAP2" s="180"/>
      <c r="WAQ2" s="180"/>
      <c r="WAR2" s="180"/>
      <c r="WAS2" s="180"/>
      <c r="WAT2" s="180"/>
      <c r="WAU2" s="180"/>
      <c r="WAV2" s="180"/>
      <c r="WAW2" s="180"/>
      <c r="WAX2" s="180"/>
      <c r="WAY2" s="180"/>
      <c r="WAZ2" s="180"/>
      <c r="WBA2" s="180"/>
      <c r="WBB2" s="180"/>
      <c r="WBC2" s="180"/>
      <c r="WBD2" s="180"/>
      <c r="WBE2" s="180"/>
      <c r="WBF2" s="180"/>
      <c r="WBG2" s="180"/>
      <c r="WBH2" s="180"/>
      <c r="WBI2" s="180"/>
      <c r="WBJ2" s="180"/>
      <c r="WBK2" s="180"/>
      <c r="WBL2" s="180"/>
      <c r="WBM2" s="180"/>
      <c r="WBN2" s="180"/>
      <c r="WBO2" s="180"/>
      <c r="WBP2" s="180"/>
      <c r="WBQ2" s="180"/>
      <c r="WBR2" s="180"/>
      <c r="WBS2" s="180"/>
      <c r="WBT2" s="180"/>
      <c r="WBU2" s="180"/>
      <c r="WBV2" s="180"/>
      <c r="WBW2" s="180"/>
      <c r="WBX2" s="180"/>
      <c r="WBY2" s="180"/>
      <c r="WBZ2" s="180"/>
      <c r="WCA2" s="180"/>
      <c r="WCB2" s="180"/>
      <c r="WCC2" s="180"/>
      <c r="WCD2" s="180"/>
      <c r="WCE2" s="180"/>
      <c r="WCF2" s="180"/>
      <c r="WCG2" s="180"/>
      <c r="WCH2" s="180"/>
      <c r="WCI2" s="180"/>
      <c r="WCJ2" s="180"/>
      <c r="WCK2" s="180"/>
      <c r="WCL2" s="180"/>
      <c r="WCM2" s="180"/>
      <c r="WCN2" s="180"/>
      <c r="WCO2" s="180"/>
      <c r="WCP2" s="180"/>
      <c r="WCQ2" s="180"/>
      <c r="WCR2" s="180"/>
      <c r="WCS2" s="180"/>
      <c r="WCT2" s="180"/>
      <c r="WCU2" s="180"/>
      <c r="WCV2" s="180"/>
      <c r="WCW2" s="180"/>
      <c r="WCX2" s="180"/>
      <c r="WCY2" s="180"/>
      <c r="WCZ2" s="180"/>
      <c r="WDA2" s="180"/>
      <c r="WDB2" s="180"/>
      <c r="WDC2" s="180"/>
      <c r="WDD2" s="180"/>
      <c r="WDE2" s="180"/>
      <c r="WDF2" s="180"/>
      <c r="WDG2" s="180"/>
      <c r="WDH2" s="180"/>
      <c r="WDI2" s="180"/>
      <c r="WDJ2" s="180"/>
      <c r="WDK2" s="180"/>
      <c r="WDL2" s="180"/>
      <c r="WDM2" s="180"/>
      <c r="WDN2" s="180"/>
      <c r="WDO2" s="180"/>
      <c r="WDP2" s="180"/>
      <c r="WDQ2" s="180"/>
      <c r="WDR2" s="180"/>
      <c r="WDS2" s="180"/>
      <c r="WDT2" s="180"/>
      <c r="WDU2" s="180"/>
      <c r="WDV2" s="180"/>
      <c r="WDW2" s="180"/>
      <c r="WDX2" s="180"/>
      <c r="WDY2" s="180"/>
      <c r="WDZ2" s="180"/>
      <c r="WEA2" s="180"/>
      <c r="WEB2" s="180"/>
      <c r="WEC2" s="180"/>
      <c r="WED2" s="180"/>
      <c r="WEE2" s="180"/>
      <c r="WEF2" s="180"/>
      <c r="WEG2" s="180"/>
      <c r="WEH2" s="180"/>
      <c r="WEI2" s="180"/>
      <c r="WEJ2" s="180"/>
      <c r="WEK2" s="180"/>
      <c r="WEL2" s="180"/>
      <c r="WEM2" s="180"/>
      <c r="WEN2" s="180"/>
      <c r="WEO2" s="180"/>
      <c r="WEP2" s="180"/>
      <c r="WEQ2" s="180"/>
      <c r="WER2" s="180"/>
      <c r="WES2" s="180"/>
      <c r="WET2" s="180"/>
      <c r="WEU2" s="180"/>
      <c r="WEV2" s="180"/>
      <c r="WEW2" s="180"/>
      <c r="WEX2" s="180"/>
      <c r="WEY2" s="180"/>
      <c r="WEZ2" s="180"/>
      <c r="WFA2" s="180"/>
      <c r="WFB2" s="180"/>
      <c r="WFC2" s="180"/>
      <c r="WFD2" s="180"/>
      <c r="WFE2" s="180"/>
      <c r="WFF2" s="180"/>
      <c r="WFG2" s="180"/>
      <c r="WFH2" s="180"/>
      <c r="WFI2" s="180"/>
      <c r="WFJ2" s="180"/>
      <c r="WFK2" s="180"/>
      <c r="WFL2" s="180"/>
      <c r="WFM2" s="180"/>
      <c r="WFN2" s="180"/>
      <c r="WFO2" s="180"/>
      <c r="WFP2" s="180"/>
      <c r="WFQ2" s="180"/>
      <c r="WFR2" s="180"/>
      <c r="WFS2" s="180"/>
      <c r="WFT2" s="180"/>
      <c r="WFU2" s="180"/>
      <c r="WFV2" s="180"/>
      <c r="WFW2" s="180"/>
      <c r="WFX2" s="180"/>
      <c r="WFY2" s="180"/>
      <c r="WFZ2" s="180"/>
      <c r="WGA2" s="180"/>
      <c r="WGB2" s="180"/>
      <c r="WGC2" s="180"/>
      <c r="WGD2" s="180"/>
      <c r="WGE2" s="180"/>
      <c r="WGF2" s="180"/>
      <c r="WGG2" s="180"/>
      <c r="WGH2" s="180"/>
      <c r="WGI2" s="180"/>
      <c r="WGJ2" s="180"/>
      <c r="WGK2" s="180"/>
      <c r="WGL2" s="180"/>
      <c r="WGM2" s="180"/>
      <c r="WGN2" s="180"/>
      <c r="WGO2" s="180"/>
      <c r="WGP2" s="180"/>
      <c r="WGQ2" s="180"/>
      <c r="WGR2" s="180"/>
      <c r="WGS2" s="180"/>
      <c r="WGT2" s="180"/>
      <c r="WGU2" s="180"/>
      <c r="WGV2" s="180"/>
      <c r="WGW2" s="180"/>
      <c r="WGX2" s="180"/>
      <c r="WGY2" s="180"/>
      <c r="WGZ2" s="180"/>
      <c r="WHA2" s="180"/>
      <c r="WHB2" s="180"/>
      <c r="WHC2" s="180"/>
      <c r="WHD2" s="180"/>
      <c r="WHE2" s="180"/>
      <c r="WHF2" s="180"/>
      <c r="WHG2" s="180"/>
      <c r="WHH2" s="180"/>
      <c r="WHI2" s="180"/>
      <c r="WHJ2" s="180"/>
      <c r="WHK2" s="180"/>
      <c r="WHL2" s="180"/>
      <c r="WHM2" s="180"/>
      <c r="WHN2" s="180"/>
      <c r="WHO2" s="180"/>
      <c r="WHP2" s="180"/>
      <c r="WHQ2" s="180"/>
      <c r="WHR2" s="180"/>
      <c r="WHS2" s="180"/>
      <c r="WHT2" s="180"/>
      <c r="WHU2" s="180"/>
      <c r="WHV2" s="180"/>
      <c r="WHW2" s="180"/>
      <c r="WHX2" s="180"/>
      <c r="WHY2" s="180"/>
      <c r="WHZ2" s="180"/>
      <c r="WIA2" s="180"/>
      <c r="WIB2" s="180"/>
      <c r="WIC2" s="180"/>
      <c r="WID2" s="180"/>
      <c r="WIE2" s="180"/>
      <c r="WIF2" s="180"/>
      <c r="WIG2" s="180"/>
      <c r="WIH2" s="180"/>
      <c r="WII2" s="180"/>
      <c r="WIJ2" s="180"/>
      <c r="WIK2" s="180"/>
      <c r="WIL2" s="180"/>
      <c r="WIM2" s="180"/>
      <c r="WIN2" s="180"/>
      <c r="WIO2" s="180"/>
      <c r="WIP2" s="180"/>
      <c r="WIQ2" s="180"/>
      <c r="WIR2" s="180"/>
      <c r="WIS2" s="180"/>
      <c r="WIT2" s="180"/>
      <c r="WIU2" s="180"/>
      <c r="WIV2" s="180"/>
      <c r="WIW2" s="180"/>
      <c r="WIX2" s="180"/>
      <c r="WIY2" s="180"/>
      <c r="WIZ2" s="180"/>
      <c r="WJA2" s="180"/>
      <c r="WJB2" s="180"/>
      <c r="WJC2" s="180"/>
      <c r="WJD2" s="180"/>
      <c r="WJE2" s="180"/>
      <c r="WJF2" s="180"/>
      <c r="WJG2" s="180"/>
      <c r="WJH2" s="180"/>
      <c r="WJI2" s="180"/>
      <c r="WJJ2" s="180"/>
      <c r="WJK2" s="180"/>
      <c r="WJL2" s="180"/>
      <c r="WJM2" s="180"/>
      <c r="WJN2" s="180"/>
      <c r="WJO2" s="180"/>
      <c r="WJP2" s="180"/>
      <c r="WJQ2" s="180"/>
      <c r="WJR2" s="180"/>
      <c r="WJS2" s="180"/>
      <c r="WJT2" s="180"/>
      <c r="WJU2" s="180"/>
      <c r="WJV2" s="180"/>
      <c r="WJW2" s="180"/>
      <c r="WJX2" s="180"/>
      <c r="WJY2" s="180"/>
      <c r="WJZ2" s="180"/>
      <c r="WKA2" s="180"/>
      <c r="WKB2" s="180"/>
      <c r="WKC2" s="180"/>
      <c r="WKD2" s="180"/>
      <c r="WKE2" s="180"/>
      <c r="WKF2" s="180"/>
      <c r="WKG2" s="180"/>
      <c r="WKH2" s="180"/>
      <c r="WKI2" s="180"/>
      <c r="WKJ2" s="180"/>
      <c r="WKK2" s="180"/>
      <c r="WKL2" s="180"/>
      <c r="WKM2" s="180"/>
      <c r="WKN2" s="180"/>
      <c r="WKO2" s="180"/>
      <c r="WKP2" s="180"/>
      <c r="WKQ2" s="180"/>
      <c r="WKR2" s="180"/>
      <c r="WKS2" s="180"/>
      <c r="WKT2" s="180"/>
      <c r="WKU2" s="180"/>
      <c r="WKV2" s="180"/>
      <c r="WKW2" s="180"/>
      <c r="WKX2" s="180"/>
      <c r="WKY2" s="180"/>
      <c r="WKZ2" s="180"/>
      <c r="WLA2" s="180"/>
      <c r="WLB2" s="180"/>
      <c r="WLC2" s="180"/>
      <c r="WLD2" s="180"/>
      <c r="WLE2" s="180"/>
      <c r="WLF2" s="180"/>
      <c r="WLG2" s="180"/>
      <c r="WLH2" s="180"/>
      <c r="WLI2" s="180"/>
      <c r="WLJ2" s="180"/>
      <c r="WLK2" s="180"/>
      <c r="WLL2" s="180"/>
      <c r="WLM2" s="180"/>
      <c r="WLN2" s="180"/>
      <c r="WLO2" s="180"/>
      <c r="WLP2" s="180"/>
      <c r="WLQ2" s="180"/>
      <c r="WLR2" s="180"/>
      <c r="WLS2" s="180"/>
      <c r="WLT2" s="180"/>
      <c r="WLU2" s="180"/>
      <c r="WLV2" s="180"/>
      <c r="WLW2" s="180"/>
      <c r="WLX2" s="180"/>
      <c r="WLY2" s="180"/>
      <c r="WLZ2" s="180"/>
      <c r="WMA2" s="180"/>
      <c r="WMB2" s="180"/>
      <c r="WMC2" s="180"/>
      <c r="WMD2" s="180"/>
      <c r="WME2" s="180"/>
      <c r="WMF2" s="180"/>
      <c r="WMG2" s="180"/>
      <c r="WMH2" s="180"/>
      <c r="WMI2" s="180"/>
      <c r="WMJ2" s="180"/>
      <c r="WMK2" s="180"/>
      <c r="WML2" s="180"/>
      <c r="WMM2" s="180"/>
      <c r="WMN2" s="180"/>
      <c r="WMO2" s="180"/>
      <c r="WMP2" s="180"/>
      <c r="WMQ2" s="180"/>
      <c r="WMR2" s="180"/>
      <c r="WMS2" s="180"/>
      <c r="WMT2" s="180"/>
      <c r="WMU2" s="180"/>
      <c r="WMV2" s="180"/>
      <c r="WMW2" s="180"/>
      <c r="WMX2" s="180"/>
      <c r="WMY2" s="180"/>
      <c r="WMZ2" s="180"/>
      <c r="WNA2" s="180"/>
      <c r="WNB2" s="180"/>
      <c r="WNC2" s="180"/>
      <c r="WND2" s="180"/>
      <c r="WNE2" s="180"/>
      <c r="WNF2" s="180"/>
      <c r="WNG2" s="180"/>
      <c r="WNH2" s="180"/>
      <c r="WNI2" s="180"/>
      <c r="WNJ2" s="180"/>
      <c r="WNK2" s="180"/>
      <c r="WNL2" s="180"/>
      <c r="WNM2" s="180"/>
      <c r="WNN2" s="180"/>
      <c r="WNO2" s="180"/>
      <c r="WNP2" s="180"/>
      <c r="WNQ2" s="180"/>
      <c r="WNR2" s="180"/>
      <c r="WNS2" s="180"/>
      <c r="WNT2" s="180"/>
      <c r="WNU2" s="180"/>
      <c r="WNV2" s="180"/>
      <c r="WNW2" s="180"/>
      <c r="WNX2" s="180"/>
      <c r="WNY2" s="180"/>
      <c r="WNZ2" s="180"/>
      <c r="WOA2" s="180"/>
      <c r="WOB2" s="180"/>
      <c r="WOC2" s="180"/>
      <c r="WOD2" s="180"/>
      <c r="WOE2" s="180"/>
      <c r="WOF2" s="180"/>
      <c r="WOG2" s="180"/>
      <c r="WOH2" s="180"/>
      <c r="WOI2" s="180"/>
      <c r="WOJ2" s="180"/>
      <c r="WOK2" s="180"/>
      <c r="WOL2" s="180"/>
      <c r="WOM2" s="180"/>
      <c r="WON2" s="180"/>
      <c r="WOO2" s="180"/>
      <c r="WOP2" s="180"/>
      <c r="WOQ2" s="180"/>
      <c r="WOR2" s="180"/>
      <c r="WOS2" s="180"/>
      <c r="WOT2" s="180"/>
      <c r="WOU2" s="180"/>
      <c r="WOV2" s="180"/>
      <c r="WOW2" s="180"/>
      <c r="WOX2" s="180"/>
      <c r="WOY2" s="180"/>
      <c r="WOZ2" s="180"/>
      <c r="WPA2" s="180"/>
      <c r="WPB2" s="180"/>
      <c r="WPC2" s="180"/>
      <c r="WPD2" s="180"/>
      <c r="WPE2" s="180"/>
      <c r="WPF2" s="180"/>
      <c r="WPG2" s="180"/>
      <c r="WPH2" s="180"/>
      <c r="WPI2" s="180"/>
      <c r="WPJ2" s="180"/>
      <c r="WPK2" s="180"/>
      <c r="WPL2" s="180"/>
      <c r="WPM2" s="180"/>
      <c r="WPN2" s="180"/>
      <c r="WPO2" s="180"/>
      <c r="WPP2" s="180"/>
      <c r="WPQ2" s="180"/>
      <c r="WPR2" s="180"/>
      <c r="WPS2" s="180"/>
      <c r="WPT2" s="180"/>
      <c r="WPU2" s="180"/>
      <c r="WPV2" s="180"/>
      <c r="WPW2" s="180"/>
      <c r="WPX2" s="180"/>
      <c r="WPY2" s="180"/>
      <c r="WPZ2" s="180"/>
      <c r="WQA2" s="180"/>
      <c r="WQB2" s="180"/>
      <c r="WQC2" s="180"/>
      <c r="WQD2" s="180"/>
      <c r="WQE2" s="180"/>
      <c r="WQF2" s="180"/>
      <c r="WQG2" s="180"/>
      <c r="WQH2" s="180"/>
      <c r="WQI2" s="180"/>
      <c r="WQJ2" s="180"/>
      <c r="WQK2" s="180"/>
      <c r="WQL2" s="180"/>
      <c r="WQM2" s="180"/>
      <c r="WQN2" s="180"/>
      <c r="WQO2" s="180"/>
      <c r="WQP2" s="180"/>
      <c r="WQQ2" s="180"/>
      <c r="WQR2" s="180"/>
      <c r="WQS2" s="180"/>
      <c r="WQT2" s="180"/>
      <c r="WQU2" s="180"/>
      <c r="WQV2" s="180"/>
      <c r="WQW2" s="180"/>
      <c r="WQX2" s="180"/>
      <c r="WQY2" s="180"/>
      <c r="WQZ2" s="180"/>
      <c r="WRA2" s="180"/>
      <c r="WRB2" s="180"/>
      <c r="WRC2" s="180"/>
      <c r="WRD2" s="180"/>
      <c r="WRE2" s="180"/>
      <c r="WRF2" s="180"/>
      <c r="WRG2" s="180"/>
      <c r="WRH2" s="180"/>
      <c r="WRI2" s="180"/>
      <c r="WRJ2" s="180"/>
      <c r="WRK2" s="180"/>
      <c r="WRL2" s="180"/>
      <c r="WRM2" s="180"/>
      <c r="WRN2" s="180"/>
      <c r="WRO2" s="180"/>
      <c r="WRP2" s="180"/>
      <c r="WRQ2" s="180"/>
      <c r="WRR2" s="180"/>
      <c r="WRS2" s="180"/>
      <c r="WRT2" s="180"/>
      <c r="WRU2" s="180"/>
      <c r="WRV2" s="180"/>
      <c r="WRW2" s="180"/>
      <c r="WRX2" s="180"/>
      <c r="WRY2" s="180"/>
      <c r="WRZ2" s="180"/>
      <c r="WSA2" s="180"/>
      <c r="WSB2" s="180"/>
      <c r="WSC2" s="180"/>
      <c r="WSD2" s="180"/>
      <c r="WSE2" s="180"/>
      <c r="WSF2" s="180"/>
      <c r="WSG2" s="180"/>
      <c r="WSH2" s="180"/>
      <c r="WSI2" s="180"/>
      <c r="WSJ2" s="180"/>
      <c r="WSK2" s="180"/>
      <c r="WSL2" s="180"/>
      <c r="WSM2" s="180"/>
      <c r="WSN2" s="180"/>
      <c r="WSO2" s="180"/>
      <c r="WSP2" s="180"/>
      <c r="WSQ2" s="180"/>
      <c r="WSR2" s="180"/>
      <c r="WSS2" s="180"/>
      <c r="WST2" s="180"/>
      <c r="WSU2" s="180"/>
      <c r="WSV2" s="180"/>
      <c r="WSW2" s="180"/>
      <c r="WSX2" s="180"/>
      <c r="WSY2" s="180"/>
      <c r="WSZ2" s="180"/>
      <c r="WTA2" s="180"/>
      <c r="WTB2" s="180"/>
      <c r="WTC2" s="180"/>
      <c r="WTD2" s="180"/>
      <c r="WTE2" s="180"/>
      <c r="WTF2" s="180"/>
      <c r="WTG2" s="180"/>
      <c r="WTH2" s="180"/>
      <c r="WTI2" s="180"/>
      <c r="WTJ2" s="180"/>
      <c r="WTK2" s="180"/>
      <c r="WTL2" s="180"/>
      <c r="WTM2" s="180"/>
      <c r="WTN2" s="180"/>
      <c r="WTO2" s="180"/>
      <c r="WTP2" s="180"/>
      <c r="WTQ2" s="180"/>
      <c r="WTR2" s="180"/>
      <c r="WTS2" s="180"/>
      <c r="WTT2" s="180"/>
      <c r="WTU2" s="180"/>
      <c r="WTV2" s="180"/>
      <c r="WTW2" s="180"/>
      <c r="WTX2" s="180"/>
      <c r="WTY2" s="180"/>
      <c r="WTZ2" s="180"/>
      <c r="WUA2" s="180"/>
      <c r="WUB2" s="180"/>
      <c r="WUC2" s="180"/>
      <c r="WUD2" s="180"/>
      <c r="WUE2" s="180"/>
      <c r="WUF2" s="180"/>
      <c r="WUG2" s="180"/>
      <c r="WUH2" s="180"/>
      <c r="WUI2" s="180"/>
      <c r="WUJ2" s="180"/>
      <c r="WUK2" s="180"/>
      <c r="WUL2" s="180"/>
      <c r="WUM2" s="180"/>
      <c r="WUN2" s="180"/>
      <c r="WUO2" s="180"/>
      <c r="WUP2" s="180"/>
      <c r="WUQ2" s="180"/>
      <c r="WUR2" s="180"/>
      <c r="WUS2" s="180"/>
      <c r="WUT2" s="180"/>
      <c r="WUU2" s="180"/>
      <c r="WUV2" s="180"/>
      <c r="WUW2" s="180"/>
      <c r="WUX2" s="180"/>
      <c r="WUY2" s="180"/>
      <c r="WUZ2" s="180"/>
      <c r="WVA2" s="180"/>
      <c r="WVB2" s="180"/>
      <c r="WVC2" s="180"/>
      <c r="WVD2" s="180"/>
      <c r="WVE2" s="180"/>
      <c r="WVF2" s="180"/>
      <c r="WVG2" s="180"/>
      <c r="WVH2" s="180"/>
      <c r="WVI2" s="180"/>
      <c r="WVJ2" s="180"/>
      <c r="WVK2" s="180"/>
      <c r="WVL2" s="180"/>
      <c r="WVM2" s="180"/>
      <c r="WVN2" s="180"/>
      <c r="WVO2" s="180"/>
      <c r="WVP2" s="180"/>
      <c r="WVQ2" s="180"/>
      <c r="WVR2" s="180"/>
      <c r="WVS2" s="180"/>
      <c r="WVT2" s="180"/>
      <c r="WVU2" s="180"/>
      <c r="WVV2" s="180"/>
      <c r="WVW2" s="180"/>
      <c r="WVX2" s="180"/>
      <c r="WVY2" s="180"/>
      <c r="WVZ2" s="180"/>
      <c r="WWA2" s="180"/>
      <c r="WWB2" s="180"/>
      <c r="WWC2" s="180"/>
      <c r="WWD2" s="180"/>
      <c r="WWE2" s="180"/>
      <c r="WWF2" s="180"/>
      <c r="WWG2" s="180"/>
      <c r="WWH2" s="180"/>
      <c r="WWI2" s="180"/>
      <c r="WWJ2" s="180"/>
      <c r="WWK2" s="180"/>
      <c r="WWL2" s="180"/>
      <c r="WWM2" s="180"/>
      <c r="WWN2" s="180"/>
      <c r="WWO2" s="180"/>
      <c r="WWP2" s="180"/>
      <c r="WWQ2" s="180"/>
      <c r="WWR2" s="180"/>
      <c r="WWS2" s="180"/>
      <c r="WWT2" s="180"/>
      <c r="WWU2" s="180"/>
      <c r="WWV2" s="180"/>
      <c r="WWW2" s="180"/>
      <c r="WWX2" s="180"/>
      <c r="WWY2" s="180"/>
      <c r="WWZ2" s="180"/>
      <c r="WXA2" s="180"/>
      <c r="WXB2" s="180"/>
      <c r="WXC2" s="180"/>
      <c r="WXD2" s="180"/>
      <c r="WXE2" s="180"/>
      <c r="WXF2" s="180"/>
      <c r="WXG2" s="180"/>
      <c r="WXH2" s="180"/>
      <c r="WXI2" s="180"/>
      <c r="WXJ2" s="180"/>
      <c r="WXK2" s="180"/>
      <c r="WXL2" s="180"/>
      <c r="WXM2" s="180"/>
      <c r="WXN2" s="180"/>
      <c r="WXO2" s="180"/>
      <c r="WXP2" s="180"/>
      <c r="WXQ2" s="180"/>
      <c r="WXR2" s="180"/>
      <c r="WXS2" s="180"/>
      <c r="WXT2" s="180"/>
      <c r="WXU2" s="180"/>
      <c r="WXV2" s="180"/>
      <c r="WXW2" s="180"/>
      <c r="WXX2" s="180"/>
      <c r="WXY2" s="180"/>
      <c r="WXZ2" s="180"/>
      <c r="WYA2" s="180"/>
      <c r="WYB2" s="180"/>
      <c r="WYC2" s="180"/>
      <c r="WYD2" s="180"/>
      <c r="WYE2" s="180"/>
      <c r="WYF2" s="180"/>
      <c r="WYG2" s="180"/>
      <c r="WYH2" s="180"/>
      <c r="WYI2" s="180"/>
      <c r="WYJ2" s="180"/>
      <c r="WYK2" s="180"/>
      <c r="WYL2" s="180"/>
      <c r="WYM2" s="180"/>
      <c r="WYN2" s="180"/>
      <c r="WYO2" s="180"/>
      <c r="WYP2" s="180"/>
      <c r="WYQ2" s="180"/>
      <c r="WYR2" s="180"/>
      <c r="WYS2" s="180"/>
      <c r="WYT2" s="180"/>
      <c r="WYU2" s="180"/>
      <c r="WYV2" s="180"/>
      <c r="WYW2" s="180"/>
      <c r="WYX2" s="180"/>
      <c r="WYY2" s="180"/>
      <c r="WYZ2" s="180"/>
      <c r="WZA2" s="180"/>
      <c r="WZB2" s="180"/>
      <c r="WZC2" s="180"/>
      <c r="WZD2" s="180"/>
      <c r="WZE2" s="180"/>
      <c r="WZF2" s="180"/>
      <c r="WZG2" s="180"/>
      <c r="WZH2" s="180"/>
      <c r="WZI2" s="180"/>
      <c r="WZJ2" s="180"/>
      <c r="WZK2" s="180"/>
      <c r="WZL2" s="180"/>
      <c r="WZM2" s="180"/>
      <c r="WZN2" s="180"/>
      <c r="WZO2" s="180"/>
      <c r="WZP2" s="180"/>
      <c r="WZQ2" s="180"/>
      <c r="WZR2" s="180"/>
      <c r="WZS2" s="180"/>
      <c r="WZT2" s="180"/>
      <c r="WZU2" s="180"/>
      <c r="WZV2" s="180"/>
      <c r="WZW2" s="180"/>
      <c r="WZX2" s="180"/>
      <c r="WZY2" s="180"/>
      <c r="WZZ2" s="180"/>
      <c r="XAA2" s="180"/>
      <c r="XAB2" s="180"/>
      <c r="XAC2" s="180"/>
      <c r="XAD2" s="180"/>
      <c r="XAE2" s="180"/>
      <c r="XAF2" s="180"/>
      <c r="XAG2" s="180"/>
      <c r="XAH2" s="180"/>
      <c r="XAI2" s="180"/>
      <c r="XAJ2" s="180"/>
      <c r="XAK2" s="180"/>
      <c r="XAL2" s="180"/>
      <c r="XAM2" s="180"/>
      <c r="XAN2" s="180"/>
      <c r="XAO2" s="180"/>
      <c r="XAP2" s="180"/>
      <c r="XAQ2" s="180"/>
      <c r="XAR2" s="180"/>
      <c r="XAS2" s="180"/>
      <c r="XAT2" s="180"/>
      <c r="XAU2" s="180"/>
      <c r="XAV2" s="180"/>
      <c r="XAW2" s="180"/>
      <c r="XAX2" s="180"/>
      <c r="XAY2" s="180"/>
      <c r="XAZ2" s="180"/>
      <c r="XBA2" s="180"/>
      <c r="XBB2" s="180"/>
      <c r="XBC2" s="180"/>
      <c r="XBD2" s="180"/>
      <c r="XBE2" s="180"/>
      <c r="XBF2" s="180"/>
      <c r="XBG2" s="180"/>
      <c r="XBH2" s="180"/>
      <c r="XBI2" s="180"/>
      <c r="XBJ2" s="180"/>
      <c r="XBK2" s="180"/>
      <c r="XBL2" s="180"/>
      <c r="XBM2" s="180"/>
      <c r="XBN2" s="180"/>
      <c r="XBO2" s="180"/>
      <c r="XBP2" s="180"/>
      <c r="XBQ2" s="180"/>
      <c r="XBR2" s="180"/>
      <c r="XBS2" s="180"/>
      <c r="XBT2" s="180"/>
      <c r="XBU2" s="180"/>
      <c r="XBV2" s="180"/>
      <c r="XBW2" s="180"/>
      <c r="XBX2" s="180"/>
      <c r="XBY2" s="180"/>
      <c r="XBZ2" s="180"/>
      <c r="XCA2" s="180"/>
      <c r="XCB2" s="180"/>
      <c r="XCC2" s="180"/>
      <c r="XCD2" s="180"/>
      <c r="XCE2" s="180"/>
      <c r="XCF2" s="180"/>
      <c r="XCG2" s="180"/>
      <c r="XCH2" s="180"/>
      <c r="XCI2" s="180"/>
      <c r="XCJ2" s="180"/>
      <c r="XCK2" s="180"/>
      <c r="XCL2" s="180"/>
      <c r="XCM2" s="180"/>
      <c r="XCN2" s="180"/>
      <c r="XCO2" s="180"/>
      <c r="XCP2" s="180"/>
      <c r="XCQ2" s="180"/>
      <c r="XCR2" s="180"/>
      <c r="XCS2" s="180"/>
      <c r="XCT2" s="180"/>
      <c r="XCU2" s="180"/>
      <c r="XCV2" s="180"/>
      <c r="XCW2" s="180"/>
      <c r="XCX2" s="180"/>
      <c r="XCY2" s="180"/>
      <c r="XCZ2" s="180"/>
      <c r="XDA2" s="180"/>
      <c r="XDB2" s="180"/>
      <c r="XDC2" s="180"/>
      <c r="XDD2" s="180"/>
      <c r="XDE2" s="180"/>
      <c r="XDF2" s="180"/>
      <c r="XDG2" s="180"/>
      <c r="XDH2" s="180"/>
      <c r="XDI2" s="180"/>
      <c r="XDJ2" s="180"/>
      <c r="XDK2" s="180"/>
      <c r="XDL2" s="180"/>
      <c r="XDM2" s="180"/>
      <c r="XDN2" s="180"/>
      <c r="XDO2" s="180"/>
      <c r="XDP2" s="180"/>
      <c r="XDQ2" s="180"/>
      <c r="XDR2" s="180"/>
      <c r="XDS2" s="180"/>
      <c r="XDT2" s="180"/>
      <c r="XDU2" s="180"/>
      <c r="XDV2" s="180"/>
      <c r="XDW2" s="180"/>
      <c r="XDX2" s="180"/>
      <c r="XDY2" s="180"/>
      <c r="XDZ2" s="180"/>
      <c r="XEA2" s="180"/>
      <c r="XEB2" s="180"/>
      <c r="XEC2" s="180"/>
      <c r="XED2" s="180"/>
      <c r="XEE2" s="180"/>
      <c r="XEF2" s="180"/>
      <c r="XEG2" s="180"/>
      <c r="XEH2" s="180"/>
      <c r="XEI2" s="180"/>
      <c r="XEJ2" s="180"/>
      <c r="XEK2" s="180"/>
      <c r="XEL2" s="180"/>
      <c r="XEM2" s="180"/>
      <c r="XEN2" s="180"/>
      <c r="XEO2" s="180"/>
      <c r="XEP2" s="180"/>
      <c r="XEQ2" s="180"/>
      <c r="XER2" s="180"/>
      <c r="XES2" s="180"/>
      <c r="XET2" s="180"/>
    </row>
    <row r="3" spans="1:16374" x14ac:dyDescent="0.25">
      <c r="A3" s="230">
        <v>43585.250243055554</v>
      </c>
      <c r="B3">
        <v>889</v>
      </c>
      <c r="C3" s="231">
        <v>983345401</v>
      </c>
      <c r="D3" t="s">
        <v>239</v>
      </c>
      <c r="E3">
        <v>500</v>
      </c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179"/>
      <c r="BX3" s="179"/>
      <c r="BY3" s="179"/>
      <c r="BZ3" s="179"/>
      <c r="CA3" s="179"/>
      <c r="CB3" s="179"/>
      <c r="CC3" s="179"/>
      <c r="CD3" s="179"/>
      <c r="CE3" s="179"/>
      <c r="CF3" s="179"/>
      <c r="CG3" s="179"/>
      <c r="CH3" s="179"/>
      <c r="CI3" s="179"/>
      <c r="CJ3" s="179"/>
      <c r="CK3" s="179"/>
      <c r="CL3" s="179"/>
      <c r="CM3" s="179"/>
      <c r="CN3" s="179"/>
      <c r="CO3" s="179"/>
      <c r="CP3" s="179"/>
      <c r="CQ3" s="179"/>
      <c r="CR3" s="179"/>
      <c r="CS3" s="179"/>
      <c r="CT3" s="179"/>
      <c r="CU3" s="179"/>
      <c r="CV3" s="179"/>
      <c r="CW3" s="179"/>
      <c r="CX3" s="179"/>
      <c r="CY3" s="179"/>
      <c r="CZ3" s="179"/>
      <c r="DA3" s="179"/>
      <c r="DB3" s="179"/>
      <c r="DC3" s="179"/>
      <c r="DD3" s="179"/>
      <c r="DE3" s="179"/>
      <c r="DF3" s="179"/>
      <c r="DG3" s="179"/>
      <c r="DH3" s="179"/>
      <c r="DI3" s="179"/>
      <c r="DJ3" s="179"/>
      <c r="DK3" s="179"/>
      <c r="DL3" s="179"/>
      <c r="DM3" s="179"/>
      <c r="DN3" s="179"/>
      <c r="DO3" s="179"/>
      <c r="DP3" s="179"/>
      <c r="DQ3" s="179"/>
      <c r="DR3" s="179"/>
      <c r="DS3" s="179"/>
      <c r="DT3" s="179"/>
      <c r="DU3" s="179"/>
      <c r="DV3" s="179"/>
      <c r="DW3" s="179"/>
      <c r="DX3" s="179"/>
      <c r="DY3" s="179"/>
      <c r="DZ3" s="179"/>
      <c r="EA3" s="179"/>
      <c r="EB3" s="179"/>
      <c r="EC3" s="179"/>
      <c r="ED3" s="179"/>
      <c r="EE3" s="179"/>
      <c r="EF3" s="179"/>
      <c r="EG3" s="179"/>
      <c r="EH3" s="179"/>
      <c r="EI3" s="179"/>
      <c r="EJ3" s="179"/>
      <c r="EK3" s="179"/>
      <c r="EL3" s="179"/>
      <c r="EM3" s="179"/>
      <c r="EN3" s="179"/>
      <c r="EO3" s="179"/>
      <c r="EP3" s="179"/>
      <c r="EQ3" s="179"/>
      <c r="ER3" s="179"/>
      <c r="ES3" s="179"/>
      <c r="ET3" s="179"/>
      <c r="EU3" s="179"/>
      <c r="EV3" s="179"/>
      <c r="EW3" s="179"/>
      <c r="EX3" s="179"/>
      <c r="EY3" s="179"/>
      <c r="EZ3" s="179"/>
      <c r="FA3" s="179"/>
      <c r="FB3" s="179"/>
      <c r="FC3" s="179"/>
      <c r="FD3" s="179"/>
      <c r="FE3" s="179"/>
      <c r="FF3" s="179"/>
      <c r="FG3" s="179"/>
      <c r="FH3" s="179"/>
      <c r="FI3" s="179"/>
      <c r="FJ3" s="179"/>
      <c r="FK3" s="179"/>
      <c r="FL3" s="179"/>
      <c r="FM3" s="179"/>
      <c r="FN3" s="179"/>
      <c r="FO3" s="179"/>
      <c r="FP3" s="179"/>
      <c r="FQ3" s="179"/>
      <c r="FR3" s="179"/>
      <c r="FS3" s="179"/>
      <c r="FT3" s="179"/>
      <c r="FU3" s="179"/>
      <c r="FV3" s="179"/>
      <c r="FW3" s="179"/>
      <c r="FX3" s="179"/>
      <c r="FY3" s="179"/>
      <c r="FZ3" s="179"/>
      <c r="GA3" s="179"/>
      <c r="GB3" s="179"/>
      <c r="GC3" s="179"/>
      <c r="GD3" s="179"/>
      <c r="GE3" s="179"/>
      <c r="GF3" s="179"/>
      <c r="GG3" s="179"/>
      <c r="GH3" s="179"/>
      <c r="GI3" s="179"/>
      <c r="GJ3" s="179"/>
      <c r="GK3" s="179"/>
      <c r="GL3" s="179"/>
      <c r="GM3" s="179"/>
      <c r="GN3" s="179"/>
      <c r="GO3" s="179"/>
      <c r="GP3" s="179"/>
      <c r="GQ3" s="179"/>
      <c r="GR3" s="179"/>
      <c r="GS3" s="179"/>
      <c r="GT3" s="179"/>
      <c r="GU3" s="179"/>
      <c r="GV3" s="179"/>
      <c r="GW3" s="179"/>
      <c r="GX3" s="179"/>
      <c r="GY3" s="179"/>
      <c r="GZ3" s="179"/>
      <c r="HA3" s="179"/>
      <c r="HB3" s="179"/>
      <c r="HC3" s="179"/>
      <c r="HD3" s="179"/>
      <c r="HE3" s="179"/>
      <c r="HF3" s="179"/>
      <c r="HG3" s="179"/>
      <c r="HH3" s="179"/>
      <c r="HI3" s="179"/>
      <c r="HJ3" s="179"/>
      <c r="HK3" s="179"/>
      <c r="HL3" s="179"/>
      <c r="HM3" s="179"/>
      <c r="HN3" s="179"/>
      <c r="HO3" s="179"/>
      <c r="HP3" s="179"/>
      <c r="HQ3" s="179"/>
      <c r="HR3" s="179"/>
      <c r="HS3" s="179"/>
      <c r="HT3" s="179"/>
      <c r="HU3" s="179"/>
      <c r="HV3" s="179"/>
      <c r="HW3" s="179"/>
      <c r="HX3" s="179"/>
      <c r="HY3" s="179"/>
      <c r="HZ3" s="179"/>
      <c r="IA3" s="179"/>
      <c r="IB3" s="179"/>
      <c r="IC3" s="179"/>
      <c r="ID3" s="179"/>
      <c r="IE3" s="179"/>
      <c r="IF3" s="179"/>
      <c r="IG3" s="179"/>
      <c r="IH3" s="179"/>
      <c r="II3" s="179"/>
      <c r="IJ3" s="179"/>
      <c r="IK3" s="179"/>
      <c r="IL3" s="179"/>
      <c r="IM3" s="179"/>
      <c r="IN3" s="179"/>
      <c r="IO3" s="179"/>
      <c r="IP3" s="179"/>
      <c r="IQ3" s="179"/>
      <c r="IR3" s="179"/>
      <c r="IS3" s="179"/>
      <c r="IT3" s="179"/>
      <c r="IU3" s="179"/>
      <c r="IV3" s="179"/>
      <c r="IW3" s="179"/>
      <c r="IX3" s="179"/>
      <c r="IY3" s="179"/>
      <c r="IZ3" s="179"/>
      <c r="JA3" s="179"/>
      <c r="JB3" s="179"/>
      <c r="JC3" s="179"/>
      <c r="JD3" s="179"/>
      <c r="JE3" s="179"/>
      <c r="JF3" s="179"/>
      <c r="JG3" s="179"/>
      <c r="JH3" s="179"/>
      <c r="JI3" s="179"/>
      <c r="JJ3" s="179"/>
      <c r="JK3" s="179"/>
      <c r="JL3" s="179"/>
      <c r="JM3" s="179"/>
      <c r="JN3" s="179"/>
      <c r="JO3" s="179"/>
      <c r="JP3" s="179"/>
      <c r="JQ3" s="179"/>
      <c r="JR3" s="179"/>
      <c r="JS3" s="179"/>
      <c r="JT3" s="179"/>
      <c r="JU3" s="179"/>
      <c r="JV3" s="179"/>
      <c r="JW3" s="179"/>
      <c r="JX3" s="179"/>
      <c r="JY3" s="179"/>
      <c r="JZ3" s="179"/>
      <c r="KA3" s="179"/>
      <c r="KB3" s="179"/>
      <c r="KC3" s="179"/>
      <c r="KD3" s="179"/>
      <c r="KE3" s="179"/>
      <c r="KF3" s="179"/>
      <c r="KG3" s="179"/>
      <c r="KH3" s="179"/>
      <c r="KI3" s="179"/>
      <c r="KJ3" s="179"/>
      <c r="KK3" s="179"/>
      <c r="KL3" s="179"/>
      <c r="KM3" s="179"/>
      <c r="KN3" s="179"/>
      <c r="KO3" s="179"/>
      <c r="KP3" s="179"/>
      <c r="KQ3" s="179"/>
      <c r="KR3" s="179"/>
      <c r="KS3" s="179"/>
      <c r="KT3" s="179"/>
      <c r="KU3" s="179"/>
      <c r="KV3" s="179"/>
      <c r="KW3" s="179"/>
      <c r="KX3" s="179"/>
      <c r="KY3" s="179"/>
      <c r="KZ3" s="179"/>
      <c r="LA3" s="179"/>
      <c r="LB3" s="179"/>
      <c r="LC3" s="179"/>
      <c r="LD3" s="179"/>
      <c r="LE3" s="179"/>
      <c r="LF3" s="179"/>
      <c r="LG3" s="179"/>
      <c r="LH3" s="179"/>
      <c r="LI3" s="179"/>
      <c r="LJ3" s="179"/>
      <c r="LK3" s="179"/>
      <c r="LL3" s="179"/>
      <c r="LM3" s="179"/>
      <c r="LN3" s="179"/>
      <c r="LO3" s="179"/>
      <c r="LP3" s="179"/>
      <c r="LQ3" s="179"/>
      <c r="LR3" s="179"/>
      <c r="LS3" s="179"/>
      <c r="LT3" s="179"/>
      <c r="LU3" s="179"/>
      <c r="LV3" s="179"/>
      <c r="LW3" s="179"/>
      <c r="LX3" s="179"/>
      <c r="LY3" s="179"/>
      <c r="LZ3" s="179"/>
      <c r="MA3" s="179"/>
      <c r="MB3" s="179"/>
      <c r="MC3" s="179"/>
      <c r="MD3" s="179"/>
      <c r="ME3" s="179"/>
      <c r="MF3" s="179"/>
      <c r="MG3" s="179"/>
      <c r="MH3" s="179"/>
      <c r="MI3" s="179"/>
      <c r="MJ3" s="179"/>
      <c r="MK3" s="179"/>
      <c r="ML3" s="179"/>
      <c r="MM3" s="179"/>
      <c r="MN3" s="179"/>
      <c r="MO3" s="179"/>
      <c r="MP3" s="179"/>
      <c r="MQ3" s="179"/>
      <c r="MR3" s="179"/>
      <c r="MS3" s="179"/>
      <c r="MT3" s="179"/>
      <c r="MU3" s="179"/>
      <c r="MV3" s="179"/>
      <c r="MW3" s="179"/>
      <c r="MX3" s="179"/>
      <c r="MY3" s="179"/>
      <c r="MZ3" s="179"/>
      <c r="NA3" s="179"/>
      <c r="NB3" s="179"/>
      <c r="NC3" s="179"/>
      <c r="ND3" s="179"/>
      <c r="NE3" s="179"/>
      <c r="NF3" s="179"/>
      <c r="NG3" s="179"/>
      <c r="NH3" s="179"/>
      <c r="NI3" s="179"/>
      <c r="NJ3" s="179"/>
      <c r="NK3" s="179"/>
      <c r="NL3" s="179"/>
      <c r="NM3" s="179"/>
      <c r="NN3" s="179"/>
      <c r="NO3" s="179"/>
      <c r="NP3" s="179"/>
      <c r="NQ3" s="179"/>
      <c r="NR3" s="179"/>
      <c r="NS3" s="179"/>
      <c r="NT3" s="179"/>
      <c r="NU3" s="179"/>
      <c r="NV3" s="179"/>
      <c r="NW3" s="179"/>
      <c r="NX3" s="179"/>
      <c r="NY3" s="179"/>
      <c r="NZ3" s="179"/>
      <c r="OA3" s="179"/>
      <c r="OB3" s="179"/>
      <c r="OC3" s="179"/>
      <c r="OD3" s="179"/>
      <c r="OE3" s="179"/>
      <c r="OF3" s="179"/>
      <c r="OG3" s="179"/>
      <c r="OH3" s="179"/>
      <c r="OI3" s="179"/>
      <c r="OJ3" s="179"/>
      <c r="OK3" s="179"/>
      <c r="OL3" s="179"/>
      <c r="OM3" s="179"/>
      <c r="ON3" s="179"/>
      <c r="OO3" s="179"/>
      <c r="OP3" s="179"/>
      <c r="OQ3" s="179"/>
      <c r="OR3" s="179"/>
      <c r="OS3" s="179"/>
      <c r="OT3" s="179"/>
      <c r="OU3" s="179"/>
      <c r="OV3" s="179"/>
      <c r="OW3" s="179"/>
      <c r="OX3" s="179"/>
      <c r="OY3" s="179"/>
      <c r="OZ3" s="179"/>
      <c r="PA3" s="179"/>
      <c r="PB3" s="179"/>
      <c r="PC3" s="179"/>
      <c r="PD3" s="179"/>
      <c r="PE3" s="179"/>
      <c r="PF3" s="179"/>
      <c r="PG3" s="179"/>
      <c r="PH3" s="179"/>
      <c r="PI3" s="179"/>
      <c r="PJ3" s="179"/>
      <c r="PK3" s="179"/>
      <c r="PL3" s="179"/>
      <c r="PM3" s="179"/>
      <c r="PN3" s="179"/>
      <c r="PO3" s="179"/>
      <c r="PP3" s="179"/>
      <c r="PQ3" s="179"/>
      <c r="PR3" s="179"/>
      <c r="PS3" s="179"/>
      <c r="PT3" s="179"/>
      <c r="PU3" s="179"/>
      <c r="PV3" s="179"/>
      <c r="PW3" s="179"/>
      <c r="PX3" s="179"/>
      <c r="PY3" s="179"/>
      <c r="PZ3" s="179"/>
      <c r="QA3" s="179"/>
      <c r="QB3" s="179"/>
      <c r="QC3" s="179"/>
      <c r="QD3" s="179"/>
      <c r="QE3" s="179"/>
      <c r="QF3" s="179"/>
      <c r="QG3" s="179"/>
      <c r="QH3" s="179"/>
      <c r="QI3" s="179"/>
      <c r="QJ3" s="179"/>
      <c r="QK3" s="179"/>
      <c r="QL3" s="179"/>
      <c r="QM3" s="179"/>
      <c r="QN3" s="179"/>
      <c r="QO3" s="179"/>
      <c r="QP3" s="179"/>
      <c r="QQ3" s="179"/>
      <c r="QR3" s="179"/>
      <c r="QS3" s="179"/>
      <c r="QT3" s="179"/>
      <c r="QU3" s="179"/>
      <c r="QV3" s="179"/>
      <c r="QW3" s="179"/>
      <c r="QX3" s="179"/>
      <c r="QY3" s="179"/>
      <c r="QZ3" s="179"/>
      <c r="RA3" s="179"/>
      <c r="RB3" s="179"/>
      <c r="RC3" s="179"/>
      <c r="RD3" s="179"/>
      <c r="RE3" s="179"/>
      <c r="RF3" s="179"/>
      <c r="RG3" s="179"/>
      <c r="RH3" s="179"/>
      <c r="RI3" s="179"/>
      <c r="RJ3" s="179"/>
      <c r="RK3" s="179"/>
      <c r="RL3" s="179"/>
      <c r="RM3" s="179"/>
      <c r="RN3" s="179"/>
      <c r="RO3" s="179"/>
      <c r="RP3" s="179"/>
      <c r="RQ3" s="179"/>
      <c r="RR3" s="179"/>
      <c r="RS3" s="179"/>
      <c r="RT3" s="179"/>
      <c r="RU3" s="179"/>
      <c r="RV3" s="179"/>
      <c r="RW3" s="179"/>
      <c r="RX3" s="179"/>
      <c r="RY3" s="179"/>
      <c r="RZ3" s="179"/>
      <c r="SA3" s="179"/>
      <c r="SB3" s="179"/>
      <c r="SC3" s="179"/>
      <c r="SD3" s="179"/>
      <c r="SE3" s="179"/>
      <c r="SF3" s="179"/>
      <c r="SG3" s="179"/>
      <c r="SH3" s="179"/>
      <c r="SI3" s="179"/>
      <c r="SJ3" s="179"/>
      <c r="SK3" s="179"/>
      <c r="SL3" s="179"/>
      <c r="SM3" s="179"/>
      <c r="SN3" s="179"/>
      <c r="SO3" s="179"/>
      <c r="SP3" s="179"/>
      <c r="SQ3" s="179"/>
      <c r="SR3" s="179"/>
      <c r="SS3" s="179"/>
      <c r="ST3" s="179"/>
      <c r="SU3" s="179"/>
      <c r="SV3" s="179"/>
      <c r="SW3" s="179"/>
      <c r="SX3" s="179"/>
      <c r="SY3" s="179"/>
      <c r="SZ3" s="179"/>
      <c r="TA3" s="179"/>
      <c r="TB3" s="179"/>
      <c r="TC3" s="179"/>
      <c r="TD3" s="179"/>
      <c r="TE3" s="179"/>
      <c r="TF3" s="179"/>
      <c r="TG3" s="179"/>
      <c r="TH3" s="179"/>
      <c r="TI3" s="179"/>
      <c r="TJ3" s="179"/>
      <c r="TK3" s="179"/>
      <c r="TL3" s="179"/>
      <c r="TM3" s="179"/>
      <c r="TN3" s="179"/>
      <c r="TO3" s="179"/>
      <c r="TP3" s="179"/>
      <c r="TQ3" s="179"/>
      <c r="TR3" s="179"/>
      <c r="TS3" s="179"/>
      <c r="TT3" s="179"/>
      <c r="TU3" s="179"/>
      <c r="TV3" s="179"/>
      <c r="TW3" s="179"/>
      <c r="TX3" s="179"/>
      <c r="TY3" s="179"/>
      <c r="TZ3" s="179"/>
      <c r="UA3" s="179"/>
      <c r="UB3" s="179"/>
      <c r="UC3" s="179"/>
      <c r="UD3" s="179"/>
      <c r="UE3" s="179"/>
      <c r="UF3" s="179"/>
      <c r="UG3" s="179"/>
      <c r="UH3" s="179"/>
      <c r="UI3" s="179"/>
      <c r="UJ3" s="179"/>
      <c r="UK3" s="179"/>
      <c r="UL3" s="179"/>
      <c r="UM3" s="179"/>
      <c r="UN3" s="179"/>
      <c r="UO3" s="179"/>
      <c r="UP3" s="179"/>
      <c r="UQ3" s="179"/>
      <c r="UR3" s="179"/>
      <c r="US3" s="179"/>
      <c r="UT3" s="179"/>
      <c r="UU3" s="179"/>
      <c r="UV3" s="179"/>
      <c r="UW3" s="179"/>
      <c r="UX3" s="179"/>
      <c r="UY3" s="179"/>
      <c r="UZ3" s="179"/>
      <c r="VA3" s="179"/>
      <c r="VB3" s="179"/>
      <c r="VC3" s="179"/>
      <c r="VD3" s="179"/>
      <c r="VE3" s="179"/>
      <c r="VF3" s="179"/>
      <c r="VG3" s="179"/>
      <c r="VH3" s="179"/>
      <c r="VI3" s="179"/>
      <c r="VJ3" s="179"/>
      <c r="VK3" s="179"/>
      <c r="VL3" s="179"/>
      <c r="VM3" s="179"/>
      <c r="VN3" s="179"/>
      <c r="VO3" s="179"/>
      <c r="VP3" s="179"/>
      <c r="VQ3" s="179"/>
      <c r="VR3" s="179"/>
      <c r="VS3" s="179"/>
      <c r="VT3" s="179"/>
      <c r="VU3" s="179"/>
      <c r="VV3" s="179"/>
      <c r="VW3" s="179"/>
      <c r="VX3" s="179"/>
      <c r="VY3" s="179"/>
      <c r="VZ3" s="179"/>
      <c r="WA3" s="179"/>
      <c r="WB3" s="179"/>
      <c r="WC3" s="179"/>
      <c r="WD3" s="179"/>
      <c r="WE3" s="179"/>
      <c r="WF3" s="179"/>
      <c r="WG3" s="179"/>
      <c r="WH3" s="179"/>
      <c r="WI3" s="179"/>
      <c r="WJ3" s="179"/>
      <c r="WK3" s="179"/>
      <c r="WL3" s="179"/>
      <c r="WM3" s="179"/>
      <c r="WN3" s="179"/>
      <c r="WO3" s="179"/>
      <c r="WP3" s="179"/>
      <c r="WQ3" s="179"/>
      <c r="WR3" s="179"/>
      <c r="WS3" s="179"/>
      <c r="WT3" s="179"/>
      <c r="WU3" s="179"/>
      <c r="WV3" s="179"/>
      <c r="WW3" s="179"/>
      <c r="WX3" s="179"/>
      <c r="WY3" s="179"/>
      <c r="WZ3" s="179"/>
      <c r="XA3" s="179"/>
      <c r="XB3" s="179"/>
      <c r="XC3" s="179"/>
      <c r="XD3" s="179"/>
      <c r="XE3" s="179"/>
      <c r="XF3" s="179"/>
      <c r="XG3" s="179"/>
      <c r="XH3" s="179"/>
      <c r="XI3" s="179"/>
      <c r="XJ3" s="179"/>
      <c r="XK3" s="179"/>
      <c r="XL3" s="179"/>
      <c r="XM3" s="179"/>
      <c r="XN3" s="179"/>
      <c r="XO3" s="179"/>
      <c r="XP3" s="179"/>
      <c r="XQ3" s="179"/>
      <c r="XR3" s="179"/>
      <c r="XS3" s="179"/>
      <c r="XT3" s="179"/>
      <c r="XU3" s="179"/>
      <c r="XV3" s="179"/>
      <c r="XW3" s="179"/>
      <c r="XX3" s="179"/>
      <c r="XY3" s="179"/>
      <c r="XZ3" s="179"/>
      <c r="YA3" s="179"/>
      <c r="YB3" s="179"/>
      <c r="YC3" s="179"/>
      <c r="YD3" s="179"/>
      <c r="YE3" s="179"/>
      <c r="YF3" s="179"/>
      <c r="YG3" s="179"/>
      <c r="YH3" s="179"/>
      <c r="YI3" s="179"/>
      <c r="YJ3" s="179"/>
      <c r="YK3" s="179"/>
      <c r="YL3" s="179"/>
      <c r="YM3" s="179"/>
      <c r="YN3" s="179"/>
      <c r="YO3" s="179"/>
      <c r="YP3" s="179"/>
      <c r="YQ3" s="179"/>
      <c r="YR3" s="179"/>
      <c r="YS3" s="179"/>
      <c r="YT3" s="179"/>
      <c r="YU3" s="179"/>
      <c r="YV3" s="179"/>
      <c r="YW3" s="179"/>
      <c r="YX3" s="179"/>
      <c r="YY3" s="179"/>
      <c r="YZ3" s="179"/>
      <c r="ZA3" s="179"/>
      <c r="ZB3" s="179"/>
      <c r="ZC3" s="179"/>
      <c r="ZD3" s="179"/>
      <c r="ZE3" s="179"/>
      <c r="ZF3" s="179"/>
      <c r="ZG3" s="179"/>
      <c r="ZH3" s="179"/>
      <c r="ZI3" s="179"/>
      <c r="ZJ3" s="179"/>
      <c r="ZK3" s="179"/>
      <c r="ZL3" s="179"/>
      <c r="ZM3" s="179"/>
      <c r="ZN3" s="179"/>
      <c r="ZO3" s="179"/>
      <c r="ZP3" s="179"/>
      <c r="ZQ3" s="179"/>
      <c r="ZR3" s="179"/>
      <c r="ZS3" s="179"/>
      <c r="ZT3" s="179"/>
      <c r="ZU3" s="179"/>
      <c r="ZV3" s="179"/>
      <c r="ZW3" s="179"/>
      <c r="ZX3" s="179"/>
      <c r="ZY3" s="179"/>
      <c r="ZZ3" s="179"/>
      <c r="AAA3" s="179"/>
      <c r="AAB3" s="179"/>
      <c r="AAC3" s="179"/>
      <c r="AAD3" s="179"/>
      <c r="AAE3" s="179"/>
      <c r="AAF3" s="179"/>
      <c r="AAG3" s="179"/>
      <c r="AAH3" s="179"/>
      <c r="AAI3" s="179"/>
      <c r="AAJ3" s="179"/>
      <c r="AAK3" s="179"/>
      <c r="AAL3" s="179"/>
      <c r="AAM3" s="179"/>
      <c r="AAN3" s="179"/>
      <c r="AAO3" s="179"/>
      <c r="AAP3" s="179"/>
      <c r="AAQ3" s="179"/>
      <c r="AAR3" s="179"/>
      <c r="AAS3" s="179"/>
      <c r="AAT3" s="179"/>
      <c r="AAU3" s="179"/>
      <c r="AAV3" s="179"/>
      <c r="AAW3" s="179"/>
      <c r="AAX3" s="179"/>
      <c r="AAY3" s="179"/>
      <c r="AAZ3" s="179"/>
      <c r="ABA3" s="179"/>
      <c r="ABB3" s="179"/>
      <c r="ABC3" s="179"/>
      <c r="ABD3" s="179"/>
      <c r="ABE3" s="179"/>
      <c r="ABF3" s="179"/>
      <c r="ABG3" s="179"/>
      <c r="ABH3" s="179"/>
      <c r="ABI3" s="179"/>
      <c r="ABJ3" s="179"/>
      <c r="ABK3" s="179"/>
      <c r="ABL3" s="179"/>
      <c r="ABM3" s="179"/>
      <c r="ABN3" s="179"/>
      <c r="ABO3" s="179"/>
      <c r="ABP3" s="179"/>
      <c r="ABQ3" s="179"/>
      <c r="ABR3" s="179"/>
      <c r="ABS3" s="179"/>
      <c r="ABT3" s="179"/>
      <c r="ABU3" s="179"/>
      <c r="ABV3" s="179"/>
      <c r="ABW3" s="179"/>
      <c r="ABX3" s="179"/>
      <c r="ABY3" s="179"/>
      <c r="ABZ3" s="179"/>
      <c r="ACA3" s="179"/>
      <c r="ACB3" s="179"/>
      <c r="ACC3" s="179"/>
      <c r="ACD3" s="179"/>
      <c r="ACE3" s="179"/>
      <c r="ACF3" s="179"/>
      <c r="ACG3" s="179"/>
      <c r="ACH3" s="179"/>
      <c r="ACI3" s="179"/>
      <c r="ACJ3" s="179"/>
      <c r="ACK3" s="179"/>
      <c r="ACL3" s="179"/>
      <c r="ACM3" s="179"/>
      <c r="ACN3" s="179"/>
      <c r="ACO3" s="179"/>
      <c r="ACP3" s="179"/>
      <c r="ACQ3" s="179"/>
      <c r="ACR3" s="179"/>
      <c r="ACS3" s="179"/>
      <c r="ACT3" s="179"/>
      <c r="ACU3" s="179"/>
      <c r="ACV3" s="179"/>
      <c r="ACW3" s="179"/>
      <c r="ACX3" s="179"/>
      <c r="ACY3" s="179"/>
      <c r="ACZ3" s="179"/>
      <c r="ADA3" s="179"/>
      <c r="ADB3" s="179"/>
      <c r="ADC3" s="179"/>
      <c r="ADD3" s="179"/>
      <c r="ADE3" s="179"/>
      <c r="ADF3" s="179"/>
      <c r="ADG3" s="179"/>
      <c r="ADH3" s="179"/>
      <c r="ADI3" s="179"/>
      <c r="ADJ3" s="179"/>
      <c r="ADK3" s="179"/>
      <c r="ADL3" s="179"/>
      <c r="ADM3" s="179"/>
      <c r="ADN3" s="179"/>
      <c r="ADO3" s="179"/>
      <c r="ADP3" s="179"/>
      <c r="ADQ3" s="179"/>
      <c r="ADR3" s="179"/>
      <c r="ADS3" s="179"/>
      <c r="ADT3" s="179"/>
      <c r="ADU3" s="179"/>
      <c r="ADV3" s="179"/>
      <c r="ADW3" s="179"/>
      <c r="ADX3" s="179"/>
      <c r="ADY3" s="179"/>
      <c r="ADZ3" s="179"/>
      <c r="AEA3" s="179"/>
      <c r="AEB3" s="179"/>
      <c r="AEC3" s="179"/>
      <c r="AED3" s="179"/>
      <c r="AEE3" s="179"/>
      <c r="AEF3" s="179"/>
      <c r="AEG3" s="179"/>
      <c r="AEH3" s="179"/>
      <c r="AEI3" s="179"/>
      <c r="AEJ3" s="179"/>
      <c r="AEK3" s="179"/>
      <c r="AEL3" s="179"/>
      <c r="AEM3" s="179"/>
      <c r="AEN3" s="179"/>
      <c r="AEO3" s="179"/>
      <c r="AEP3" s="179"/>
      <c r="AEQ3" s="179"/>
      <c r="AER3" s="179"/>
      <c r="AES3" s="179"/>
      <c r="AET3" s="179"/>
      <c r="AEU3" s="179"/>
      <c r="AEV3" s="179"/>
      <c r="AEW3" s="179"/>
      <c r="AEX3" s="179"/>
      <c r="AEY3" s="179"/>
      <c r="AEZ3" s="179"/>
      <c r="AFA3" s="179"/>
      <c r="AFB3" s="179"/>
      <c r="AFC3" s="179"/>
      <c r="AFD3" s="179"/>
      <c r="AFE3" s="179"/>
      <c r="AFF3" s="179"/>
      <c r="AFG3" s="179"/>
      <c r="AFH3" s="179"/>
      <c r="AFI3" s="179"/>
      <c r="AFJ3" s="179"/>
      <c r="AFK3" s="179"/>
      <c r="AFL3" s="179"/>
      <c r="AFM3" s="179"/>
      <c r="AFN3" s="179"/>
      <c r="AFO3" s="179"/>
      <c r="AFP3" s="179"/>
      <c r="AFQ3" s="179"/>
      <c r="AFR3" s="179"/>
      <c r="AFS3" s="179"/>
      <c r="AFT3" s="179"/>
      <c r="AFU3" s="179"/>
      <c r="AFV3" s="179"/>
      <c r="AFW3" s="179"/>
      <c r="AFX3" s="179"/>
      <c r="AFY3" s="179"/>
      <c r="AFZ3" s="179"/>
      <c r="AGA3" s="179"/>
      <c r="AGB3" s="179"/>
      <c r="AGC3" s="179"/>
      <c r="AGD3" s="179"/>
      <c r="AGE3" s="179"/>
      <c r="AGF3" s="179"/>
      <c r="AGG3" s="179"/>
      <c r="AGH3" s="179"/>
      <c r="AGI3" s="179"/>
      <c r="AGJ3" s="179"/>
      <c r="AGK3" s="179"/>
      <c r="AGL3" s="179"/>
      <c r="AGM3" s="179"/>
      <c r="AGN3" s="179"/>
      <c r="AGO3" s="179"/>
      <c r="AGP3" s="179"/>
      <c r="AGQ3" s="179"/>
      <c r="AGR3" s="179"/>
      <c r="AGS3" s="179"/>
      <c r="AGT3" s="179"/>
      <c r="AGU3" s="179"/>
      <c r="AGV3" s="179"/>
      <c r="AGW3" s="179"/>
      <c r="AGX3" s="179"/>
      <c r="AGY3" s="179"/>
      <c r="AGZ3" s="179"/>
      <c r="AHA3" s="179"/>
      <c r="AHB3" s="179"/>
      <c r="AHC3" s="179"/>
      <c r="AHD3" s="179"/>
      <c r="AHE3" s="179"/>
      <c r="AHF3" s="179"/>
      <c r="AHG3" s="179"/>
      <c r="AHH3" s="179"/>
      <c r="AHI3" s="179"/>
      <c r="AHJ3" s="179"/>
      <c r="AHK3" s="179"/>
      <c r="AHL3" s="179"/>
      <c r="AHM3" s="179"/>
      <c r="AHN3" s="179"/>
      <c r="AHO3" s="179"/>
      <c r="AHP3" s="179"/>
      <c r="AHQ3" s="179"/>
      <c r="AHR3" s="179"/>
      <c r="AHS3" s="179"/>
      <c r="AHT3" s="179"/>
      <c r="AHU3" s="179"/>
      <c r="AHV3" s="179"/>
      <c r="AHW3" s="179"/>
      <c r="AHX3" s="179"/>
      <c r="AHY3" s="179"/>
      <c r="AHZ3" s="179"/>
      <c r="AIA3" s="179"/>
      <c r="AIB3" s="179"/>
      <c r="AIC3" s="179"/>
      <c r="AID3" s="179"/>
      <c r="AIE3" s="179"/>
      <c r="AIF3" s="179"/>
      <c r="AIG3" s="179"/>
      <c r="AIH3" s="179"/>
      <c r="AII3" s="179"/>
      <c r="AIJ3" s="179"/>
      <c r="AIK3" s="179"/>
      <c r="AIL3" s="179"/>
      <c r="AIM3" s="179"/>
      <c r="AIN3" s="179"/>
      <c r="AIO3" s="179"/>
      <c r="AIP3" s="179"/>
      <c r="AIQ3" s="179"/>
      <c r="AIR3" s="179"/>
      <c r="AIS3" s="179"/>
      <c r="AIT3" s="179"/>
      <c r="AIU3" s="179"/>
      <c r="AIV3" s="179"/>
      <c r="AIW3" s="179"/>
      <c r="AIX3" s="179"/>
      <c r="AIY3" s="179"/>
      <c r="AIZ3" s="179"/>
      <c r="AJA3" s="179"/>
      <c r="AJB3" s="179"/>
      <c r="AJC3" s="179"/>
      <c r="AJD3" s="179"/>
      <c r="AJE3" s="179"/>
      <c r="AJF3" s="179"/>
      <c r="AJG3" s="179"/>
      <c r="AJH3" s="179"/>
      <c r="AJI3" s="179"/>
      <c r="AJJ3" s="179"/>
      <c r="AJK3" s="179"/>
      <c r="AJL3" s="179"/>
      <c r="AJM3" s="179"/>
      <c r="AJN3" s="179"/>
      <c r="AJO3" s="179"/>
      <c r="AJP3" s="179"/>
      <c r="AJQ3" s="179"/>
      <c r="AJR3" s="179"/>
      <c r="AJS3" s="179"/>
      <c r="AJT3" s="179"/>
      <c r="AJU3" s="179"/>
      <c r="AJV3" s="179"/>
      <c r="AJW3" s="179"/>
      <c r="AJX3" s="179"/>
      <c r="AJY3" s="179"/>
      <c r="AJZ3" s="179"/>
      <c r="AKA3" s="179"/>
      <c r="AKB3" s="179"/>
      <c r="AKC3" s="179"/>
      <c r="AKD3" s="179"/>
      <c r="AKE3" s="179"/>
      <c r="AKF3" s="179"/>
      <c r="AKG3" s="179"/>
      <c r="AKH3" s="179"/>
      <c r="AKI3" s="179"/>
      <c r="AKJ3" s="179"/>
      <c r="AKK3" s="179"/>
      <c r="AKL3" s="179"/>
      <c r="AKM3" s="179"/>
      <c r="AKN3" s="179"/>
      <c r="AKO3" s="179"/>
      <c r="AKP3" s="179"/>
      <c r="AKQ3" s="179"/>
      <c r="AKR3" s="179"/>
      <c r="AKS3" s="179"/>
      <c r="AKT3" s="179"/>
      <c r="AKU3" s="179"/>
      <c r="AKV3" s="179"/>
      <c r="AKW3" s="179"/>
      <c r="AKX3" s="179"/>
      <c r="AKY3" s="179"/>
      <c r="AKZ3" s="179"/>
      <c r="ALA3" s="179"/>
      <c r="ALB3" s="179"/>
      <c r="ALC3" s="179"/>
      <c r="ALD3" s="179"/>
      <c r="ALE3" s="179"/>
      <c r="ALF3" s="179"/>
      <c r="ALG3" s="179"/>
      <c r="ALH3" s="179"/>
      <c r="ALI3" s="179"/>
      <c r="ALJ3" s="179"/>
      <c r="ALK3" s="179"/>
      <c r="ALL3" s="179"/>
      <c r="ALM3" s="179"/>
      <c r="ALN3" s="179"/>
      <c r="ALO3" s="179"/>
      <c r="ALP3" s="179"/>
      <c r="ALQ3" s="179"/>
      <c r="ALR3" s="179"/>
      <c r="ALS3" s="179"/>
      <c r="ALT3" s="179"/>
      <c r="ALU3" s="179"/>
      <c r="ALV3" s="179"/>
      <c r="ALW3" s="179"/>
      <c r="ALX3" s="179"/>
      <c r="ALY3" s="179"/>
      <c r="ALZ3" s="179"/>
      <c r="AMA3" s="179"/>
      <c r="AMB3" s="179"/>
      <c r="AMC3" s="179"/>
      <c r="AMD3" s="179"/>
      <c r="AME3" s="179"/>
      <c r="AMF3" s="179"/>
      <c r="AMG3" s="179"/>
      <c r="AMH3" s="179"/>
      <c r="AMI3" s="179"/>
      <c r="AMJ3" s="179"/>
      <c r="AMK3" s="179"/>
      <c r="AML3" s="179"/>
      <c r="AMM3" s="179"/>
      <c r="AMN3" s="179"/>
      <c r="AMO3" s="179"/>
      <c r="AMP3" s="179"/>
      <c r="AMQ3" s="179"/>
      <c r="AMR3" s="179"/>
      <c r="AMS3" s="179"/>
      <c r="AMT3" s="179"/>
      <c r="AMU3" s="179"/>
      <c r="AMV3" s="179"/>
      <c r="AMW3" s="179"/>
      <c r="AMX3" s="179"/>
      <c r="AMY3" s="179"/>
      <c r="AMZ3" s="179"/>
      <c r="ANA3" s="179"/>
      <c r="ANB3" s="179"/>
      <c r="ANC3" s="179"/>
      <c r="AND3" s="179"/>
      <c r="ANE3" s="179"/>
      <c r="ANF3" s="179"/>
      <c r="ANG3" s="179"/>
      <c r="ANH3" s="179"/>
      <c r="ANI3" s="179"/>
      <c r="ANJ3" s="179"/>
      <c r="ANK3" s="179"/>
      <c r="ANL3" s="179"/>
      <c r="ANM3" s="179"/>
      <c r="ANN3" s="179"/>
      <c r="ANO3" s="179"/>
      <c r="ANP3" s="179"/>
      <c r="ANQ3" s="179"/>
      <c r="ANR3" s="179"/>
      <c r="ANS3" s="179"/>
      <c r="ANT3" s="179"/>
      <c r="ANU3" s="179"/>
      <c r="ANV3" s="179"/>
      <c r="ANW3" s="179"/>
      <c r="ANX3" s="179"/>
      <c r="ANY3" s="179"/>
      <c r="ANZ3" s="179"/>
      <c r="AOA3" s="179"/>
      <c r="AOB3" s="179"/>
      <c r="AOC3" s="179"/>
      <c r="AOD3" s="179"/>
      <c r="AOE3" s="179"/>
      <c r="AOF3" s="179"/>
      <c r="AOG3" s="179"/>
      <c r="AOH3" s="179"/>
      <c r="AOI3" s="179"/>
      <c r="AOJ3" s="179"/>
      <c r="AOK3" s="179"/>
      <c r="AOL3" s="179"/>
      <c r="AOM3" s="179"/>
      <c r="AON3" s="179"/>
      <c r="AOO3" s="179"/>
      <c r="AOP3" s="179"/>
      <c r="AOQ3" s="179"/>
      <c r="AOR3" s="179"/>
      <c r="AOS3" s="179"/>
      <c r="AOT3" s="179"/>
      <c r="AOU3" s="179"/>
      <c r="AOV3" s="179"/>
      <c r="AOW3" s="179"/>
      <c r="AOX3" s="179"/>
      <c r="AOY3" s="179"/>
      <c r="AOZ3" s="179"/>
      <c r="APA3" s="179"/>
      <c r="APB3" s="179"/>
      <c r="APC3" s="179"/>
      <c r="APD3" s="179"/>
      <c r="APE3" s="179"/>
      <c r="APF3" s="179"/>
      <c r="APG3" s="179"/>
      <c r="APH3" s="179"/>
      <c r="API3" s="179"/>
      <c r="APJ3" s="179"/>
      <c r="APK3" s="179"/>
      <c r="APL3" s="179"/>
      <c r="APM3" s="179"/>
      <c r="APN3" s="179"/>
      <c r="APO3" s="179"/>
      <c r="APP3" s="179"/>
      <c r="APQ3" s="179"/>
      <c r="APR3" s="179"/>
      <c r="APS3" s="179"/>
      <c r="APT3" s="179"/>
      <c r="APU3" s="179"/>
      <c r="APV3" s="179"/>
      <c r="APW3" s="179"/>
      <c r="APX3" s="179"/>
      <c r="APY3" s="179"/>
      <c r="APZ3" s="179"/>
      <c r="AQA3" s="179"/>
      <c r="AQB3" s="179"/>
      <c r="AQC3" s="179"/>
      <c r="AQD3" s="179"/>
      <c r="AQE3" s="179"/>
      <c r="AQF3" s="179"/>
      <c r="AQG3" s="179"/>
      <c r="AQH3" s="179"/>
      <c r="AQI3" s="179"/>
      <c r="AQJ3" s="179"/>
      <c r="AQK3" s="179"/>
      <c r="AQL3" s="179"/>
      <c r="AQM3" s="179"/>
      <c r="AQN3" s="179"/>
      <c r="AQO3" s="179"/>
      <c r="AQP3" s="179"/>
      <c r="AQQ3" s="179"/>
      <c r="AQR3" s="179"/>
      <c r="AQS3" s="179"/>
      <c r="AQT3" s="179"/>
      <c r="AQU3" s="179"/>
      <c r="AQV3" s="179"/>
      <c r="AQW3" s="179"/>
      <c r="AQX3" s="179"/>
      <c r="AQY3" s="179"/>
      <c r="AQZ3" s="179"/>
      <c r="ARA3" s="179"/>
      <c r="ARB3" s="179"/>
      <c r="ARC3" s="179"/>
      <c r="ARD3" s="179"/>
      <c r="ARE3" s="179"/>
      <c r="ARF3" s="179"/>
      <c r="ARG3" s="179"/>
      <c r="ARH3" s="179"/>
      <c r="ARI3" s="179"/>
      <c r="ARJ3" s="179"/>
      <c r="ARK3" s="179"/>
      <c r="ARL3" s="179"/>
      <c r="ARM3" s="179"/>
      <c r="ARN3" s="179"/>
      <c r="ARO3" s="179"/>
      <c r="ARP3" s="179"/>
      <c r="ARQ3" s="179"/>
      <c r="ARR3" s="179"/>
      <c r="ARS3" s="179"/>
      <c r="ART3" s="179"/>
      <c r="ARU3" s="179"/>
      <c r="ARV3" s="179"/>
      <c r="ARW3" s="179"/>
      <c r="ARX3" s="179"/>
      <c r="ARY3" s="179"/>
      <c r="ARZ3" s="179"/>
      <c r="ASA3" s="179"/>
      <c r="ASB3" s="179"/>
      <c r="ASC3" s="179"/>
      <c r="ASD3" s="179"/>
      <c r="ASE3" s="179"/>
      <c r="ASF3" s="179"/>
      <c r="ASG3" s="179"/>
      <c r="ASH3" s="179"/>
      <c r="ASI3" s="179"/>
      <c r="ASJ3" s="179"/>
      <c r="ASK3" s="179"/>
      <c r="ASL3" s="179"/>
      <c r="ASM3" s="179"/>
      <c r="ASN3" s="179"/>
      <c r="ASO3" s="179"/>
      <c r="ASP3" s="179"/>
      <c r="ASQ3" s="179"/>
      <c r="ASR3" s="179"/>
      <c r="ASS3" s="179"/>
      <c r="AST3" s="179"/>
      <c r="ASU3" s="179"/>
      <c r="ASV3" s="179"/>
      <c r="ASW3" s="179"/>
      <c r="ASX3" s="179"/>
      <c r="ASY3" s="179"/>
      <c r="ASZ3" s="179"/>
      <c r="ATA3" s="179"/>
      <c r="ATB3" s="179"/>
      <c r="ATC3" s="179"/>
      <c r="ATD3" s="179"/>
      <c r="ATE3" s="179"/>
      <c r="ATF3" s="179"/>
      <c r="ATG3" s="179"/>
      <c r="ATH3" s="179"/>
      <c r="ATI3" s="179"/>
      <c r="ATJ3" s="179"/>
      <c r="ATK3" s="179"/>
      <c r="ATL3" s="179"/>
      <c r="ATM3" s="179"/>
      <c r="ATN3" s="179"/>
      <c r="ATO3" s="179"/>
      <c r="ATP3" s="179"/>
      <c r="ATQ3" s="179"/>
      <c r="ATR3" s="179"/>
      <c r="ATS3" s="179"/>
      <c r="ATT3" s="179"/>
      <c r="ATU3" s="179"/>
      <c r="ATV3" s="179"/>
      <c r="ATW3" s="179"/>
      <c r="ATX3" s="179"/>
      <c r="ATY3" s="179"/>
      <c r="ATZ3" s="179"/>
      <c r="AUA3" s="179"/>
      <c r="AUB3" s="179"/>
      <c r="AUC3" s="179"/>
      <c r="AUD3" s="179"/>
      <c r="AUE3" s="179"/>
      <c r="AUF3" s="179"/>
      <c r="AUG3" s="179"/>
      <c r="AUH3" s="179"/>
      <c r="AUI3" s="179"/>
      <c r="AUJ3" s="179"/>
      <c r="AUK3" s="179"/>
      <c r="AUL3" s="179"/>
      <c r="AUM3" s="179"/>
      <c r="AUN3" s="179"/>
      <c r="AUO3" s="179"/>
      <c r="AUP3" s="179"/>
      <c r="AUQ3" s="179"/>
      <c r="AUR3" s="179"/>
      <c r="AUS3" s="179"/>
      <c r="AUT3" s="179"/>
      <c r="AUU3" s="179"/>
      <c r="AUV3" s="179"/>
      <c r="AUW3" s="179"/>
      <c r="AUX3" s="179"/>
      <c r="AUY3" s="179"/>
      <c r="AUZ3" s="179"/>
      <c r="AVA3" s="179"/>
      <c r="AVB3" s="179"/>
      <c r="AVC3" s="179"/>
      <c r="AVD3" s="179"/>
      <c r="AVE3" s="179"/>
      <c r="AVF3" s="179"/>
      <c r="AVG3" s="179"/>
      <c r="AVH3" s="179"/>
      <c r="AVI3" s="179"/>
      <c r="AVJ3" s="179"/>
      <c r="AVK3" s="179"/>
      <c r="AVL3" s="179"/>
      <c r="AVM3" s="179"/>
      <c r="AVN3" s="179"/>
      <c r="AVO3" s="179"/>
      <c r="AVP3" s="179"/>
      <c r="AVQ3" s="179"/>
      <c r="AVR3" s="179"/>
      <c r="AVS3" s="179"/>
      <c r="AVT3" s="179"/>
      <c r="AVU3" s="179"/>
      <c r="AVV3" s="179"/>
      <c r="AVW3" s="179"/>
      <c r="AVX3" s="179"/>
      <c r="AVY3" s="179"/>
      <c r="AVZ3" s="179"/>
      <c r="AWA3" s="179"/>
      <c r="AWB3" s="179"/>
      <c r="AWC3" s="179"/>
      <c r="AWD3" s="179"/>
      <c r="AWE3" s="179"/>
      <c r="AWF3" s="179"/>
      <c r="AWG3" s="179"/>
      <c r="AWH3" s="179"/>
      <c r="AWI3" s="179"/>
      <c r="AWJ3" s="179"/>
      <c r="AWK3" s="179"/>
      <c r="AWL3" s="179"/>
      <c r="AWM3" s="179"/>
      <c r="AWN3" s="179"/>
      <c r="AWO3" s="179"/>
      <c r="AWP3" s="179"/>
      <c r="AWQ3" s="179"/>
      <c r="AWR3" s="179"/>
      <c r="AWS3" s="179"/>
      <c r="AWT3" s="179"/>
      <c r="AWU3" s="179"/>
      <c r="AWV3" s="179"/>
      <c r="AWW3" s="179"/>
      <c r="AWX3" s="179"/>
      <c r="AWY3" s="179"/>
      <c r="AWZ3" s="179"/>
      <c r="AXA3" s="179"/>
      <c r="AXB3" s="179"/>
      <c r="AXC3" s="179"/>
      <c r="AXD3" s="179"/>
      <c r="AXE3" s="179"/>
      <c r="AXF3" s="179"/>
      <c r="AXG3" s="179"/>
      <c r="AXH3" s="179"/>
      <c r="AXI3" s="179"/>
      <c r="AXJ3" s="179"/>
      <c r="AXK3" s="179"/>
      <c r="AXL3" s="179"/>
      <c r="AXM3" s="179"/>
      <c r="AXN3" s="179"/>
      <c r="AXO3" s="179"/>
      <c r="AXP3" s="179"/>
      <c r="AXQ3" s="179"/>
      <c r="AXR3" s="179"/>
      <c r="AXS3" s="179"/>
      <c r="AXT3" s="179"/>
      <c r="AXU3" s="179"/>
      <c r="AXV3" s="179"/>
      <c r="AXW3" s="179"/>
      <c r="AXX3" s="179"/>
      <c r="AXY3" s="179"/>
      <c r="AXZ3" s="179"/>
      <c r="AYA3" s="179"/>
      <c r="AYB3" s="179"/>
      <c r="AYC3" s="179"/>
      <c r="AYD3" s="179"/>
      <c r="AYE3" s="179"/>
      <c r="AYF3" s="179"/>
      <c r="AYG3" s="179"/>
      <c r="AYH3" s="179"/>
      <c r="AYI3" s="179"/>
      <c r="AYJ3" s="179"/>
      <c r="AYK3" s="179"/>
      <c r="AYL3" s="179"/>
      <c r="AYM3" s="179"/>
      <c r="AYN3" s="179"/>
      <c r="AYO3" s="179"/>
      <c r="AYP3" s="179"/>
      <c r="AYQ3" s="179"/>
      <c r="AYR3" s="179"/>
      <c r="AYS3" s="179"/>
      <c r="AYT3" s="179"/>
      <c r="AYU3" s="179"/>
      <c r="AYV3" s="179"/>
      <c r="AYW3" s="179"/>
      <c r="AYX3" s="179"/>
      <c r="AYY3" s="179"/>
      <c r="AYZ3" s="179"/>
      <c r="AZA3" s="179"/>
      <c r="AZB3" s="179"/>
      <c r="AZC3" s="179"/>
      <c r="AZD3" s="179"/>
      <c r="AZE3" s="179"/>
      <c r="AZF3" s="179"/>
      <c r="AZG3" s="179"/>
      <c r="AZH3" s="179"/>
      <c r="AZI3" s="179"/>
      <c r="AZJ3" s="179"/>
      <c r="AZK3" s="179"/>
      <c r="AZL3" s="179"/>
      <c r="AZM3" s="179"/>
      <c r="AZN3" s="179"/>
      <c r="AZO3" s="179"/>
      <c r="AZP3" s="179"/>
      <c r="AZQ3" s="179"/>
      <c r="AZR3" s="179"/>
      <c r="AZS3" s="179"/>
      <c r="AZT3" s="179"/>
      <c r="AZU3" s="179"/>
      <c r="AZV3" s="179"/>
      <c r="AZW3" s="179"/>
      <c r="AZX3" s="179"/>
      <c r="AZY3" s="179"/>
      <c r="AZZ3" s="179"/>
      <c r="BAA3" s="179"/>
      <c r="BAB3" s="179"/>
      <c r="BAC3" s="179"/>
      <c r="BAD3" s="179"/>
      <c r="BAE3" s="179"/>
      <c r="BAF3" s="179"/>
      <c r="BAG3" s="179"/>
      <c r="BAH3" s="179"/>
      <c r="BAI3" s="179"/>
      <c r="BAJ3" s="179"/>
      <c r="BAK3" s="179"/>
      <c r="BAL3" s="179"/>
      <c r="BAM3" s="179"/>
      <c r="BAN3" s="179"/>
      <c r="BAO3" s="179"/>
      <c r="BAP3" s="179"/>
      <c r="BAQ3" s="179"/>
      <c r="BAR3" s="179"/>
      <c r="BAS3" s="179"/>
      <c r="BAT3" s="179"/>
      <c r="BAU3" s="179"/>
      <c r="BAV3" s="179"/>
      <c r="BAW3" s="179"/>
      <c r="BAX3" s="179"/>
      <c r="BAY3" s="179"/>
      <c r="BAZ3" s="179"/>
      <c r="BBA3" s="179"/>
      <c r="BBB3" s="179"/>
      <c r="BBC3" s="179"/>
      <c r="BBD3" s="179"/>
      <c r="BBE3" s="179"/>
      <c r="BBF3" s="179"/>
      <c r="BBG3" s="179"/>
      <c r="BBH3" s="179"/>
      <c r="BBI3" s="179"/>
      <c r="BBJ3" s="179"/>
      <c r="BBK3" s="179"/>
      <c r="BBL3" s="179"/>
      <c r="BBM3" s="179"/>
      <c r="BBN3" s="179"/>
      <c r="BBO3" s="179"/>
      <c r="BBP3" s="179"/>
      <c r="BBQ3" s="179"/>
      <c r="BBR3" s="179"/>
      <c r="BBS3" s="179"/>
      <c r="BBT3" s="179"/>
      <c r="BBU3" s="179"/>
      <c r="BBV3" s="179"/>
      <c r="BBW3" s="179"/>
      <c r="BBX3" s="179"/>
      <c r="BBY3" s="179"/>
      <c r="BBZ3" s="179"/>
      <c r="BCA3" s="179"/>
      <c r="BCB3" s="179"/>
      <c r="BCC3" s="179"/>
      <c r="BCD3" s="179"/>
      <c r="BCE3" s="179"/>
      <c r="BCF3" s="179"/>
      <c r="BCG3" s="179"/>
      <c r="BCH3" s="179"/>
      <c r="BCI3" s="179"/>
      <c r="BCJ3" s="179"/>
      <c r="BCK3" s="179"/>
      <c r="BCL3" s="179"/>
      <c r="BCM3" s="179"/>
      <c r="BCN3" s="179"/>
      <c r="BCO3" s="179"/>
      <c r="BCP3" s="179"/>
      <c r="BCQ3" s="179"/>
      <c r="BCR3" s="179"/>
      <c r="BCS3" s="179"/>
      <c r="BCT3" s="179"/>
      <c r="BCU3" s="179"/>
      <c r="BCV3" s="179"/>
      <c r="BCW3" s="179"/>
      <c r="BCX3" s="179"/>
      <c r="BCY3" s="179"/>
      <c r="BCZ3" s="179"/>
      <c r="BDA3" s="179"/>
      <c r="BDB3" s="179"/>
      <c r="BDC3" s="179"/>
      <c r="BDD3" s="179"/>
      <c r="BDE3" s="179"/>
      <c r="BDF3" s="179"/>
      <c r="BDG3" s="179"/>
      <c r="BDH3" s="179"/>
      <c r="BDI3" s="179"/>
      <c r="BDJ3" s="179"/>
      <c r="BDK3" s="179"/>
      <c r="BDL3" s="179"/>
      <c r="BDM3" s="179"/>
      <c r="BDN3" s="179"/>
      <c r="BDO3" s="179"/>
      <c r="BDP3" s="179"/>
      <c r="BDQ3" s="179"/>
      <c r="BDR3" s="179"/>
      <c r="BDS3" s="179"/>
      <c r="BDT3" s="179"/>
      <c r="BDU3" s="179"/>
      <c r="BDV3" s="179"/>
      <c r="BDW3" s="179"/>
      <c r="BDX3" s="179"/>
      <c r="BDY3" s="179"/>
      <c r="BDZ3" s="179"/>
      <c r="BEA3" s="179"/>
      <c r="BEB3" s="179"/>
      <c r="BEC3" s="179"/>
      <c r="BED3" s="179"/>
      <c r="BEE3" s="179"/>
      <c r="BEF3" s="179"/>
      <c r="BEG3" s="179"/>
      <c r="BEH3" s="179"/>
      <c r="BEI3" s="179"/>
      <c r="BEJ3" s="179"/>
      <c r="BEK3" s="179"/>
      <c r="BEL3" s="179"/>
      <c r="BEM3" s="179"/>
      <c r="BEN3" s="179"/>
      <c r="BEO3" s="179"/>
      <c r="BEP3" s="179"/>
      <c r="BEQ3" s="179"/>
      <c r="BER3" s="179"/>
      <c r="BES3" s="179"/>
      <c r="BET3" s="179"/>
      <c r="BEU3" s="179"/>
      <c r="BEV3" s="179"/>
      <c r="BEW3" s="179"/>
      <c r="BEX3" s="179"/>
      <c r="BEY3" s="179"/>
      <c r="BEZ3" s="179"/>
      <c r="BFA3" s="179"/>
      <c r="BFB3" s="179"/>
      <c r="BFC3" s="179"/>
      <c r="BFD3" s="179"/>
      <c r="BFE3" s="179"/>
      <c r="BFF3" s="179"/>
      <c r="BFG3" s="179"/>
      <c r="BFH3" s="179"/>
      <c r="BFI3" s="179"/>
      <c r="BFJ3" s="179"/>
      <c r="BFK3" s="179"/>
      <c r="BFL3" s="179"/>
      <c r="BFM3" s="179"/>
      <c r="BFN3" s="179"/>
      <c r="BFO3" s="179"/>
      <c r="BFP3" s="179"/>
      <c r="BFQ3" s="179"/>
      <c r="BFR3" s="179"/>
      <c r="BFS3" s="179"/>
      <c r="BFT3" s="179"/>
      <c r="BFU3" s="179"/>
      <c r="BFV3" s="179"/>
      <c r="BFW3" s="179"/>
      <c r="BFX3" s="179"/>
      <c r="BFY3" s="179"/>
      <c r="BFZ3" s="179"/>
      <c r="BGA3" s="179"/>
      <c r="BGB3" s="179"/>
      <c r="BGC3" s="179"/>
      <c r="BGD3" s="179"/>
      <c r="BGE3" s="179"/>
      <c r="BGF3" s="179"/>
      <c r="BGG3" s="179"/>
      <c r="BGH3" s="179"/>
      <c r="BGI3" s="179"/>
      <c r="BGJ3" s="179"/>
      <c r="BGK3" s="179"/>
      <c r="BGL3" s="179"/>
      <c r="BGM3" s="179"/>
      <c r="BGN3" s="179"/>
      <c r="BGO3" s="179"/>
      <c r="BGP3" s="179"/>
      <c r="BGQ3" s="179"/>
      <c r="BGR3" s="179"/>
      <c r="BGS3" s="179"/>
      <c r="BGT3" s="179"/>
      <c r="BGU3" s="179"/>
      <c r="BGV3" s="179"/>
      <c r="BGW3" s="179"/>
      <c r="BGX3" s="179"/>
      <c r="BGY3" s="179"/>
      <c r="BGZ3" s="179"/>
      <c r="BHA3" s="179"/>
      <c r="BHB3" s="179"/>
      <c r="BHC3" s="179"/>
      <c r="BHD3" s="179"/>
      <c r="BHE3" s="179"/>
      <c r="BHF3" s="179"/>
      <c r="BHG3" s="179"/>
      <c r="BHH3" s="179"/>
      <c r="BHI3" s="179"/>
      <c r="BHJ3" s="179"/>
      <c r="BHK3" s="179"/>
      <c r="BHL3" s="179"/>
      <c r="BHM3" s="179"/>
      <c r="BHN3" s="179"/>
      <c r="BHO3" s="179"/>
      <c r="BHP3" s="179"/>
      <c r="BHQ3" s="179"/>
      <c r="BHR3" s="179"/>
      <c r="BHS3" s="179"/>
      <c r="BHT3" s="179"/>
      <c r="BHU3" s="179"/>
      <c r="BHV3" s="179"/>
      <c r="BHW3" s="179"/>
      <c r="BHX3" s="179"/>
      <c r="BHY3" s="179"/>
      <c r="BHZ3" s="179"/>
      <c r="BIA3" s="179"/>
      <c r="BIB3" s="179"/>
      <c r="BIC3" s="179"/>
      <c r="BID3" s="179"/>
      <c r="BIE3" s="179"/>
      <c r="BIF3" s="179"/>
      <c r="BIG3" s="179"/>
      <c r="BIH3" s="179"/>
      <c r="BII3" s="179"/>
      <c r="BIJ3" s="179"/>
      <c r="BIK3" s="179"/>
      <c r="BIL3" s="179"/>
      <c r="BIM3" s="179"/>
      <c r="BIN3" s="179"/>
      <c r="BIO3" s="179"/>
      <c r="BIP3" s="179"/>
      <c r="BIQ3" s="179"/>
      <c r="BIR3" s="179"/>
      <c r="BIS3" s="179"/>
      <c r="BIT3" s="179"/>
      <c r="BIU3" s="179"/>
      <c r="BIV3" s="179"/>
      <c r="BIW3" s="179"/>
      <c r="BIX3" s="179"/>
      <c r="BIY3" s="179"/>
      <c r="BIZ3" s="179"/>
      <c r="BJA3" s="179"/>
      <c r="BJB3" s="179"/>
      <c r="BJC3" s="179"/>
      <c r="BJD3" s="179"/>
      <c r="BJE3" s="179"/>
      <c r="BJF3" s="179"/>
      <c r="BJG3" s="179"/>
      <c r="BJH3" s="179"/>
      <c r="BJI3" s="179"/>
      <c r="BJJ3" s="179"/>
      <c r="BJK3" s="179"/>
      <c r="BJL3" s="179"/>
      <c r="BJM3" s="179"/>
      <c r="BJN3" s="179"/>
      <c r="BJO3" s="179"/>
      <c r="BJP3" s="179"/>
      <c r="BJQ3" s="179"/>
      <c r="BJR3" s="179"/>
      <c r="BJS3" s="179"/>
      <c r="BJT3" s="179"/>
      <c r="BJU3" s="179"/>
      <c r="BJV3" s="179"/>
      <c r="BJW3" s="179"/>
      <c r="BJX3" s="179"/>
      <c r="BJY3" s="179"/>
      <c r="BJZ3" s="179"/>
      <c r="BKA3" s="179"/>
      <c r="BKB3" s="179"/>
      <c r="BKC3" s="179"/>
      <c r="BKD3" s="179"/>
      <c r="BKE3" s="179"/>
      <c r="BKF3" s="179"/>
      <c r="BKG3" s="179"/>
      <c r="BKH3" s="179"/>
      <c r="BKI3" s="179"/>
      <c r="BKJ3" s="179"/>
      <c r="BKK3" s="179"/>
      <c r="BKL3" s="179"/>
      <c r="BKM3" s="179"/>
      <c r="BKN3" s="179"/>
      <c r="BKO3" s="179"/>
      <c r="BKP3" s="179"/>
      <c r="BKQ3" s="179"/>
      <c r="BKR3" s="179"/>
      <c r="BKS3" s="179"/>
      <c r="BKT3" s="179"/>
      <c r="BKU3" s="179"/>
      <c r="BKV3" s="179"/>
      <c r="BKW3" s="179"/>
      <c r="BKX3" s="179"/>
      <c r="BKY3" s="179"/>
      <c r="BKZ3" s="179"/>
      <c r="BLA3" s="179"/>
      <c r="BLB3" s="179"/>
      <c r="BLC3" s="179"/>
      <c r="BLD3" s="179"/>
      <c r="BLE3" s="179"/>
      <c r="BLF3" s="179"/>
      <c r="BLG3" s="179"/>
      <c r="BLH3" s="179"/>
      <c r="BLI3" s="179"/>
      <c r="BLJ3" s="179"/>
      <c r="BLK3" s="179"/>
      <c r="BLL3" s="179"/>
      <c r="BLM3" s="179"/>
      <c r="BLN3" s="179"/>
      <c r="BLO3" s="179"/>
      <c r="BLP3" s="179"/>
      <c r="BLQ3" s="179"/>
      <c r="BLR3" s="179"/>
      <c r="BLS3" s="179"/>
      <c r="BLT3" s="179"/>
      <c r="BLU3" s="179"/>
      <c r="BLV3" s="179"/>
      <c r="BLW3" s="179"/>
      <c r="BLX3" s="179"/>
      <c r="BLY3" s="179"/>
      <c r="BLZ3" s="179"/>
      <c r="BMA3" s="179"/>
      <c r="BMB3" s="179"/>
      <c r="BMC3" s="179"/>
      <c r="BMD3" s="179"/>
      <c r="BME3" s="179"/>
      <c r="BMF3" s="179"/>
      <c r="BMG3" s="179"/>
      <c r="BMH3" s="179"/>
      <c r="BMI3" s="179"/>
      <c r="BMJ3" s="179"/>
      <c r="BMK3" s="179"/>
      <c r="BML3" s="179"/>
      <c r="BMM3" s="179"/>
      <c r="BMN3" s="179"/>
      <c r="BMO3" s="179"/>
      <c r="BMP3" s="179"/>
      <c r="BMQ3" s="179"/>
      <c r="BMR3" s="179"/>
      <c r="BMS3" s="179"/>
      <c r="BMT3" s="179"/>
      <c r="BMU3" s="179"/>
      <c r="BMV3" s="179"/>
      <c r="BMW3" s="179"/>
      <c r="BMX3" s="179"/>
      <c r="BMY3" s="179"/>
      <c r="BMZ3" s="179"/>
      <c r="BNA3" s="179"/>
      <c r="BNB3" s="179"/>
      <c r="BNC3" s="179"/>
      <c r="BND3" s="179"/>
      <c r="BNE3" s="179"/>
      <c r="BNF3" s="179"/>
      <c r="BNG3" s="179"/>
      <c r="BNH3" s="179"/>
      <c r="BNI3" s="179"/>
      <c r="BNJ3" s="179"/>
      <c r="BNK3" s="179"/>
      <c r="BNL3" s="179"/>
      <c r="BNM3" s="179"/>
      <c r="BNN3" s="179"/>
      <c r="BNO3" s="179"/>
      <c r="BNP3" s="179"/>
      <c r="BNQ3" s="179"/>
      <c r="BNR3" s="179"/>
      <c r="BNS3" s="179"/>
      <c r="BNT3" s="179"/>
      <c r="BNU3" s="179"/>
      <c r="BNV3" s="179"/>
      <c r="BNW3" s="179"/>
      <c r="BNX3" s="179"/>
      <c r="BNY3" s="179"/>
      <c r="BNZ3" s="179"/>
      <c r="BOA3" s="179"/>
      <c r="BOB3" s="179"/>
      <c r="BOC3" s="179"/>
      <c r="BOD3" s="179"/>
      <c r="BOE3" s="179"/>
      <c r="BOF3" s="179"/>
      <c r="BOG3" s="179"/>
      <c r="BOH3" s="179"/>
      <c r="BOI3" s="179"/>
      <c r="BOJ3" s="179"/>
      <c r="BOK3" s="179"/>
      <c r="BOL3" s="179"/>
      <c r="BOM3" s="179"/>
      <c r="BON3" s="179"/>
      <c r="BOO3" s="179"/>
      <c r="BOP3" s="179"/>
      <c r="BOQ3" s="179"/>
      <c r="BOR3" s="179"/>
      <c r="BOS3" s="179"/>
      <c r="BOT3" s="179"/>
      <c r="BOU3" s="179"/>
      <c r="BOV3" s="179"/>
      <c r="BOW3" s="179"/>
      <c r="BOX3" s="179"/>
      <c r="BOY3" s="179"/>
      <c r="BOZ3" s="179"/>
      <c r="BPA3" s="179"/>
      <c r="BPB3" s="179"/>
      <c r="BPC3" s="179"/>
      <c r="BPD3" s="179"/>
      <c r="BPE3" s="179"/>
      <c r="BPF3" s="179"/>
      <c r="BPG3" s="179"/>
      <c r="BPH3" s="179"/>
      <c r="BPI3" s="179"/>
      <c r="BPJ3" s="179"/>
      <c r="BPK3" s="179"/>
      <c r="BPL3" s="179"/>
      <c r="BPM3" s="179"/>
      <c r="BPN3" s="179"/>
      <c r="BPO3" s="179"/>
      <c r="BPP3" s="179"/>
      <c r="BPQ3" s="179"/>
      <c r="BPR3" s="179"/>
      <c r="BPS3" s="179"/>
      <c r="BPT3" s="179"/>
      <c r="BPU3" s="179"/>
      <c r="BPV3" s="179"/>
      <c r="BPW3" s="179"/>
      <c r="BPX3" s="179"/>
      <c r="BPY3" s="179"/>
      <c r="BPZ3" s="179"/>
      <c r="BQA3" s="179"/>
      <c r="BQB3" s="179"/>
      <c r="BQC3" s="179"/>
      <c r="BQD3" s="179"/>
      <c r="BQE3" s="179"/>
      <c r="BQF3" s="179"/>
      <c r="BQG3" s="179"/>
      <c r="BQH3" s="179"/>
      <c r="BQI3" s="179"/>
      <c r="BQJ3" s="179"/>
      <c r="BQK3" s="179"/>
      <c r="BQL3" s="179"/>
      <c r="BQM3" s="179"/>
      <c r="BQN3" s="179"/>
      <c r="BQO3" s="179"/>
      <c r="BQP3" s="179"/>
      <c r="BQQ3" s="179"/>
      <c r="BQR3" s="179"/>
      <c r="BQS3" s="179"/>
      <c r="BQT3" s="179"/>
      <c r="BQU3" s="179"/>
      <c r="BQV3" s="179"/>
      <c r="BQW3" s="179"/>
      <c r="BQX3" s="179"/>
      <c r="BQY3" s="179"/>
      <c r="BQZ3" s="179"/>
      <c r="BRA3" s="179"/>
      <c r="BRB3" s="179"/>
      <c r="BRC3" s="179"/>
      <c r="BRD3" s="179"/>
      <c r="BRE3" s="179"/>
      <c r="BRF3" s="179"/>
      <c r="BRG3" s="179"/>
      <c r="BRH3" s="179"/>
      <c r="BRI3" s="179"/>
      <c r="BRJ3" s="179"/>
      <c r="BRK3" s="179"/>
      <c r="BRL3" s="179"/>
      <c r="BRM3" s="179"/>
      <c r="BRN3" s="179"/>
      <c r="BRO3" s="179"/>
      <c r="BRP3" s="179"/>
      <c r="BRQ3" s="179"/>
      <c r="BRR3" s="179"/>
      <c r="BRS3" s="179"/>
      <c r="BRT3" s="179"/>
      <c r="BRU3" s="179"/>
      <c r="BRV3" s="179"/>
      <c r="BRW3" s="179"/>
      <c r="BRX3" s="179"/>
      <c r="BRY3" s="179"/>
      <c r="BRZ3" s="179"/>
      <c r="BSA3" s="179"/>
      <c r="BSB3" s="179"/>
      <c r="BSC3" s="179"/>
      <c r="BSD3" s="179"/>
      <c r="BSE3" s="179"/>
      <c r="BSF3" s="179"/>
      <c r="BSG3" s="179"/>
      <c r="BSH3" s="179"/>
      <c r="BSI3" s="179"/>
      <c r="BSJ3" s="179"/>
      <c r="BSK3" s="179"/>
      <c r="BSL3" s="179"/>
      <c r="BSM3" s="179"/>
      <c r="BSN3" s="179"/>
      <c r="BSO3" s="179"/>
      <c r="BSP3" s="179"/>
      <c r="BSQ3" s="179"/>
      <c r="BSR3" s="179"/>
      <c r="BSS3" s="179"/>
      <c r="BST3" s="179"/>
      <c r="BSU3" s="179"/>
      <c r="BSV3" s="179"/>
      <c r="BSW3" s="179"/>
      <c r="BSX3" s="179"/>
      <c r="BSY3" s="179"/>
      <c r="BSZ3" s="179"/>
      <c r="BTA3" s="179"/>
      <c r="BTB3" s="179"/>
      <c r="BTC3" s="179"/>
      <c r="BTD3" s="179"/>
      <c r="BTE3" s="179"/>
      <c r="BTF3" s="179"/>
      <c r="BTG3" s="179"/>
      <c r="BTH3" s="179"/>
      <c r="BTI3" s="179"/>
      <c r="BTJ3" s="179"/>
      <c r="BTK3" s="179"/>
      <c r="BTL3" s="179"/>
      <c r="BTM3" s="179"/>
      <c r="BTN3" s="179"/>
      <c r="BTO3" s="179"/>
      <c r="BTP3" s="179"/>
      <c r="BTQ3" s="179"/>
      <c r="BTR3" s="179"/>
      <c r="BTS3" s="179"/>
      <c r="BTT3" s="179"/>
      <c r="BTU3" s="179"/>
      <c r="BTV3" s="179"/>
      <c r="BTW3" s="179"/>
      <c r="BTX3" s="179"/>
      <c r="BTY3" s="179"/>
      <c r="BTZ3" s="179"/>
      <c r="BUA3" s="179"/>
      <c r="BUB3" s="179"/>
      <c r="BUC3" s="179"/>
      <c r="BUD3" s="179"/>
      <c r="BUE3" s="179"/>
      <c r="BUF3" s="179"/>
      <c r="BUG3" s="179"/>
      <c r="BUH3" s="179"/>
      <c r="BUI3" s="179"/>
      <c r="BUJ3" s="179"/>
      <c r="BUK3" s="179"/>
      <c r="BUL3" s="179"/>
      <c r="BUM3" s="179"/>
      <c r="BUN3" s="179"/>
      <c r="BUO3" s="179"/>
      <c r="BUP3" s="179"/>
      <c r="BUQ3" s="179"/>
      <c r="BUR3" s="179"/>
      <c r="BUS3" s="179"/>
      <c r="BUT3" s="179"/>
      <c r="BUU3" s="179"/>
      <c r="BUV3" s="179"/>
      <c r="BUW3" s="179"/>
      <c r="BUX3" s="179"/>
      <c r="BUY3" s="179"/>
      <c r="BUZ3" s="179"/>
      <c r="BVA3" s="179"/>
      <c r="BVB3" s="179"/>
      <c r="BVC3" s="179"/>
      <c r="BVD3" s="179"/>
      <c r="BVE3" s="179"/>
      <c r="BVF3" s="179"/>
      <c r="BVG3" s="179"/>
      <c r="BVH3" s="179"/>
      <c r="BVI3" s="179"/>
      <c r="BVJ3" s="179"/>
      <c r="BVK3" s="179"/>
      <c r="BVL3" s="179"/>
      <c r="BVM3" s="179"/>
      <c r="BVN3" s="179"/>
      <c r="BVO3" s="179"/>
      <c r="BVP3" s="179"/>
      <c r="BVQ3" s="179"/>
      <c r="BVR3" s="179"/>
      <c r="BVS3" s="179"/>
      <c r="BVT3" s="179"/>
      <c r="BVU3" s="179"/>
      <c r="BVV3" s="179"/>
      <c r="BVW3" s="179"/>
      <c r="BVX3" s="179"/>
      <c r="BVY3" s="179"/>
      <c r="BVZ3" s="179"/>
      <c r="BWA3" s="179"/>
      <c r="BWB3" s="179"/>
      <c r="BWC3" s="179"/>
      <c r="BWD3" s="179"/>
      <c r="BWE3" s="179"/>
      <c r="BWF3" s="179"/>
      <c r="BWG3" s="179"/>
      <c r="BWH3" s="179"/>
      <c r="BWI3" s="179"/>
      <c r="BWJ3" s="179"/>
      <c r="BWK3" s="179"/>
      <c r="BWL3" s="179"/>
      <c r="BWM3" s="179"/>
      <c r="BWN3" s="179"/>
      <c r="BWO3" s="179"/>
      <c r="BWP3" s="179"/>
      <c r="BWQ3" s="179"/>
      <c r="BWR3" s="179"/>
      <c r="BWS3" s="179"/>
      <c r="BWT3" s="179"/>
      <c r="BWU3" s="179"/>
      <c r="BWV3" s="179"/>
      <c r="BWW3" s="179"/>
      <c r="BWX3" s="179"/>
      <c r="BWY3" s="179"/>
      <c r="BWZ3" s="179"/>
      <c r="BXA3" s="179"/>
      <c r="BXB3" s="179"/>
      <c r="BXC3" s="179"/>
      <c r="BXD3" s="179"/>
      <c r="BXE3" s="179"/>
      <c r="BXF3" s="179"/>
      <c r="BXG3" s="179"/>
      <c r="BXH3" s="179"/>
      <c r="BXI3" s="179"/>
      <c r="BXJ3" s="179"/>
      <c r="BXK3" s="179"/>
      <c r="BXL3" s="179"/>
      <c r="BXM3" s="179"/>
      <c r="BXN3" s="179"/>
      <c r="BXO3" s="179"/>
      <c r="BXP3" s="179"/>
      <c r="BXQ3" s="179"/>
      <c r="BXR3" s="179"/>
      <c r="BXS3" s="179"/>
      <c r="BXT3" s="179"/>
      <c r="BXU3" s="179"/>
      <c r="BXV3" s="179"/>
      <c r="BXW3" s="179"/>
      <c r="BXX3" s="179"/>
      <c r="BXY3" s="179"/>
      <c r="BXZ3" s="179"/>
      <c r="BYA3" s="179"/>
      <c r="BYB3" s="179"/>
      <c r="BYC3" s="179"/>
      <c r="BYD3" s="179"/>
      <c r="BYE3" s="179"/>
      <c r="BYF3" s="179"/>
      <c r="BYG3" s="179"/>
      <c r="BYH3" s="179"/>
      <c r="BYI3" s="179"/>
      <c r="BYJ3" s="179"/>
      <c r="BYK3" s="179"/>
      <c r="BYL3" s="179"/>
      <c r="BYM3" s="179"/>
      <c r="BYN3" s="179"/>
      <c r="BYO3" s="179"/>
      <c r="BYP3" s="179"/>
      <c r="BYQ3" s="179"/>
      <c r="BYR3" s="179"/>
      <c r="BYS3" s="179"/>
      <c r="BYT3" s="179"/>
      <c r="BYU3" s="179"/>
      <c r="BYV3" s="179"/>
      <c r="BYW3" s="179"/>
      <c r="BYX3" s="179"/>
      <c r="BYY3" s="179"/>
      <c r="BYZ3" s="179"/>
      <c r="BZA3" s="179"/>
      <c r="BZB3" s="179"/>
      <c r="BZC3" s="179"/>
      <c r="BZD3" s="179"/>
      <c r="BZE3" s="179"/>
      <c r="BZF3" s="179"/>
      <c r="BZG3" s="179"/>
      <c r="BZH3" s="179"/>
      <c r="BZI3" s="179"/>
      <c r="BZJ3" s="179"/>
      <c r="BZK3" s="179"/>
      <c r="BZL3" s="179"/>
      <c r="BZM3" s="179"/>
      <c r="BZN3" s="179"/>
      <c r="BZO3" s="179"/>
      <c r="BZP3" s="179"/>
      <c r="BZQ3" s="179"/>
      <c r="BZR3" s="179"/>
      <c r="BZS3" s="179"/>
      <c r="BZT3" s="179"/>
      <c r="BZU3" s="179"/>
      <c r="BZV3" s="179"/>
      <c r="BZW3" s="179"/>
      <c r="BZX3" s="179"/>
      <c r="BZY3" s="179"/>
      <c r="BZZ3" s="179"/>
      <c r="CAA3" s="179"/>
      <c r="CAB3" s="179"/>
      <c r="CAC3" s="179"/>
      <c r="CAD3" s="179"/>
      <c r="CAE3" s="179"/>
      <c r="CAF3" s="179"/>
      <c r="CAG3" s="179"/>
      <c r="CAH3" s="179"/>
      <c r="CAI3" s="179"/>
      <c r="CAJ3" s="179"/>
      <c r="CAK3" s="179"/>
      <c r="CAL3" s="179"/>
      <c r="CAM3" s="179"/>
      <c r="CAN3" s="179"/>
      <c r="CAO3" s="179"/>
      <c r="CAP3" s="179"/>
      <c r="CAQ3" s="179"/>
      <c r="CAR3" s="179"/>
      <c r="CAS3" s="179"/>
      <c r="CAT3" s="179"/>
      <c r="CAU3" s="179"/>
      <c r="CAV3" s="179"/>
      <c r="CAW3" s="179"/>
      <c r="CAX3" s="179"/>
      <c r="CAY3" s="179"/>
      <c r="CAZ3" s="179"/>
      <c r="CBA3" s="179"/>
      <c r="CBB3" s="179"/>
      <c r="CBC3" s="179"/>
      <c r="CBD3" s="179"/>
      <c r="CBE3" s="179"/>
      <c r="CBF3" s="179"/>
      <c r="CBG3" s="179"/>
      <c r="CBH3" s="179"/>
      <c r="CBI3" s="179"/>
      <c r="CBJ3" s="179"/>
      <c r="CBK3" s="179"/>
      <c r="CBL3" s="179"/>
      <c r="CBM3" s="179"/>
      <c r="CBN3" s="179"/>
      <c r="CBO3" s="179"/>
      <c r="CBP3" s="179"/>
      <c r="CBQ3" s="179"/>
      <c r="CBR3" s="179"/>
      <c r="CBS3" s="179"/>
      <c r="CBT3" s="179"/>
      <c r="CBU3" s="179"/>
      <c r="CBV3" s="179"/>
      <c r="CBW3" s="179"/>
      <c r="CBX3" s="179"/>
      <c r="CBY3" s="179"/>
      <c r="CBZ3" s="179"/>
      <c r="CCA3" s="179"/>
      <c r="CCB3" s="179"/>
      <c r="CCC3" s="179"/>
      <c r="CCD3" s="179"/>
      <c r="CCE3" s="179"/>
      <c r="CCF3" s="179"/>
      <c r="CCG3" s="179"/>
      <c r="CCH3" s="179"/>
      <c r="CCI3" s="179"/>
      <c r="CCJ3" s="179"/>
      <c r="CCK3" s="179"/>
      <c r="CCL3" s="179"/>
      <c r="CCM3" s="179"/>
      <c r="CCN3" s="179"/>
      <c r="CCO3" s="179"/>
      <c r="CCP3" s="179"/>
      <c r="CCQ3" s="179"/>
      <c r="CCR3" s="179"/>
      <c r="CCS3" s="179"/>
      <c r="CCT3" s="179"/>
      <c r="CCU3" s="179"/>
      <c r="CCV3" s="179"/>
      <c r="CCW3" s="179"/>
      <c r="CCX3" s="179"/>
      <c r="CCY3" s="179"/>
      <c r="CCZ3" s="179"/>
      <c r="CDA3" s="179"/>
      <c r="CDB3" s="179"/>
      <c r="CDC3" s="179"/>
      <c r="CDD3" s="179"/>
      <c r="CDE3" s="179"/>
      <c r="CDF3" s="179"/>
      <c r="CDG3" s="179"/>
      <c r="CDH3" s="179"/>
      <c r="CDI3" s="179"/>
      <c r="CDJ3" s="179"/>
      <c r="CDK3" s="179"/>
      <c r="CDL3" s="179"/>
      <c r="CDM3" s="179"/>
      <c r="CDN3" s="179"/>
      <c r="CDO3" s="179"/>
      <c r="CDP3" s="179"/>
      <c r="CDQ3" s="179"/>
      <c r="CDR3" s="179"/>
      <c r="CDS3" s="179"/>
      <c r="CDT3" s="179"/>
      <c r="CDU3" s="179"/>
      <c r="CDV3" s="179"/>
      <c r="CDW3" s="179"/>
      <c r="CDX3" s="179"/>
      <c r="CDY3" s="179"/>
      <c r="CDZ3" s="179"/>
      <c r="CEA3" s="179"/>
      <c r="CEB3" s="179"/>
      <c r="CEC3" s="179"/>
      <c r="CED3" s="179"/>
      <c r="CEE3" s="179"/>
      <c r="CEF3" s="179"/>
      <c r="CEG3" s="179"/>
      <c r="CEH3" s="179"/>
      <c r="CEI3" s="179"/>
      <c r="CEJ3" s="179"/>
      <c r="CEK3" s="179"/>
      <c r="CEL3" s="179"/>
      <c r="CEM3" s="179"/>
      <c r="CEN3" s="179"/>
      <c r="CEO3" s="179"/>
      <c r="CEP3" s="179"/>
      <c r="CEQ3" s="179"/>
      <c r="CER3" s="179"/>
      <c r="CES3" s="179"/>
      <c r="CET3" s="179"/>
      <c r="CEU3" s="179"/>
      <c r="CEV3" s="179"/>
      <c r="CEW3" s="179"/>
      <c r="CEX3" s="179"/>
      <c r="CEY3" s="179"/>
      <c r="CEZ3" s="179"/>
      <c r="CFA3" s="179"/>
      <c r="CFB3" s="179"/>
      <c r="CFC3" s="179"/>
      <c r="CFD3" s="179"/>
      <c r="CFE3" s="179"/>
      <c r="CFF3" s="179"/>
      <c r="CFG3" s="179"/>
      <c r="CFH3" s="179"/>
      <c r="CFI3" s="179"/>
      <c r="CFJ3" s="179"/>
      <c r="CFK3" s="179"/>
      <c r="CFL3" s="179"/>
      <c r="CFM3" s="179"/>
      <c r="CFN3" s="179"/>
      <c r="CFO3" s="179"/>
      <c r="CFP3" s="179"/>
      <c r="CFQ3" s="179"/>
      <c r="CFR3" s="179"/>
      <c r="CFS3" s="179"/>
      <c r="CFT3" s="179"/>
      <c r="CFU3" s="179"/>
      <c r="CFV3" s="179"/>
      <c r="CFW3" s="179"/>
      <c r="CFX3" s="179"/>
      <c r="CFY3" s="179"/>
      <c r="CFZ3" s="179"/>
      <c r="CGA3" s="179"/>
      <c r="CGB3" s="179"/>
      <c r="CGC3" s="179"/>
      <c r="CGD3" s="179"/>
      <c r="CGE3" s="179"/>
      <c r="CGF3" s="179"/>
      <c r="CGG3" s="179"/>
      <c r="CGH3" s="179"/>
      <c r="CGI3" s="179"/>
      <c r="CGJ3" s="179"/>
      <c r="CGK3" s="179"/>
      <c r="CGL3" s="179"/>
      <c r="CGM3" s="179"/>
      <c r="CGN3" s="179"/>
      <c r="CGO3" s="179"/>
      <c r="CGP3" s="179"/>
      <c r="CGQ3" s="179"/>
      <c r="CGR3" s="179"/>
      <c r="CGS3" s="179"/>
      <c r="CGT3" s="179"/>
      <c r="CGU3" s="179"/>
      <c r="CGV3" s="179"/>
      <c r="CGW3" s="179"/>
      <c r="CGX3" s="179"/>
      <c r="CGY3" s="179"/>
      <c r="CGZ3" s="179"/>
      <c r="CHA3" s="179"/>
      <c r="CHB3" s="179"/>
      <c r="CHC3" s="179"/>
      <c r="CHD3" s="179"/>
      <c r="CHE3" s="179"/>
      <c r="CHF3" s="179"/>
      <c r="CHG3" s="179"/>
      <c r="CHH3" s="179"/>
      <c r="CHI3" s="179"/>
      <c r="CHJ3" s="179"/>
      <c r="CHK3" s="179"/>
      <c r="CHL3" s="179"/>
      <c r="CHM3" s="179"/>
      <c r="CHN3" s="179"/>
      <c r="CHO3" s="179"/>
      <c r="CHP3" s="179"/>
      <c r="CHQ3" s="179"/>
      <c r="CHR3" s="179"/>
      <c r="CHS3" s="179"/>
      <c r="CHT3" s="179"/>
      <c r="CHU3" s="179"/>
      <c r="CHV3" s="179"/>
      <c r="CHW3" s="179"/>
      <c r="CHX3" s="179"/>
      <c r="CHY3" s="179"/>
      <c r="CHZ3" s="179"/>
      <c r="CIA3" s="179"/>
      <c r="CIB3" s="179"/>
      <c r="CIC3" s="179"/>
      <c r="CID3" s="179"/>
      <c r="CIE3" s="179"/>
      <c r="CIF3" s="179"/>
      <c r="CIG3" s="179"/>
      <c r="CIH3" s="179"/>
      <c r="CII3" s="179"/>
      <c r="CIJ3" s="179"/>
      <c r="CIK3" s="179"/>
      <c r="CIL3" s="179"/>
      <c r="CIM3" s="179"/>
      <c r="CIN3" s="179"/>
      <c r="CIO3" s="179"/>
      <c r="CIP3" s="179"/>
      <c r="CIQ3" s="179"/>
      <c r="CIR3" s="179"/>
      <c r="CIS3" s="179"/>
      <c r="CIT3" s="179"/>
      <c r="CIU3" s="179"/>
      <c r="CIV3" s="179"/>
      <c r="CIW3" s="179"/>
      <c r="CIX3" s="179"/>
      <c r="CIY3" s="179"/>
      <c r="CIZ3" s="179"/>
      <c r="CJA3" s="179"/>
      <c r="CJB3" s="179"/>
      <c r="CJC3" s="179"/>
      <c r="CJD3" s="179"/>
      <c r="CJE3" s="179"/>
      <c r="CJF3" s="179"/>
      <c r="CJG3" s="179"/>
      <c r="CJH3" s="179"/>
      <c r="CJI3" s="179"/>
      <c r="CJJ3" s="179"/>
      <c r="CJK3" s="179"/>
      <c r="CJL3" s="179"/>
      <c r="CJM3" s="179"/>
      <c r="CJN3" s="179"/>
      <c r="CJO3" s="179"/>
      <c r="CJP3" s="179"/>
      <c r="CJQ3" s="179"/>
      <c r="CJR3" s="179"/>
      <c r="CJS3" s="179"/>
      <c r="CJT3" s="179"/>
      <c r="CJU3" s="179"/>
      <c r="CJV3" s="179"/>
      <c r="CJW3" s="179"/>
      <c r="CJX3" s="179"/>
      <c r="CJY3" s="179"/>
      <c r="CJZ3" s="179"/>
      <c r="CKA3" s="179"/>
      <c r="CKB3" s="179"/>
      <c r="CKC3" s="179"/>
      <c r="CKD3" s="179"/>
      <c r="CKE3" s="179"/>
      <c r="CKF3" s="179"/>
      <c r="CKG3" s="179"/>
      <c r="CKH3" s="179"/>
      <c r="CKI3" s="179"/>
      <c r="CKJ3" s="179"/>
      <c r="CKK3" s="179"/>
      <c r="CKL3" s="179"/>
      <c r="CKM3" s="179"/>
      <c r="CKN3" s="179"/>
      <c r="CKO3" s="179"/>
      <c r="CKP3" s="179"/>
      <c r="CKQ3" s="179"/>
      <c r="CKR3" s="179"/>
      <c r="CKS3" s="179"/>
      <c r="CKT3" s="179"/>
      <c r="CKU3" s="179"/>
      <c r="CKV3" s="179"/>
      <c r="CKW3" s="179"/>
      <c r="CKX3" s="179"/>
      <c r="CKY3" s="179"/>
      <c r="CKZ3" s="179"/>
      <c r="CLA3" s="179"/>
      <c r="CLB3" s="179"/>
      <c r="CLC3" s="179"/>
      <c r="CLD3" s="179"/>
      <c r="CLE3" s="179"/>
      <c r="CLF3" s="179"/>
      <c r="CLG3" s="179"/>
      <c r="CLH3" s="179"/>
      <c r="CLI3" s="179"/>
      <c r="CLJ3" s="179"/>
      <c r="CLK3" s="179"/>
      <c r="CLL3" s="179"/>
      <c r="CLM3" s="179"/>
      <c r="CLN3" s="179"/>
      <c r="CLO3" s="179"/>
      <c r="CLP3" s="179"/>
      <c r="CLQ3" s="179"/>
      <c r="CLR3" s="179"/>
      <c r="CLS3" s="179"/>
      <c r="CLT3" s="179"/>
      <c r="CLU3" s="179"/>
      <c r="CLV3" s="179"/>
      <c r="CLW3" s="179"/>
      <c r="CLX3" s="179"/>
      <c r="CLY3" s="179"/>
      <c r="CLZ3" s="179"/>
      <c r="CMA3" s="179"/>
      <c r="CMB3" s="179"/>
      <c r="CMC3" s="179"/>
      <c r="CMD3" s="179"/>
      <c r="CME3" s="179"/>
      <c r="CMF3" s="179"/>
      <c r="CMG3" s="179"/>
      <c r="CMH3" s="179"/>
      <c r="CMI3" s="179"/>
      <c r="CMJ3" s="179"/>
      <c r="CMK3" s="179"/>
      <c r="CML3" s="179"/>
      <c r="CMM3" s="179"/>
      <c r="CMN3" s="179"/>
      <c r="CMO3" s="179"/>
      <c r="CMP3" s="179"/>
      <c r="CMQ3" s="179"/>
      <c r="CMR3" s="179"/>
      <c r="CMS3" s="179"/>
      <c r="CMT3" s="179"/>
      <c r="CMU3" s="179"/>
      <c r="CMV3" s="179"/>
      <c r="CMW3" s="179"/>
      <c r="CMX3" s="179"/>
      <c r="CMY3" s="179"/>
      <c r="CMZ3" s="179"/>
      <c r="CNA3" s="179"/>
      <c r="CNB3" s="179"/>
      <c r="CNC3" s="179"/>
      <c r="CND3" s="179"/>
      <c r="CNE3" s="179"/>
      <c r="CNF3" s="179"/>
      <c r="CNG3" s="179"/>
      <c r="CNH3" s="179"/>
      <c r="CNI3" s="179"/>
      <c r="CNJ3" s="179"/>
      <c r="CNK3" s="179"/>
      <c r="CNL3" s="179"/>
      <c r="CNM3" s="179"/>
      <c r="CNN3" s="179"/>
      <c r="CNO3" s="179"/>
      <c r="CNP3" s="179"/>
      <c r="CNQ3" s="179"/>
      <c r="CNR3" s="179"/>
      <c r="CNS3" s="179"/>
      <c r="CNT3" s="179"/>
      <c r="CNU3" s="179"/>
      <c r="CNV3" s="179"/>
      <c r="CNW3" s="179"/>
      <c r="CNX3" s="179"/>
      <c r="CNY3" s="179"/>
      <c r="CNZ3" s="179"/>
      <c r="COA3" s="179"/>
      <c r="COB3" s="179"/>
      <c r="COC3" s="179"/>
      <c r="COD3" s="179"/>
      <c r="COE3" s="179"/>
      <c r="COF3" s="179"/>
      <c r="COG3" s="179"/>
      <c r="COH3" s="179"/>
      <c r="COI3" s="179"/>
      <c r="COJ3" s="179"/>
      <c r="COK3" s="179"/>
      <c r="COL3" s="179"/>
      <c r="COM3" s="179"/>
      <c r="CON3" s="179"/>
      <c r="COO3" s="179"/>
      <c r="COP3" s="179"/>
      <c r="COQ3" s="179"/>
      <c r="COR3" s="179"/>
      <c r="COS3" s="179"/>
      <c r="COT3" s="179"/>
      <c r="COU3" s="179"/>
      <c r="COV3" s="179"/>
      <c r="COW3" s="179"/>
      <c r="COX3" s="179"/>
      <c r="COY3" s="179"/>
      <c r="COZ3" s="179"/>
      <c r="CPA3" s="179"/>
      <c r="CPB3" s="179"/>
      <c r="CPC3" s="179"/>
      <c r="CPD3" s="179"/>
      <c r="CPE3" s="179"/>
      <c r="CPF3" s="179"/>
      <c r="CPG3" s="179"/>
      <c r="CPH3" s="179"/>
      <c r="CPI3" s="179"/>
      <c r="CPJ3" s="179"/>
      <c r="CPK3" s="179"/>
      <c r="CPL3" s="179"/>
      <c r="CPM3" s="179"/>
      <c r="CPN3" s="179"/>
      <c r="CPO3" s="179"/>
      <c r="CPP3" s="179"/>
      <c r="CPQ3" s="179"/>
      <c r="CPR3" s="179"/>
      <c r="CPS3" s="179"/>
      <c r="CPT3" s="179"/>
      <c r="CPU3" s="179"/>
      <c r="CPV3" s="179"/>
      <c r="CPW3" s="179"/>
      <c r="CPX3" s="179"/>
      <c r="CPY3" s="179"/>
      <c r="CPZ3" s="179"/>
      <c r="CQA3" s="179"/>
      <c r="CQB3" s="179"/>
      <c r="CQC3" s="179"/>
      <c r="CQD3" s="179"/>
      <c r="CQE3" s="179"/>
      <c r="CQF3" s="179"/>
      <c r="CQG3" s="179"/>
      <c r="CQH3" s="179"/>
      <c r="CQI3" s="179"/>
      <c r="CQJ3" s="179"/>
      <c r="CQK3" s="179"/>
      <c r="CQL3" s="179"/>
      <c r="CQM3" s="179"/>
      <c r="CQN3" s="179"/>
      <c r="CQO3" s="179"/>
      <c r="CQP3" s="179"/>
      <c r="CQQ3" s="179"/>
      <c r="CQR3" s="179"/>
      <c r="CQS3" s="179"/>
      <c r="CQT3" s="179"/>
      <c r="CQU3" s="179"/>
      <c r="CQV3" s="179"/>
      <c r="CQW3" s="179"/>
      <c r="CQX3" s="179"/>
      <c r="CQY3" s="179"/>
      <c r="CQZ3" s="179"/>
      <c r="CRA3" s="179"/>
      <c r="CRB3" s="179"/>
      <c r="CRC3" s="179"/>
      <c r="CRD3" s="179"/>
      <c r="CRE3" s="179"/>
      <c r="CRF3" s="179"/>
      <c r="CRG3" s="179"/>
      <c r="CRH3" s="179"/>
      <c r="CRI3" s="179"/>
      <c r="CRJ3" s="179"/>
      <c r="CRK3" s="179"/>
      <c r="CRL3" s="179"/>
      <c r="CRM3" s="179"/>
      <c r="CRN3" s="179"/>
      <c r="CRO3" s="179"/>
      <c r="CRP3" s="179"/>
      <c r="CRQ3" s="179"/>
      <c r="CRR3" s="179"/>
      <c r="CRS3" s="179"/>
      <c r="CRT3" s="179"/>
      <c r="CRU3" s="179"/>
      <c r="CRV3" s="179"/>
      <c r="CRW3" s="179"/>
      <c r="CRX3" s="179"/>
      <c r="CRY3" s="179"/>
      <c r="CRZ3" s="179"/>
      <c r="CSA3" s="179"/>
      <c r="CSB3" s="179"/>
      <c r="CSC3" s="179"/>
      <c r="CSD3" s="179"/>
      <c r="CSE3" s="179"/>
      <c r="CSF3" s="179"/>
      <c r="CSG3" s="179"/>
      <c r="CSH3" s="179"/>
      <c r="CSI3" s="179"/>
      <c r="CSJ3" s="179"/>
      <c r="CSK3" s="179"/>
      <c r="CSL3" s="179"/>
      <c r="CSM3" s="179"/>
      <c r="CSN3" s="179"/>
      <c r="CSO3" s="179"/>
      <c r="CSP3" s="179"/>
      <c r="CSQ3" s="179"/>
      <c r="CSR3" s="179"/>
      <c r="CSS3" s="179"/>
      <c r="CST3" s="179"/>
      <c r="CSU3" s="179"/>
      <c r="CSV3" s="179"/>
      <c r="CSW3" s="179"/>
      <c r="CSX3" s="179"/>
      <c r="CSY3" s="179"/>
      <c r="CSZ3" s="179"/>
      <c r="CTA3" s="179"/>
      <c r="CTB3" s="179"/>
      <c r="CTC3" s="179"/>
      <c r="CTD3" s="179"/>
      <c r="CTE3" s="179"/>
      <c r="CTF3" s="179"/>
      <c r="CTG3" s="179"/>
      <c r="CTH3" s="179"/>
      <c r="CTI3" s="179"/>
      <c r="CTJ3" s="179"/>
      <c r="CTK3" s="179"/>
      <c r="CTL3" s="179"/>
      <c r="CTM3" s="179"/>
      <c r="CTN3" s="179"/>
      <c r="CTO3" s="179"/>
      <c r="CTP3" s="179"/>
      <c r="CTQ3" s="179"/>
      <c r="CTR3" s="179"/>
      <c r="CTS3" s="179"/>
      <c r="CTT3" s="179"/>
      <c r="CTU3" s="179"/>
      <c r="CTV3" s="179"/>
      <c r="CTW3" s="179"/>
      <c r="CTX3" s="179"/>
      <c r="CTY3" s="179"/>
      <c r="CTZ3" s="179"/>
      <c r="CUA3" s="179"/>
      <c r="CUB3" s="179"/>
      <c r="CUC3" s="179"/>
      <c r="CUD3" s="179"/>
      <c r="CUE3" s="179"/>
      <c r="CUF3" s="179"/>
      <c r="CUG3" s="179"/>
      <c r="CUH3" s="179"/>
      <c r="CUI3" s="179"/>
      <c r="CUJ3" s="179"/>
      <c r="CUK3" s="179"/>
      <c r="CUL3" s="179"/>
      <c r="CUM3" s="179"/>
      <c r="CUN3" s="179"/>
      <c r="CUO3" s="179"/>
      <c r="CUP3" s="179"/>
      <c r="CUQ3" s="179"/>
      <c r="CUR3" s="179"/>
      <c r="CUS3" s="179"/>
      <c r="CUT3" s="179"/>
      <c r="CUU3" s="179"/>
      <c r="CUV3" s="179"/>
      <c r="CUW3" s="179"/>
      <c r="CUX3" s="179"/>
      <c r="CUY3" s="179"/>
      <c r="CUZ3" s="179"/>
      <c r="CVA3" s="179"/>
      <c r="CVB3" s="179"/>
      <c r="CVC3" s="179"/>
      <c r="CVD3" s="179"/>
      <c r="CVE3" s="179"/>
      <c r="CVF3" s="179"/>
      <c r="CVG3" s="179"/>
      <c r="CVH3" s="179"/>
      <c r="CVI3" s="179"/>
      <c r="CVJ3" s="179"/>
      <c r="CVK3" s="179"/>
      <c r="CVL3" s="179"/>
      <c r="CVM3" s="179"/>
      <c r="CVN3" s="179"/>
      <c r="CVO3" s="179"/>
      <c r="CVP3" s="179"/>
      <c r="CVQ3" s="179"/>
      <c r="CVR3" s="179"/>
      <c r="CVS3" s="179"/>
      <c r="CVT3" s="179"/>
      <c r="CVU3" s="179"/>
      <c r="CVV3" s="179"/>
      <c r="CVW3" s="179"/>
      <c r="CVX3" s="179"/>
      <c r="CVY3" s="179"/>
      <c r="CVZ3" s="179"/>
      <c r="CWA3" s="179"/>
      <c r="CWB3" s="179"/>
      <c r="CWC3" s="179"/>
      <c r="CWD3" s="179"/>
      <c r="CWE3" s="179"/>
      <c r="CWF3" s="179"/>
      <c r="CWG3" s="179"/>
      <c r="CWH3" s="179"/>
      <c r="CWI3" s="179"/>
      <c r="CWJ3" s="179"/>
      <c r="CWK3" s="179"/>
      <c r="CWL3" s="179"/>
      <c r="CWM3" s="179"/>
      <c r="CWN3" s="179"/>
      <c r="CWO3" s="179"/>
      <c r="CWP3" s="179"/>
      <c r="CWQ3" s="179"/>
      <c r="CWR3" s="179"/>
      <c r="CWS3" s="179"/>
      <c r="CWT3" s="179"/>
      <c r="CWU3" s="179"/>
      <c r="CWV3" s="179"/>
      <c r="CWW3" s="179"/>
      <c r="CWX3" s="179"/>
      <c r="CWY3" s="179"/>
      <c r="CWZ3" s="179"/>
      <c r="CXA3" s="179"/>
      <c r="CXB3" s="179"/>
      <c r="CXC3" s="179"/>
      <c r="CXD3" s="179"/>
      <c r="CXE3" s="179"/>
      <c r="CXF3" s="179"/>
      <c r="CXG3" s="179"/>
      <c r="CXH3" s="179"/>
      <c r="CXI3" s="179"/>
      <c r="CXJ3" s="179"/>
      <c r="CXK3" s="179"/>
      <c r="CXL3" s="179"/>
      <c r="CXM3" s="179"/>
      <c r="CXN3" s="179"/>
      <c r="CXO3" s="179"/>
      <c r="CXP3" s="179"/>
      <c r="CXQ3" s="179"/>
      <c r="CXR3" s="179"/>
      <c r="CXS3" s="179"/>
      <c r="CXT3" s="179"/>
      <c r="CXU3" s="179"/>
      <c r="CXV3" s="179"/>
      <c r="CXW3" s="179"/>
      <c r="CXX3" s="179"/>
      <c r="CXY3" s="179"/>
      <c r="CXZ3" s="179"/>
      <c r="CYA3" s="179"/>
      <c r="CYB3" s="179"/>
      <c r="CYC3" s="179"/>
      <c r="CYD3" s="179"/>
      <c r="CYE3" s="179"/>
      <c r="CYF3" s="179"/>
      <c r="CYG3" s="179"/>
      <c r="CYH3" s="179"/>
      <c r="CYI3" s="179"/>
      <c r="CYJ3" s="179"/>
      <c r="CYK3" s="179"/>
      <c r="CYL3" s="179"/>
      <c r="CYM3" s="179"/>
      <c r="CYN3" s="179"/>
      <c r="CYO3" s="179"/>
      <c r="CYP3" s="179"/>
      <c r="CYQ3" s="179"/>
      <c r="CYR3" s="179"/>
      <c r="CYS3" s="179"/>
      <c r="CYT3" s="179"/>
      <c r="CYU3" s="179"/>
      <c r="CYV3" s="179"/>
      <c r="CYW3" s="179"/>
      <c r="CYX3" s="179"/>
      <c r="CYY3" s="179"/>
      <c r="CYZ3" s="179"/>
      <c r="CZA3" s="179"/>
      <c r="CZB3" s="179"/>
      <c r="CZC3" s="179"/>
      <c r="CZD3" s="179"/>
      <c r="CZE3" s="179"/>
      <c r="CZF3" s="179"/>
      <c r="CZG3" s="179"/>
      <c r="CZH3" s="179"/>
      <c r="CZI3" s="179"/>
      <c r="CZJ3" s="179"/>
      <c r="CZK3" s="179"/>
      <c r="CZL3" s="179"/>
      <c r="CZM3" s="179"/>
      <c r="CZN3" s="179"/>
      <c r="CZO3" s="179"/>
      <c r="CZP3" s="179"/>
      <c r="CZQ3" s="179"/>
      <c r="CZR3" s="179"/>
      <c r="CZS3" s="179"/>
      <c r="CZT3" s="179"/>
      <c r="CZU3" s="179"/>
      <c r="CZV3" s="179"/>
      <c r="CZW3" s="179"/>
      <c r="CZX3" s="179"/>
      <c r="CZY3" s="179"/>
      <c r="CZZ3" s="179"/>
      <c r="DAA3" s="179"/>
      <c r="DAB3" s="179"/>
      <c r="DAC3" s="179"/>
      <c r="DAD3" s="179"/>
      <c r="DAE3" s="179"/>
      <c r="DAF3" s="179"/>
      <c r="DAG3" s="179"/>
      <c r="DAH3" s="179"/>
      <c r="DAI3" s="179"/>
      <c r="DAJ3" s="179"/>
      <c r="DAK3" s="179"/>
      <c r="DAL3" s="179"/>
      <c r="DAM3" s="179"/>
      <c r="DAN3" s="179"/>
      <c r="DAO3" s="179"/>
      <c r="DAP3" s="179"/>
      <c r="DAQ3" s="179"/>
      <c r="DAR3" s="179"/>
      <c r="DAS3" s="179"/>
      <c r="DAT3" s="179"/>
      <c r="DAU3" s="179"/>
      <c r="DAV3" s="179"/>
      <c r="DAW3" s="179"/>
      <c r="DAX3" s="179"/>
      <c r="DAY3" s="179"/>
      <c r="DAZ3" s="179"/>
      <c r="DBA3" s="179"/>
      <c r="DBB3" s="179"/>
      <c r="DBC3" s="179"/>
      <c r="DBD3" s="179"/>
      <c r="DBE3" s="179"/>
      <c r="DBF3" s="179"/>
      <c r="DBG3" s="179"/>
      <c r="DBH3" s="179"/>
      <c r="DBI3" s="179"/>
      <c r="DBJ3" s="179"/>
      <c r="DBK3" s="179"/>
      <c r="DBL3" s="179"/>
      <c r="DBM3" s="179"/>
      <c r="DBN3" s="179"/>
      <c r="DBO3" s="179"/>
      <c r="DBP3" s="179"/>
      <c r="DBQ3" s="179"/>
      <c r="DBR3" s="179"/>
      <c r="DBS3" s="179"/>
      <c r="DBT3" s="179"/>
      <c r="DBU3" s="179"/>
      <c r="DBV3" s="179"/>
      <c r="DBW3" s="179"/>
      <c r="DBX3" s="179"/>
      <c r="DBY3" s="179"/>
      <c r="DBZ3" s="179"/>
      <c r="DCA3" s="179"/>
      <c r="DCB3" s="179"/>
      <c r="DCC3" s="179"/>
      <c r="DCD3" s="179"/>
      <c r="DCE3" s="179"/>
      <c r="DCF3" s="179"/>
      <c r="DCG3" s="179"/>
      <c r="DCH3" s="179"/>
      <c r="DCI3" s="179"/>
      <c r="DCJ3" s="179"/>
      <c r="DCK3" s="179"/>
      <c r="DCL3" s="179"/>
      <c r="DCM3" s="179"/>
      <c r="DCN3" s="179"/>
      <c r="DCO3" s="179"/>
      <c r="DCP3" s="179"/>
      <c r="DCQ3" s="179"/>
      <c r="DCR3" s="179"/>
      <c r="DCS3" s="179"/>
      <c r="DCT3" s="179"/>
      <c r="DCU3" s="179"/>
      <c r="DCV3" s="179"/>
      <c r="DCW3" s="179"/>
      <c r="DCX3" s="179"/>
      <c r="DCY3" s="179"/>
      <c r="DCZ3" s="179"/>
      <c r="DDA3" s="179"/>
      <c r="DDB3" s="179"/>
      <c r="DDC3" s="179"/>
      <c r="DDD3" s="179"/>
      <c r="DDE3" s="179"/>
      <c r="DDF3" s="179"/>
      <c r="DDG3" s="179"/>
      <c r="DDH3" s="179"/>
      <c r="DDI3" s="179"/>
      <c r="DDJ3" s="179"/>
      <c r="DDK3" s="179"/>
      <c r="DDL3" s="179"/>
      <c r="DDM3" s="179"/>
      <c r="DDN3" s="179"/>
      <c r="DDO3" s="179"/>
      <c r="DDP3" s="179"/>
      <c r="DDQ3" s="179"/>
      <c r="DDR3" s="179"/>
      <c r="DDS3" s="179"/>
      <c r="DDT3" s="179"/>
      <c r="DDU3" s="179"/>
      <c r="DDV3" s="179"/>
      <c r="DDW3" s="179"/>
      <c r="DDX3" s="179"/>
      <c r="DDY3" s="179"/>
      <c r="DDZ3" s="179"/>
      <c r="DEA3" s="179"/>
      <c r="DEB3" s="179"/>
      <c r="DEC3" s="179"/>
      <c r="DED3" s="179"/>
      <c r="DEE3" s="179"/>
      <c r="DEF3" s="179"/>
      <c r="DEG3" s="179"/>
      <c r="DEH3" s="179"/>
      <c r="DEI3" s="179"/>
      <c r="DEJ3" s="179"/>
      <c r="DEK3" s="179"/>
      <c r="DEL3" s="179"/>
      <c r="DEM3" s="179"/>
      <c r="DEN3" s="179"/>
      <c r="DEO3" s="179"/>
      <c r="DEP3" s="179"/>
      <c r="DEQ3" s="179"/>
      <c r="DER3" s="179"/>
      <c r="DES3" s="179"/>
      <c r="DET3" s="179"/>
      <c r="DEU3" s="179"/>
      <c r="DEV3" s="179"/>
      <c r="DEW3" s="179"/>
      <c r="DEX3" s="179"/>
      <c r="DEY3" s="179"/>
      <c r="DEZ3" s="179"/>
      <c r="DFA3" s="179"/>
      <c r="DFB3" s="179"/>
      <c r="DFC3" s="179"/>
      <c r="DFD3" s="179"/>
      <c r="DFE3" s="179"/>
      <c r="DFF3" s="179"/>
      <c r="DFG3" s="179"/>
      <c r="DFH3" s="179"/>
      <c r="DFI3" s="179"/>
      <c r="DFJ3" s="179"/>
      <c r="DFK3" s="179"/>
      <c r="DFL3" s="179"/>
      <c r="DFM3" s="179"/>
      <c r="DFN3" s="179"/>
      <c r="DFO3" s="179"/>
      <c r="DFP3" s="179"/>
      <c r="DFQ3" s="179"/>
      <c r="DFR3" s="179"/>
      <c r="DFS3" s="179"/>
      <c r="DFT3" s="179"/>
      <c r="DFU3" s="179"/>
      <c r="DFV3" s="179"/>
      <c r="DFW3" s="179"/>
      <c r="DFX3" s="179"/>
      <c r="DFY3" s="179"/>
      <c r="DFZ3" s="179"/>
      <c r="DGA3" s="179"/>
      <c r="DGB3" s="179"/>
      <c r="DGC3" s="179"/>
      <c r="DGD3" s="179"/>
      <c r="DGE3" s="179"/>
      <c r="DGF3" s="179"/>
      <c r="DGG3" s="179"/>
      <c r="DGH3" s="179"/>
      <c r="DGI3" s="179"/>
      <c r="DGJ3" s="179"/>
      <c r="DGK3" s="179"/>
      <c r="DGL3" s="179"/>
      <c r="DGM3" s="179"/>
      <c r="DGN3" s="179"/>
      <c r="DGO3" s="179"/>
      <c r="DGP3" s="179"/>
      <c r="DGQ3" s="179"/>
      <c r="DGR3" s="179"/>
      <c r="DGS3" s="179"/>
      <c r="DGT3" s="179"/>
      <c r="DGU3" s="179"/>
      <c r="DGV3" s="179"/>
      <c r="DGW3" s="179"/>
      <c r="DGX3" s="179"/>
      <c r="DGY3" s="179"/>
      <c r="DGZ3" s="179"/>
      <c r="DHA3" s="179"/>
      <c r="DHB3" s="179"/>
      <c r="DHC3" s="179"/>
      <c r="DHD3" s="179"/>
      <c r="DHE3" s="179"/>
      <c r="DHF3" s="179"/>
      <c r="DHG3" s="179"/>
      <c r="DHH3" s="179"/>
      <c r="DHI3" s="179"/>
      <c r="DHJ3" s="179"/>
      <c r="DHK3" s="179"/>
      <c r="DHL3" s="179"/>
      <c r="DHM3" s="179"/>
      <c r="DHN3" s="179"/>
      <c r="DHO3" s="179"/>
      <c r="DHP3" s="179"/>
      <c r="DHQ3" s="179"/>
      <c r="DHR3" s="179"/>
      <c r="DHS3" s="179"/>
      <c r="DHT3" s="179"/>
      <c r="DHU3" s="179"/>
      <c r="DHV3" s="179"/>
      <c r="DHW3" s="179"/>
      <c r="DHX3" s="179"/>
      <c r="DHY3" s="179"/>
      <c r="DHZ3" s="179"/>
      <c r="DIA3" s="179"/>
      <c r="DIB3" s="179"/>
      <c r="DIC3" s="179"/>
      <c r="DID3" s="179"/>
      <c r="DIE3" s="179"/>
      <c r="DIF3" s="179"/>
      <c r="DIG3" s="179"/>
      <c r="DIH3" s="179"/>
      <c r="DII3" s="179"/>
      <c r="DIJ3" s="179"/>
      <c r="DIK3" s="179"/>
      <c r="DIL3" s="179"/>
      <c r="DIM3" s="179"/>
      <c r="DIN3" s="179"/>
      <c r="DIO3" s="179"/>
      <c r="DIP3" s="179"/>
      <c r="DIQ3" s="179"/>
      <c r="DIR3" s="179"/>
      <c r="DIS3" s="179"/>
      <c r="DIT3" s="179"/>
      <c r="DIU3" s="179"/>
      <c r="DIV3" s="179"/>
      <c r="DIW3" s="179"/>
      <c r="DIX3" s="179"/>
      <c r="DIY3" s="179"/>
      <c r="DIZ3" s="179"/>
      <c r="DJA3" s="179"/>
      <c r="DJB3" s="179"/>
      <c r="DJC3" s="179"/>
      <c r="DJD3" s="179"/>
      <c r="DJE3" s="179"/>
      <c r="DJF3" s="179"/>
      <c r="DJG3" s="179"/>
      <c r="DJH3" s="179"/>
      <c r="DJI3" s="179"/>
      <c r="DJJ3" s="179"/>
      <c r="DJK3" s="179"/>
      <c r="DJL3" s="179"/>
      <c r="DJM3" s="179"/>
      <c r="DJN3" s="179"/>
      <c r="DJO3" s="179"/>
      <c r="DJP3" s="179"/>
      <c r="DJQ3" s="179"/>
      <c r="DJR3" s="179"/>
      <c r="DJS3" s="179"/>
      <c r="DJT3" s="179"/>
      <c r="DJU3" s="179"/>
      <c r="DJV3" s="179"/>
      <c r="DJW3" s="179"/>
      <c r="DJX3" s="179"/>
      <c r="DJY3" s="179"/>
      <c r="DJZ3" s="179"/>
      <c r="DKA3" s="179"/>
      <c r="DKB3" s="179"/>
      <c r="DKC3" s="179"/>
      <c r="DKD3" s="179"/>
      <c r="DKE3" s="179"/>
      <c r="DKF3" s="179"/>
      <c r="DKG3" s="179"/>
      <c r="DKH3" s="179"/>
      <c r="DKI3" s="179"/>
      <c r="DKJ3" s="179"/>
      <c r="DKK3" s="179"/>
      <c r="DKL3" s="179"/>
      <c r="DKM3" s="179"/>
      <c r="DKN3" s="179"/>
      <c r="DKO3" s="179"/>
      <c r="DKP3" s="179"/>
      <c r="DKQ3" s="179"/>
      <c r="DKR3" s="179"/>
      <c r="DKS3" s="179"/>
      <c r="DKT3" s="179"/>
      <c r="DKU3" s="179"/>
      <c r="DKV3" s="179"/>
      <c r="DKW3" s="179"/>
      <c r="DKX3" s="179"/>
      <c r="DKY3" s="179"/>
      <c r="DKZ3" s="179"/>
      <c r="DLA3" s="179"/>
      <c r="DLB3" s="179"/>
      <c r="DLC3" s="179"/>
      <c r="DLD3" s="179"/>
      <c r="DLE3" s="179"/>
      <c r="DLF3" s="179"/>
      <c r="DLG3" s="179"/>
      <c r="DLH3" s="179"/>
      <c r="DLI3" s="179"/>
      <c r="DLJ3" s="179"/>
      <c r="DLK3" s="179"/>
      <c r="DLL3" s="179"/>
      <c r="DLM3" s="179"/>
      <c r="DLN3" s="179"/>
      <c r="DLO3" s="179"/>
      <c r="DLP3" s="179"/>
      <c r="DLQ3" s="179"/>
      <c r="DLR3" s="179"/>
      <c r="DLS3" s="179"/>
      <c r="DLT3" s="179"/>
      <c r="DLU3" s="179"/>
      <c r="DLV3" s="179"/>
      <c r="DLW3" s="179"/>
      <c r="DLX3" s="179"/>
      <c r="DLY3" s="179"/>
      <c r="DLZ3" s="179"/>
      <c r="DMA3" s="179"/>
      <c r="DMB3" s="179"/>
      <c r="DMC3" s="179"/>
      <c r="DMD3" s="179"/>
      <c r="DME3" s="179"/>
      <c r="DMF3" s="179"/>
      <c r="DMG3" s="179"/>
      <c r="DMH3" s="179"/>
      <c r="DMI3" s="179"/>
      <c r="DMJ3" s="179"/>
      <c r="DMK3" s="179"/>
      <c r="DML3" s="179"/>
      <c r="DMM3" s="179"/>
      <c r="DMN3" s="179"/>
      <c r="DMO3" s="179"/>
      <c r="DMP3" s="179"/>
      <c r="DMQ3" s="179"/>
      <c r="DMR3" s="179"/>
      <c r="DMS3" s="179"/>
      <c r="DMT3" s="179"/>
      <c r="DMU3" s="179"/>
      <c r="DMV3" s="179"/>
      <c r="DMW3" s="179"/>
      <c r="DMX3" s="179"/>
      <c r="DMY3" s="179"/>
      <c r="DMZ3" s="179"/>
      <c r="DNA3" s="179"/>
      <c r="DNB3" s="179"/>
      <c r="DNC3" s="179"/>
      <c r="DND3" s="179"/>
      <c r="DNE3" s="179"/>
      <c r="DNF3" s="179"/>
      <c r="DNG3" s="179"/>
      <c r="DNH3" s="179"/>
      <c r="DNI3" s="179"/>
      <c r="DNJ3" s="179"/>
      <c r="DNK3" s="179"/>
      <c r="DNL3" s="179"/>
      <c r="DNM3" s="179"/>
      <c r="DNN3" s="179"/>
      <c r="DNO3" s="179"/>
      <c r="DNP3" s="179"/>
      <c r="DNQ3" s="179"/>
      <c r="DNR3" s="179"/>
      <c r="DNS3" s="179"/>
      <c r="DNT3" s="179"/>
      <c r="DNU3" s="179"/>
      <c r="DNV3" s="179"/>
      <c r="DNW3" s="179"/>
      <c r="DNX3" s="179"/>
      <c r="DNY3" s="179"/>
      <c r="DNZ3" s="179"/>
      <c r="DOA3" s="179"/>
      <c r="DOB3" s="179"/>
      <c r="DOC3" s="179"/>
      <c r="DOD3" s="179"/>
      <c r="DOE3" s="179"/>
      <c r="DOF3" s="179"/>
      <c r="DOG3" s="179"/>
      <c r="DOH3" s="179"/>
      <c r="DOI3" s="179"/>
      <c r="DOJ3" s="179"/>
      <c r="DOK3" s="179"/>
      <c r="DOL3" s="179"/>
      <c r="DOM3" s="179"/>
      <c r="DON3" s="179"/>
      <c r="DOO3" s="179"/>
      <c r="DOP3" s="179"/>
      <c r="DOQ3" s="179"/>
      <c r="DOR3" s="179"/>
      <c r="DOS3" s="179"/>
      <c r="DOT3" s="179"/>
      <c r="DOU3" s="179"/>
      <c r="DOV3" s="179"/>
      <c r="DOW3" s="179"/>
      <c r="DOX3" s="179"/>
      <c r="DOY3" s="179"/>
      <c r="DOZ3" s="179"/>
      <c r="DPA3" s="179"/>
      <c r="DPB3" s="179"/>
      <c r="DPC3" s="179"/>
      <c r="DPD3" s="179"/>
      <c r="DPE3" s="179"/>
      <c r="DPF3" s="179"/>
      <c r="DPG3" s="179"/>
      <c r="DPH3" s="179"/>
      <c r="DPI3" s="179"/>
      <c r="DPJ3" s="179"/>
      <c r="DPK3" s="179"/>
      <c r="DPL3" s="179"/>
      <c r="DPM3" s="179"/>
      <c r="DPN3" s="179"/>
      <c r="DPO3" s="179"/>
      <c r="DPP3" s="179"/>
      <c r="DPQ3" s="179"/>
      <c r="DPR3" s="179"/>
      <c r="DPS3" s="179"/>
      <c r="DPT3" s="179"/>
      <c r="DPU3" s="179"/>
      <c r="DPV3" s="179"/>
      <c r="DPW3" s="179"/>
      <c r="DPX3" s="179"/>
      <c r="DPY3" s="179"/>
      <c r="DPZ3" s="179"/>
      <c r="DQA3" s="179"/>
      <c r="DQB3" s="179"/>
      <c r="DQC3" s="179"/>
      <c r="DQD3" s="179"/>
      <c r="DQE3" s="179"/>
      <c r="DQF3" s="179"/>
      <c r="DQG3" s="179"/>
      <c r="DQH3" s="179"/>
      <c r="DQI3" s="179"/>
      <c r="DQJ3" s="179"/>
      <c r="DQK3" s="179"/>
      <c r="DQL3" s="179"/>
      <c r="DQM3" s="179"/>
      <c r="DQN3" s="179"/>
      <c r="DQO3" s="179"/>
      <c r="DQP3" s="179"/>
      <c r="DQQ3" s="179"/>
      <c r="DQR3" s="179"/>
      <c r="DQS3" s="179"/>
      <c r="DQT3" s="179"/>
      <c r="DQU3" s="179"/>
      <c r="DQV3" s="179"/>
      <c r="DQW3" s="179"/>
      <c r="DQX3" s="179"/>
      <c r="DQY3" s="179"/>
      <c r="DQZ3" s="179"/>
      <c r="DRA3" s="179"/>
      <c r="DRB3" s="179"/>
      <c r="DRC3" s="179"/>
      <c r="DRD3" s="179"/>
      <c r="DRE3" s="179"/>
      <c r="DRF3" s="179"/>
      <c r="DRG3" s="179"/>
      <c r="DRH3" s="179"/>
      <c r="DRI3" s="179"/>
      <c r="DRJ3" s="179"/>
      <c r="DRK3" s="179"/>
      <c r="DRL3" s="179"/>
      <c r="DRM3" s="179"/>
      <c r="DRN3" s="179"/>
      <c r="DRO3" s="179"/>
      <c r="DRP3" s="179"/>
      <c r="DRQ3" s="179"/>
      <c r="DRR3" s="179"/>
      <c r="DRS3" s="179"/>
      <c r="DRT3" s="179"/>
      <c r="DRU3" s="179"/>
      <c r="DRV3" s="179"/>
      <c r="DRW3" s="179"/>
      <c r="DRX3" s="179"/>
      <c r="DRY3" s="179"/>
      <c r="DRZ3" s="179"/>
      <c r="DSA3" s="179"/>
      <c r="DSB3" s="179"/>
      <c r="DSC3" s="179"/>
      <c r="DSD3" s="179"/>
      <c r="DSE3" s="179"/>
      <c r="DSF3" s="179"/>
      <c r="DSG3" s="179"/>
      <c r="DSH3" s="179"/>
      <c r="DSI3" s="179"/>
      <c r="DSJ3" s="179"/>
      <c r="DSK3" s="179"/>
      <c r="DSL3" s="179"/>
      <c r="DSM3" s="179"/>
      <c r="DSN3" s="179"/>
      <c r="DSO3" s="179"/>
      <c r="DSP3" s="179"/>
      <c r="DSQ3" s="179"/>
      <c r="DSR3" s="179"/>
      <c r="DSS3" s="179"/>
      <c r="DST3" s="179"/>
      <c r="DSU3" s="179"/>
      <c r="DSV3" s="179"/>
      <c r="DSW3" s="179"/>
      <c r="DSX3" s="179"/>
      <c r="DSY3" s="179"/>
      <c r="DSZ3" s="179"/>
      <c r="DTA3" s="179"/>
      <c r="DTB3" s="179"/>
      <c r="DTC3" s="179"/>
      <c r="DTD3" s="179"/>
      <c r="DTE3" s="179"/>
      <c r="DTF3" s="179"/>
      <c r="DTG3" s="179"/>
      <c r="DTH3" s="179"/>
      <c r="DTI3" s="179"/>
      <c r="DTJ3" s="179"/>
      <c r="DTK3" s="179"/>
      <c r="DTL3" s="179"/>
      <c r="DTM3" s="179"/>
      <c r="DTN3" s="179"/>
      <c r="DTO3" s="179"/>
      <c r="DTP3" s="179"/>
      <c r="DTQ3" s="179"/>
      <c r="DTR3" s="179"/>
      <c r="DTS3" s="179"/>
      <c r="DTT3" s="179"/>
      <c r="DTU3" s="179"/>
      <c r="DTV3" s="179"/>
      <c r="DTW3" s="179"/>
      <c r="DTX3" s="179"/>
      <c r="DTY3" s="179"/>
      <c r="DTZ3" s="179"/>
      <c r="DUA3" s="179"/>
      <c r="DUB3" s="179"/>
      <c r="DUC3" s="179"/>
      <c r="DUD3" s="179"/>
      <c r="DUE3" s="179"/>
      <c r="DUF3" s="179"/>
      <c r="DUG3" s="179"/>
      <c r="DUH3" s="179"/>
      <c r="DUI3" s="179"/>
      <c r="DUJ3" s="179"/>
      <c r="DUK3" s="179"/>
      <c r="DUL3" s="179"/>
      <c r="DUM3" s="179"/>
      <c r="DUN3" s="179"/>
      <c r="DUO3" s="179"/>
      <c r="DUP3" s="179"/>
      <c r="DUQ3" s="179"/>
      <c r="DUR3" s="179"/>
      <c r="DUS3" s="179"/>
      <c r="DUT3" s="179"/>
      <c r="DUU3" s="179"/>
      <c r="DUV3" s="179"/>
      <c r="DUW3" s="179"/>
      <c r="DUX3" s="179"/>
      <c r="DUY3" s="179"/>
      <c r="DUZ3" s="179"/>
      <c r="DVA3" s="179"/>
      <c r="DVB3" s="179"/>
      <c r="DVC3" s="179"/>
      <c r="DVD3" s="179"/>
      <c r="DVE3" s="179"/>
      <c r="DVF3" s="179"/>
      <c r="DVG3" s="179"/>
      <c r="DVH3" s="179"/>
      <c r="DVI3" s="179"/>
      <c r="DVJ3" s="179"/>
      <c r="DVK3" s="179"/>
      <c r="DVL3" s="179"/>
      <c r="DVM3" s="179"/>
      <c r="DVN3" s="179"/>
      <c r="DVO3" s="179"/>
      <c r="DVP3" s="179"/>
      <c r="DVQ3" s="179"/>
      <c r="DVR3" s="179"/>
      <c r="DVS3" s="179"/>
      <c r="DVT3" s="179"/>
      <c r="DVU3" s="179"/>
      <c r="DVV3" s="179"/>
      <c r="DVW3" s="179"/>
      <c r="DVX3" s="179"/>
      <c r="DVY3" s="179"/>
      <c r="DVZ3" s="179"/>
      <c r="DWA3" s="179"/>
      <c r="DWB3" s="179"/>
      <c r="DWC3" s="179"/>
      <c r="DWD3" s="179"/>
      <c r="DWE3" s="179"/>
      <c r="DWF3" s="179"/>
      <c r="DWG3" s="179"/>
      <c r="DWH3" s="179"/>
      <c r="DWI3" s="179"/>
      <c r="DWJ3" s="179"/>
      <c r="DWK3" s="179"/>
      <c r="DWL3" s="179"/>
      <c r="DWM3" s="179"/>
      <c r="DWN3" s="179"/>
      <c r="DWO3" s="179"/>
      <c r="DWP3" s="179"/>
      <c r="DWQ3" s="179"/>
      <c r="DWR3" s="179"/>
      <c r="DWS3" s="179"/>
      <c r="DWT3" s="179"/>
      <c r="DWU3" s="179"/>
      <c r="DWV3" s="179"/>
      <c r="DWW3" s="179"/>
      <c r="DWX3" s="179"/>
      <c r="DWY3" s="179"/>
      <c r="DWZ3" s="179"/>
      <c r="DXA3" s="179"/>
      <c r="DXB3" s="179"/>
      <c r="DXC3" s="179"/>
      <c r="DXD3" s="179"/>
      <c r="DXE3" s="179"/>
      <c r="DXF3" s="179"/>
      <c r="DXG3" s="179"/>
      <c r="DXH3" s="179"/>
      <c r="DXI3" s="179"/>
      <c r="DXJ3" s="179"/>
      <c r="DXK3" s="179"/>
      <c r="DXL3" s="179"/>
      <c r="DXM3" s="179"/>
      <c r="DXN3" s="179"/>
      <c r="DXO3" s="179"/>
      <c r="DXP3" s="179"/>
      <c r="DXQ3" s="179"/>
      <c r="DXR3" s="179"/>
      <c r="DXS3" s="179"/>
      <c r="DXT3" s="179"/>
      <c r="DXU3" s="179"/>
      <c r="DXV3" s="179"/>
      <c r="DXW3" s="179"/>
      <c r="DXX3" s="179"/>
      <c r="DXY3" s="179"/>
      <c r="DXZ3" s="179"/>
      <c r="DYA3" s="179"/>
      <c r="DYB3" s="179"/>
      <c r="DYC3" s="179"/>
      <c r="DYD3" s="179"/>
      <c r="DYE3" s="179"/>
      <c r="DYF3" s="179"/>
      <c r="DYG3" s="179"/>
      <c r="DYH3" s="179"/>
      <c r="DYI3" s="179"/>
      <c r="DYJ3" s="179"/>
      <c r="DYK3" s="179"/>
      <c r="DYL3" s="179"/>
      <c r="DYM3" s="179"/>
      <c r="DYN3" s="179"/>
      <c r="DYO3" s="179"/>
      <c r="DYP3" s="179"/>
      <c r="DYQ3" s="179"/>
      <c r="DYR3" s="179"/>
      <c r="DYS3" s="179"/>
      <c r="DYT3" s="179"/>
      <c r="DYU3" s="179"/>
      <c r="DYV3" s="179"/>
      <c r="DYW3" s="179"/>
      <c r="DYX3" s="179"/>
      <c r="DYY3" s="179"/>
      <c r="DYZ3" s="179"/>
      <c r="DZA3" s="179"/>
      <c r="DZB3" s="179"/>
      <c r="DZC3" s="179"/>
      <c r="DZD3" s="179"/>
      <c r="DZE3" s="179"/>
      <c r="DZF3" s="179"/>
      <c r="DZG3" s="179"/>
      <c r="DZH3" s="179"/>
      <c r="DZI3" s="179"/>
      <c r="DZJ3" s="179"/>
      <c r="DZK3" s="179"/>
      <c r="DZL3" s="179"/>
      <c r="DZM3" s="179"/>
      <c r="DZN3" s="179"/>
      <c r="DZO3" s="179"/>
      <c r="DZP3" s="179"/>
      <c r="DZQ3" s="179"/>
      <c r="DZR3" s="179"/>
      <c r="DZS3" s="179"/>
      <c r="DZT3" s="179"/>
      <c r="DZU3" s="179"/>
      <c r="DZV3" s="179"/>
      <c r="DZW3" s="179"/>
      <c r="DZX3" s="179"/>
      <c r="DZY3" s="179"/>
      <c r="DZZ3" s="179"/>
      <c r="EAA3" s="179"/>
      <c r="EAB3" s="179"/>
      <c r="EAC3" s="179"/>
      <c r="EAD3" s="179"/>
      <c r="EAE3" s="179"/>
      <c r="EAF3" s="179"/>
      <c r="EAG3" s="179"/>
      <c r="EAH3" s="179"/>
      <c r="EAI3" s="179"/>
      <c r="EAJ3" s="179"/>
      <c r="EAK3" s="179"/>
      <c r="EAL3" s="179"/>
      <c r="EAM3" s="179"/>
      <c r="EAN3" s="179"/>
      <c r="EAO3" s="179"/>
      <c r="EAP3" s="179"/>
      <c r="EAQ3" s="179"/>
      <c r="EAR3" s="179"/>
      <c r="EAS3" s="179"/>
      <c r="EAT3" s="179"/>
      <c r="EAU3" s="179"/>
      <c r="EAV3" s="179"/>
      <c r="EAW3" s="179"/>
      <c r="EAX3" s="179"/>
      <c r="EAY3" s="179"/>
      <c r="EAZ3" s="179"/>
      <c r="EBA3" s="179"/>
      <c r="EBB3" s="179"/>
      <c r="EBC3" s="179"/>
      <c r="EBD3" s="179"/>
      <c r="EBE3" s="179"/>
      <c r="EBF3" s="179"/>
      <c r="EBG3" s="179"/>
      <c r="EBH3" s="179"/>
      <c r="EBI3" s="179"/>
      <c r="EBJ3" s="179"/>
      <c r="EBK3" s="179"/>
      <c r="EBL3" s="179"/>
      <c r="EBM3" s="179"/>
      <c r="EBN3" s="179"/>
      <c r="EBO3" s="179"/>
      <c r="EBP3" s="179"/>
      <c r="EBQ3" s="179"/>
      <c r="EBR3" s="179"/>
      <c r="EBS3" s="179"/>
      <c r="EBT3" s="179"/>
      <c r="EBU3" s="179"/>
      <c r="EBV3" s="179"/>
      <c r="EBW3" s="179"/>
      <c r="EBX3" s="179"/>
      <c r="EBY3" s="179"/>
      <c r="EBZ3" s="179"/>
      <c r="ECA3" s="179"/>
      <c r="ECB3" s="179"/>
      <c r="ECC3" s="179"/>
      <c r="ECD3" s="179"/>
      <c r="ECE3" s="179"/>
      <c r="ECF3" s="179"/>
      <c r="ECG3" s="179"/>
      <c r="ECH3" s="179"/>
      <c r="ECI3" s="179"/>
      <c r="ECJ3" s="179"/>
      <c r="ECK3" s="179"/>
      <c r="ECL3" s="179"/>
      <c r="ECM3" s="179"/>
      <c r="ECN3" s="179"/>
      <c r="ECO3" s="179"/>
      <c r="ECP3" s="179"/>
      <c r="ECQ3" s="179"/>
      <c r="ECR3" s="179"/>
      <c r="ECS3" s="179"/>
      <c r="ECT3" s="179"/>
      <c r="ECU3" s="179"/>
      <c r="ECV3" s="179"/>
      <c r="ECW3" s="179"/>
      <c r="ECX3" s="179"/>
      <c r="ECY3" s="179"/>
      <c r="ECZ3" s="179"/>
      <c r="EDA3" s="179"/>
      <c r="EDB3" s="179"/>
      <c r="EDC3" s="179"/>
      <c r="EDD3" s="179"/>
      <c r="EDE3" s="179"/>
      <c r="EDF3" s="179"/>
      <c r="EDG3" s="179"/>
      <c r="EDH3" s="179"/>
      <c r="EDI3" s="179"/>
      <c r="EDJ3" s="179"/>
      <c r="EDK3" s="179"/>
      <c r="EDL3" s="179"/>
      <c r="EDM3" s="179"/>
      <c r="EDN3" s="179"/>
      <c r="EDO3" s="179"/>
      <c r="EDP3" s="179"/>
      <c r="EDQ3" s="179"/>
      <c r="EDR3" s="179"/>
      <c r="EDS3" s="179"/>
      <c r="EDT3" s="179"/>
      <c r="EDU3" s="179"/>
      <c r="EDV3" s="179"/>
      <c r="EDW3" s="179"/>
      <c r="EDX3" s="179"/>
      <c r="EDY3" s="179"/>
      <c r="EDZ3" s="179"/>
      <c r="EEA3" s="179"/>
      <c r="EEB3" s="179"/>
      <c r="EEC3" s="179"/>
      <c r="EED3" s="179"/>
      <c r="EEE3" s="179"/>
      <c r="EEF3" s="179"/>
      <c r="EEG3" s="179"/>
      <c r="EEH3" s="179"/>
      <c r="EEI3" s="179"/>
      <c r="EEJ3" s="179"/>
      <c r="EEK3" s="179"/>
      <c r="EEL3" s="179"/>
      <c r="EEM3" s="179"/>
      <c r="EEN3" s="179"/>
      <c r="EEO3" s="179"/>
      <c r="EEP3" s="179"/>
      <c r="EEQ3" s="179"/>
      <c r="EER3" s="179"/>
      <c r="EES3" s="179"/>
      <c r="EET3" s="179"/>
      <c r="EEU3" s="179"/>
      <c r="EEV3" s="179"/>
      <c r="EEW3" s="179"/>
      <c r="EEX3" s="179"/>
      <c r="EEY3" s="179"/>
      <c r="EEZ3" s="179"/>
      <c r="EFA3" s="179"/>
      <c r="EFB3" s="179"/>
      <c r="EFC3" s="179"/>
      <c r="EFD3" s="179"/>
      <c r="EFE3" s="179"/>
      <c r="EFF3" s="179"/>
      <c r="EFG3" s="179"/>
      <c r="EFH3" s="179"/>
      <c r="EFI3" s="179"/>
      <c r="EFJ3" s="179"/>
      <c r="EFK3" s="179"/>
      <c r="EFL3" s="179"/>
      <c r="EFM3" s="179"/>
      <c r="EFN3" s="179"/>
      <c r="EFO3" s="179"/>
      <c r="EFP3" s="179"/>
      <c r="EFQ3" s="179"/>
      <c r="EFR3" s="179"/>
      <c r="EFS3" s="179"/>
      <c r="EFT3" s="179"/>
      <c r="EFU3" s="179"/>
      <c r="EFV3" s="179"/>
      <c r="EFW3" s="179"/>
      <c r="EFX3" s="179"/>
      <c r="EFY3" s="179"/>
      <c r="EFZ3" s="179"/>
      <c r="EGA3" s="179"/>
      <c r="EGB3" s="179"/>
      <c r="EGC3" s="179"/>
      <c r="EGD3" s="179"/>
      <c r="EGE3" s="179"/>
      <c r="EGF3" s="179"/>
      <c r="EGG3" s="179"/>
      <c r="EGH3" s="179"/>
      <c r="EGI3" s="179"/>
      <c r="EGJ3" s="179"/>
      <c r="EGK3" s="179"/>
      <c r="EGL3" s="179"/>
      <c r="EGM3" s="179"/>
      <c r="EGN3" s="179"/>
      <c r="EGO3" s="179"/>
      <c r="EGP3" s="179"/>
      <c r="EGQ3" s="179"/>
      <c r="EGR3" s="179"/>
      <c r="EGS3" s="179"/>
      <c r="EGT3" s="179"/>
      <c r="EGU3" s="179"/>
      <c r="EGV3" s="179"/>
      <c r="EGW3" s="179"/>
      <c r="EGX3" s="179"/>
      <c r="EGY3" s="179"/>
      <c r="EGZ3" s="179"/>
      <c r="EHA3" s="179"/>
      <c r="EHB3" s="179"/>
      <c r="EHC3" s="179"/>
      <c r="EHD3" s="179"/>
      <c r="EHE3" s="179"/>
      <c r="EHF3" s="179"/>
      <c r="EHG3" s="179"/>
      <c r="EHH3" s="179"/>
      <c r="EHI3" s="179"/>
      <c r="EHJ3" s="179"/>
      <c r="EHK3" s="179"/>
      <c r="EHL3" s="179"/>
      <c r="EHM3" s="179"/>
      <c r="EHN3" s="179"/>
      <c r="EHO3" s="179"/>
      <c r="EHP3" s="179"/>
      <c r="EHQ3" s="179"/>
      <c r="EHR3" s="179"/>
      <c r="EHS3" s="179"/>
      <c r="EHT3" s="179"/>
      <c r="EHU3" s="179"/>
      <c r="EHV3" s="179"/>
      <c r="EHW3" s="179"/>
      <c r="EHX3" s="179"/>
      <c r="EHY3" s="179"/>
      <c r="EHZ3" s="179"/>
      <c r="EIA3" s="179"/>
      <c r="EIB3" s="179"/>
      <c r="EIC3" s="179"/>
      <c r="EID3" s="179"/>
      <c r="EIE3" s="179"/>
      <c r="EIF3" s="179"/>
      <c r="EIG3" s="179"/>
      <c r="EIH3" s="179"/>
      <c r="EII3" s="179"/>
      <c r="EIJ3" s="179"/>
      <c r="EIK3" s="179"/>
      <c r="EIL3" s="179"/>
      <c r="EIM3" s="179"/>
      <c r="EIN3" s="179"/>
      <c r="EIO3" s="179"/>
      <c r="EIP3" s="179"/>
      <c r="EIQ3" s="179"/>
      <c r="EIR3" s="179"/>
      <c r="EIS3" s="179"/>
      <c r="EIT3" s="179"/>
      <c r="EIU3" s="179"/>
      <c r="EIV3" s="179"/>
      <c r="EIW3" s="179"/>
      <c r="EIX3" s="179"/>
      <c r="EIY3" s="179"/>
      <c r="EIZ3" s="179"/>
      <c r="EJA3" s="179"/>
      <c r="EJB3" s="179"/>
      <c r="EJC3" s="179"/>
      <c r="EJD3" s="179"/>
      <c r="EJE3" s="179"/>
      <c r="EJF3" s="179"/>
      <c r="EJG3" s="179"/>
      <c r="EJH3" s="179"/>
      <c r="EJI3" s="179"/>
      <c r="EJJ3" s="179"/>
      <c r="EJK3" s="179"/>
      <c r="EJL3" s="179"/>
      <c r="EJM3" s="179"/>
      <c r="EJN3" s="179"/>
      <c r="EJO3" s="179"/>
      <c r="EJP3" s="179"/>
      <c r="EJQ3" s="179"/>
      <c r="EJR3" s="179"/>
      <c r="EJS3" s="179"/>
      <c r="EJT3" s="179"/>
      <c r="EJU3" s="179"/>
      <c r="EJV3" s="179"/>
      <c r="EJW3" s="179"/>
      <c r="EJX3" s="179"/>
      <c r="EJY3" s="179"/>
      <c r="EJZ3" s="179"/>
      <c r="EKA3" s="179"/>
      <c r="EKB3" s="179"/>
      <c r="EKC3" s="179"/>
      <c r="EKD3" s="179"/>
      <c r="EKE3" s="179"/>
      <c r="EKF3" s="179"/>
      <c r="EKG3" s="179"/>
      <c r="EKH3" s="179"/>
      <c r="EKI3" s="179"/>
      <c r="EKJ3" s="179"/>
      <c r="EKK3" s="179"/>
      <c r="EKL3" s="179"/>
      <c r="EKM3" s="179"/>
      <c r="EKN3" s="179"/>
      <c r="EKO3" s="179"/>
      <c r="EKP3" s="179"/>
      <c r="EKQ3" s="179"/>
      <c r="EKR3" s="179"/>
      <c r="EKS3" s="179"/>
      <c r="EKT3" s="179"/>
      <c r="EKU3" s="179"/>
      <c r="EKV3" s="179"/>
      <c r="EKW3" s="179"/>
      <c r="EKX3" s="179"/>
      <c r="EKY3" s="179"/>
      <c r="EKZ3" s="179"/>
      <c r="ELA3" s="179"/>
      <c r="ELB3" s="179"/>
      <c r="ELC3" s="179"/>
      <c r="ELD3" s="179"/>
      <c r="ELE3" s="179"/>
      <c r="ELF3" s="179"/>
      <c r="ELG3" s="179"/>
      <c r="ELH3" s="179"/>
      <c r="ELI3" s="179"/>
      <c r="ELJ3" s="179"/>
      <c r="ELK3" s="179"/>
      <c r="ELL3" s="179"/>
      <c r="ELM3" s="179"/>
      <c r="ELN3" s="179"/>
      <c r="ELO3" s="179"/>
      <c r="ELP3" s="179"/>
      <c r="ELQ3" s="179"/>
      <c r="ELR3" s="179"/>
      <c r="ELS3" s="179"/>
      <c r="ELT3" s="179"/>
      <c r="ELU3" s="179"/>
      <c r="ELV3" s="179"/>
      <c r="ELW3" s="179"/>
      <c r="ELX3" s="179"/>
      <c r="ELY3" s="179"/>
      <c r="ELZ3" s="179"/>
      <c r="EMA3" s="179"/>
      <c r="EMB3" s="179"/>
      <c r="EMC3" s="179"/>
      <c r="EMD3" s="179"/>
      <c r="EME3" s="179"/>
      <c r="EMF3" s="179"/>
      <c r="EMG3" s="179"/>
      <c r="EMH3" s="179"/>
      <c r="EMI3" s="179"/>
      <c r="EMJ3" s="179"/>
      <c r="EMK3" s="179"/>
      <c r="EML3" s="179"/>
      <c r="EMM3" s="179"/>
      <c r="EMN3" s="179"/>
      <c r="EMO3" s="179"/>
      <c r="EMP3" s="179"/>
      <c r="EMQ3" s="179"/>
      <c r="EMR3" s="179"/>
      <c r="EMS3" s="179"/>
      <c r="EMT3" s="179"/>
      <c r="EMU3" s="179"/>
      <c r="EMV3" s="179"/>
      <c r="EMW3" s="179"/>
      <c r="EMX3" s="179"/>
      <c r="EMY3" s="179"/>
      <c r="EMZ3" s="179"/>
      <c r="ENA3" s="179"/>
      <c r="ENB3" s="179"/>
      <c r="ENC3" s="179"/>
      <c r="END3" s="179"/>
      <c r="ENE3" s="179"/>
      <c r="ENF3" s="179"/>
      <c r="ENG3" s="179"/>
      <c r="ENH3" s="179"/>
      <c r="ENI3" s="179"/>
      <c r="ENJ3" s="179"/>
      <c r="ENK3" s="179"/>
      <c r="ENL3" s="179"/>
      <c r="ENM3" s="179"/>
      <c r="ENN3" s="179"/>
      <c r="ENO3" s="179"/>
      <c r="ENP3" s="179"/>
      <c r="ENQ3" s="179"/>
      <c r="ENR3" s="179"/>
      <c r="ENS3" s="179"/>
      <c r="ENT3" s="179"/>
      <c r="ENU3" s="179"/>
      <c r="ENV3" s="179"/>
      <c r="ENW3" s="179"/>
      <c r="ENX3" s="179"/>
      <c r="ENY3" s="179"/>
      <c r="ENZ3" s="179"/>
      <c r="EOA3" s="179"/>
      <c r="EOB3" s="179"/>
      <c r="EOC3" s="179"/>
      <c r="EOD3" s="179"/>
      <c r="EOE3" s="179"/>
      <c r="EOF3" s="179"/>
      <c r="EOG3" s="179"/>
      <c r="EOH3" s="179"/>
      <c r="EOI3" s="179"/>
      <c r="EOJ3" s="179"/>
      <c r="EOK3" s="179"/>
      <c r="EOL3" s="179"/>
      <c r="EOM3" s="179"/>
      <c r="EON3" s="179"/>
      <c r="EOO3" s="179"/>
      <c r="EOP3" s="179"/>
      <c r="EOQ3" s="179"/>
      <c r="EOR3" s="179"/>
      <c r="EOS3" s="179"/>
      <c r="EOT3" s="179"/>
      <c r="EOU3" s="179"/>
      <c r="EOV3" s="179"/>
      <c r="EOW3" s="179"/>
      <c r="EOX3" s="179"/>
      <c r="EOY3" s="179"/>
      <c r="EOZ3" s="179"/>
      <c r="EPA3" s="179"/>
      <c r="EPB3" s="179"/>
      <c r="EPC3" s="179"/>
      <c r="EPD3" s="179"/>
      <c r="EPE3" s="179"/>
      <c r="EPF3" s="179"/>
      <c r="EPG3" s="179"/>
      <c r="EPH3" s="179"/>
      <c r="EPI3" s="179"/>
      <c r="EPJ3" s="179"/>
      <c r="EPK3" s="179"/>
      <c r="EPL3" s="179"/>
      <c r="EPM3" s="179"/>
      <c r="EPN3" s="179"/>
      <c r="EPO3" s="179"/>
      <c r="EPP3" s="179"/>
      <c r="EPQ3" s="179"/>
      <c r="EPR3" s="179"/>
      <c r="EPS3" s="179"/>
      <c r="EPT3" s="179"/>
      <c r="EPU3" s="179"/>
      <c r="EPV3" s="179"/>
      <c r="EPW3" s="179"/>
      <c r="EPX3" s="179"/>
      <c r="EPY3" s="179"/>
      <c r="EPZ3" s="179"/>
      <c r="EQA3" s="179"/>
      <c r="EQB3" s="179"/>
      <c r="EQC3" s="179"/>
      <c r="EQD3" s="179"/>
      <c r="EQE3" s="179"/>
      <c r="EQF3" s="179"/>
      <c r="EQG3" s="179"/>
      <c r="EQH3" s="179"/>
      <c r="EQI3" s="179"/>
      <c r="EQJ3" s="179"/>
      <c r="EQK3" s="179"/>
      <c r="EQL3" s="179"/>
      <c r="EQM3" s="179"/>
      <c r="EQN3" s="179"/>
      <c r="EQO3" s="179"/>
      <c r="EQP3" s="179"/>
      <c r="EQQ3" s="179"/>
      <c r="EQR3" s="179"/>
      <c r="EQS3" s="179"/>
      <c r="EQT3" s="179"/>
      <c r="EQU3" s="179"/>
      <c r="EQV3" s="179"/>
      <c r="EQW3" s="179"/>
      <c r="EQX3" s="179"/>
      <c r="EQY3" s="179"/>
      <c r="EQZ3" s="179"/>
      <c r="ERA3" s="179"/>
      <c r="ERB3" s="179"/>
      <c r="ERC3" s="179"/>
      <c r="ERD3" s="179"/>
      <c r="ERE3" s="179"/>
      <c r="ERF3" s="179"/>
      <c r="ERG3" s="179"/>
      <c r="ERH3" s="179"/>
      <c r="ERI3" s="179"/>
      <c r="ERJ3" s="179"/>
      <c r="ERK3" s="179"/>
      <c r="ERL3" s="179"/>
      <c r="ERM3" s="179"/>
      <c r="ERN3" s="179"/>
      <c r="ERO3" s="179"/>
      <c r="ERP3" s="179"/>
      <c r="ERQ3" s="179"/>
      <c r="ERR3" s="179"/>
      <c r="ERS3" s="179"/>
      <c r="ERT3" s="179"/>
      <c r="ERU3" s="179"/>
      <c r="ERV3" s="179"/>
      <c r="ERW3" s="179"/>
      <c r="ERX3" s="179"/>
      <c r="ERY3" s="179"/>
      <c r="ERZ3" s="179"/>
      <c r="ESA3" s="179"/>
      <c r="ESB3" s="179"/>
      <c r="ESC3" s="179"/>
      <c r="ESD3" s="179"/>
      <c r="ESE3" s="179"/>
      <c r="ESF3" s="179"/>
      <c r="ESG3" s="179"/>
      <c r="ESH3" s="179"/>
      <c r="ESI3" s="179"/>
      <c r="ESJ3" s="179"/>
      <c r="ESK3" s="179"/>
      <c r="ESL3" s="179"/>
      <c r="ESM3" s="179"/>
      <c r="ESN3" s="179"/>
      <c r="ESO3" s="179"/>
      <c r="ESP3" s="179"/>
      <c r="ESQ3" s="179"/>
      <c r="ESR3" s="179"/>
      <c r="ESS3" s="179"/>
      <c r="EST3" s="179"/>
      <c r="ESU3" s="179"/>
      <c r="ESV3" s="179"/>
      <c r="ESW3" s="179"/>
      <c r="ESX3" s="179"/>
      <c r="ESY3" s="179"/>
      <c r="ESZ3" s="179"/>
      <c r="ETA3" s="179"/>
      <c r="ETB3" s="179"/>
      <c r="ETC3" s="179"/>
      <c r="ETD3" s="179"/>
      <c r="ETE3" s="179"/>
      <c r="ETF3" s="179"/>
      <c r="ETG3" s="179"/>
      <c r="ETH3" s="179"/>
      <c r="ETI3" s="179"/>
      <c r="ETJ3" s="179"/>
      <c r="ETK3" s="179"/>
      <c r="ETL3" s="179"/>
      <c r="ETM3" s="179"/>
      <c r="ETN3" s="179"/>
      <c r="ETO3" s="179"/>
      <c r="ETP3" s="179"/>
      <c r="ETQ3" s="179"/>
      <c r="ETR3" s="179"/>
      <c r="ETS3" s="179"/>
      <c r="ETT3" s="179"/>
      <c r="ETU3" s="179"/>
      <c r="ETV3" s="179"/>
      <c r="ETW3" s="179"/>
      <c r="ETX3" s="179"/>
      <c r="ETY3" s="179"/>
      <c r="ETZ3" s="179"/>
      <c r="EUA3" s="179"/>
      <c r="EUB3" s="179"/>
      <c r="EUC3" s="179"/>
      <c r="EUD3" s="179"/>
      <c r="EUE3" s="179"/>
      <c r="EUF3" s="179"/>
      <c r="EUG3" s="179"/>
      <c r="EUH3" s="179"/>
      <c r="EUI3" s="179"/>
      <c r="EUJ3" s="179"/>
      <c r="EUK3" s="179"/>
      <c r="EUL3" s="179"/>
      <c r="EUM3" s="179"/>
      <c r="EUN3" s="179"/>
      <c r="EUO3" s="179"/>
      <c r="EUP3" s="179"/>
      <c r="EUQ3" s="179"/>
      <c r="EUR3" s="179"/>
      <c r="EUS3" s="179"/>
      <c r="EUT3" s="179"/>
      <c r="EUU3" s="179"/>
      <c r="EUV3" s="179"/>
      <c r="EUW3" s="179"/>
      <c r="EUX3" s="179"/>
      <c r="EUY3" s="179"/>
      <c r="EUZ3" s="179"/>
      <c r="EVA3" s="179"/>
      <c r="EVB3" s="179"/>
      <c r="EVC3" s="179"/>
      <c r="EVD3" s="179"/>
      <c r="EVE3" s="179"/>
      <c r="EVF3" s="179"/>
      <c r="EVG3" s="179"/>
      <c r="EVH3" s="179"/>
      <c r="EVI3" s="179"/>
      <c r="EVJ3" s="179"/>
      <c r="EVK3" s="179"/>
      <c r="EVL3" s="179"/>
      <c r="EVM3" s="179"/>
      <c r="EVN3" s="179"/>
      <c r="EVO3" s="179"/>
      <c r="EVP3" s="179"/>
      <c r="EVQ3" s="179"/>
      <c r="EVR3" s="179"/>
      <c r="EVS3" s="179"/>
      <c r="EVT3" s="179"/>
      <c r="EVU3" s="179"/>
      <c r="EVV3" s="179"/>
      <c r="EVW3" s="179"/>
      <c r="EVX3" s="179"/>
      <c r="EVY3" s="179"/>
      <c r="EVZ3" s="179"/>
      <c r="EWA3" s="179"/>
      <c r="EWB3" s="179"/>
      <c r="EWC3" s="179"/>
      <c r="EWD3" s="179"/>
      <c r="EWE3" s="179"/>
      <c r="EWF3" s="179"/>
      <c r="EWG3" s="179"/>
      <c r="EWH3" s="179"/>
      <c r="EWI3" s="179"/>
      <c r="EWJ3" s="179"/>
      <c r="EWK3" s="179"/>
      <c r="EWL3" s="179"/>
      <c r="EWM3" s="179"/>
      <c r="EWN3" s="179"/>
      <c r="EWO3" s="179"/>
      <c r="EWP3" s="179"/>
      <c r="EWQ3" s="179"/>
      <c r="EWR3" s="179"/>
      <c r="EWS3" s="179"/>
      <c r="EWT3" s="179"/>
      <c r="EWU3" s="179"/>
      <c r="EWV3" s="179"/>
      <c r="EWW3" s="179"/>
      <c r="EWX3" s="179"/>
      <c r="EWY3" s="179"/>
      <c r="EWZ3" s="179"/>
      <c r="EXA3" s="179"/>
      <c r="EXB3" s="179"/>
      <c r="EXC3" s="179"/>
      <c r="EXD3" s="179"/>
      <c r="EXE3" s="179"/>
      <c r="EXF3" s="179"/>
      <c r="EXG3" s="179"/>
      <c r="EXH3" s="179"/>
      <c r="EXI3" s="179"/>
      <c r="EXJ3" s="179"/>
      <c r="EXK3" s="179"/>
      <c r="EXL3" s="179"/>
      <c r="EXM3" s="179"/>
      <c r="EXN3" s="179"/>
      <c r="EXO3" s="179"/>
      <c r="EXP3" s="179"/>
      <c r="EXQ3" s="179"/>
      <c r="EXR3" s="179"/>
      <c r="EXS3" s="179"/>
      <c r="EXT3" s="179"/>
      <c r="EXU3" s="179"/>
      <c r="EXV3" s="179"/>
      <c r="EXW3" s="179"/>
      <c r="EXX3" s="179"/>
      <c r="EXY3" s="179"/>
      <c r="EXZ3" s="179"/>
      <c r="EYA3" s="179"/>
      <c r="EYB3" s="179"/>
      <c r="EYC3" s="179"/>
      <c r="EYD3" s="179"/>
      <c r="EYE3" s="179"/>
      <c r="EYF3" s="179"/>
      <c r="EYG3" s="179"/>
      <c r="EYH3" s="179"/>
      <c r="EYI3" s="179"/>
      <c r="EYJ3" s="179"/>
      <c r="EYK3" s="179"/>
      <c r="EYL3" s="179"/>
      <c r="EYM3" s="179"/>
      <c r="EYN3" s="179"/>
      <c r="EYO3" s="179"/>
      <c r="EYP3" s="179"/>
      <c r="EYQ3" s="179"/>
      <c r="EYR3" s="179"/>
      <c r="EYS3" s="179"/>
      <c r="EYT3" s="179"/>
      <c r="EYU3" s="179"/>
      <c r="EYV3" s="179"/>
      <c r="EYW3" s="179"/>
      <c r="EYX3" s="179"/>
      <c r="EYY3" s="179"/>
      <c r="EYZ3" s="179"/>
      <c r="EZA3" s="179"/>
      <c r="EZB3" s="179"/>
      <c r="EZC3" s="179"/>
      <c r="EZD3" s="179"/>
      <c r="EZE3" s="179"/>
      <c r="EZF3" s="179"/>
      <c r="EZG3" s="179"/>
      <c r="EZH3" s="179"/>
      <c r="EZI3" s="179"/>
      <c r="EZJ3" s="179"/>
      <c r="EZK3" s="179"/>
      <c r="EZL3" s="179"/>
      <c r="EZM3" s="179"/>
      <c r="EZN3" s="179"/>
      <c r="EZO3" s="179"/>
      <c r="EZP3" s="179"/>
      <c r="EZQ3" s="179"/>
      <c r="EZR3" s="179"/>
      <c r="EZS3" s="179"/>
      <c r="EZT3" s="179"/>
      <c r="EZU3" s="179"/>
      <c r="EZV3" s="179"/>
      <c r="EZW3" s="179"/>
      <c r="EZX3" s="179"/>
      <c r="EZY3" s="179"/>
      <c r="EZZ3" s="179"/>
      <c r="FAA3" s="179"/>
      <c r="FAB3" s="179"/>
      <c r="FAC3" s="179"/>
      <c r="FAD3" s="179"/>
      <c r="FAE3" s="179"/>
      <c r="FAF3" s="179"/>
      <c r="FAG3" s="179"/>
      <c r="FAH3" s="179"/>
      <c r="FAI3" s="179"/>
      <c r="FAJ3" s="179"/>
      <c r="FAK3" s="179"/>
      <c r="FAL3" s="179"/>
      <c r="FAM3" s="179"/>
      <c r="FAN3" s="179"/>
      <c r="FAO3" s="179"/>
      <c r="FAP3" s="179"/>
      <c r="FAQ3" s="179"/>
      <c r="FAR3" s="179"/>
      <c r="FAS3" s="179"/>
      <c r="FAT3" s="179"/>
      <c r="FAU3" s="179"/>
      <c r="FAV3" s="179"/>
      <c r="FAW3" s="179"/>
      <c r="FAX3" s="179"/>
      <c r="FAY3" s="179"/>
      <c r="FAZ3" s="179"/>
      <c r="FBA3" s="179"/>
      <c r="FBB3" s="179"/>
      <c r="FBC3" s="179"/>
      <c r="FBD3" s="179"/>
      <c r="FBE3" s="179"/>
      <c r="FBF3" s="179"/>
      <c r="FBG3" s="179"/>
      <c r="FBH3" s="179"/>
      <c r="FBI3" s="179"/>
      <c r="FBJ3" s="179"/>
      <c r="FBK3" s="179"/>
      <c r="FBL3" s="179"/>
      <c r="FBM3" s="179"/>
      <c r="FBN3" s="179"/>
      <c r="FBO3" s="179"/>
      <c r="FBP3" s="179"/>
      <c r="FBQ3" s="179"/>
      <c r="FBR3" s="179"/>
      <c r="FBS3" s="179"/>
      <c r="FBT3" s="179"/>
      <c r="FBU3" s="179"/>
      <c r="FBV3" s="179"/>
      <c r="FBW3" s="179"/>
      <c r="FBX3" s="179"/>
      <c r="FBY3" s="179"/>
      <c r="FBZ3" s="179"/>
      <c r="FCA3" s="179"/>
      <c r="FCB3" s="179"/>
      <c r="FCC3" s="179"/>
      <c r="FCD3" s="179"/>
      <c r="FCE3" s="179"/>
      <c r="FCF3" s="179"/>
      <c r="FCG3" s="179"/>
      <c r="FCH3" s="179"/>
      <c r="FCI3" s="179"/>
      <c r="FCJ3" s="179"/>
      <c r="FCK3" s="179"/>
      <c r="FCL3" s="179"/>
      <c r="FCM3" s="179"/>
      <c r="FCN3" s="179"/>
      <c r="FCO3" s="179"/>
      <c r="FCP3" s="179"/>
      <c r="FCQ3" s="179"/>
      <c r="FCR3" s="179"/>
      <c r="FCS3" s="179"/>
      <c r="FCT3" s="179"/>
      <c r="FCU3" s="179"/>
      <c r="FCV3" s="179"/>
      <c r="FCW3" s="179"/>
      <c r="FCX3" s="179"/>
      <c r="FCY3" s="179"/>
      <c r="FCZ3" s="179"/>
      <c r="FDA3" s="179"/>
      <c r="FDB3" s="179"/>
      <c r="FDC3" s="179"/>
      <c r="FDD3" s="179"/>
      <c r="FDE3" s="179"/>
      <c r="FDF3" s="179"/>
      <c r="FDG3" s="179"/>
      <c r="FDH3" s="179"/>
      <c r="FDI3" s="179"/>
      <c r="FDJ3" s="179"/>
      <c r="FDK3" s="179"/>
      <c r="FDL3" s="179"/>
      <c r="FDM3" s="179"/>
      <c r="FDN3" s="179"/>
      <c r="FDO3" s="179"/>
      <c r="FDP3" s="179"/>
      <c r="FDQ3" s="179"/>
      <c r="FDR3" s="179"/>
      <c r="FDS3" s="179"/>
      <c r="FDT3" s="179"/>
      <c r="FDU3" s="179"/>
      <c r="FDV3" s="179"/>
      <c r="FDW3" s="179"/>
      <c r="FDX3" s="179"/>
      <c r="FDY3" s="179"/>
      <c r="FDZ3" s="179"/>
      <c r="FEA3" s="179"/>
      <c r="FEB3" s="179"/>
      <c r="FEC3" s="179"/>
      <c r="FED3" s="179"/>
      <c r="FEE3" s="179"/>
      <c r="FEF3" s="179"/>
      <c r="FEG3" s="179"/>
      <c r="FEH3" s="179"/>
      <c r="FEI3" s="179"/>
      <c r="FEJ3" s="179"/>
      <c r="FEK3" s="179"/>
      <c r="FEL3" s="179"/>
      <c r="FEM3" s="179"/>
      <c r="FEN3" s="179"/>
      <c r="FEO3" s="179"/>
      <c r="FEP3" s="179"/>
      <c r="FEQ3" s="179"/>
      <c r="FER3" s="179"/>
      <c r="FES3" s="179"/>
      <c r="FET3" s="179"/>
      <c r="FEU3" s="179"/>
      <c r="FEV3" s="179"/>
      <c r="FEW3" s="179"/>
      <c r="FEX3" s="179"/>
      <c r="FEY3" s="179"/>
      <c r="FEZ3" s="179"/>
      <c r="FFA3" s="179"/>
      <c r="FFB3" s="179"/>
      <c r="FFC3" s="179"/>
      <c r="FFD3" s="179"/>
      <c r="FFE3" s="179"/>
      <c r="FFF3" s="179"/>
      <c r="FFG3" s="179"/>
      <c r="FFH3" s="179"/>
      <c r="FFI3" s="179"/>
      <c r="FFJ3" s="179"/>
      <c r="FFK3" s="179"/>
      <c r="FFL3" s="179"/>
      <c r="FFM3" s="179"/>
      <c r="FFN3" s="179"/>
      <c r="FFO3" s="179"/>
      <c r="FFP3" s="179"/>
      <c r="FFQ3" s="179"/>
      <c r="FFR3" s="179"/>
      <c r="FFS3" s="179"/>
      <c r="FFT3" s="179"/>
      <c r="FFU3" s="179"/>
      <c r="FFV3" s="179"/>
      <c r="FFW3" s="179"/>
      <c r="FFX3" s="179"/>
      <c r="FFY3" s="179"/>
      <c r="FFZ3" s="179"/>
      <c r="FGA3" s="179"/>
      <c r="FGB3" s="179"/>
      <c r="FGC3" s="179"/>
      <c r="FGD3" s="179"/>
      <c r="FGE3" s="179"/>
      <c r="FGF3" s="179"/>
      <c r="FGG3" s="179"/>
      <c r="FGH3" s="179"/>
      <c r="FGI3" s="179"/>
      <c r="FGJ3" s="179"/>
      <c r="FGK3" s="179"/>
      <c r="FGL3" s="179"/>
      <c r="FGM3" s="179"/>
      <c r="FGN3" s="179"/>
      <c r="FGO3" s="179"/>
      <c r="FGP3" s="179"/>
      <c r="FGQ3" s="179"/>
      <c r="FGR3" s="179"/>
      <c r="FGS3" s="179"/>
      <c r="FGT3" s="179"/>
      <c r="FGU3" s="179"/>
      <c r="FGV3" s="179"/>
      <c r="FGW3" s="179"/>
      <c r="FGX3" s="179"/>
      <c r="FGY3" s="179"/>
      <c r="FGZ3" s="179"/>
      <c r="FHA3" s="179"/>
      <c r="FHB3" s="179"/>
      <c r="FHC3" s="179"/>
      <c r="FHD3" s="179"/>
      <c r="FHE3" s="179"/>
      <c r="FHF3" s="179"/>
      <c r="FHG3" s="179"/>
      <c r="FHH3" s="179"/>
      <c r="FHI3" s="179"/>
      <c r="FHJ3" s="179"/>
      <c r="FHK3" s="179"/>
      <c r="FHL3" s="179"/>
      <c r="FHM3" s="179"/>
      <c r="FHN3" s="179"/>
      <c r="FHO3" s="179"/>
      <c r="FHP3" s="179"/>
      <c r="FHQ3" s="179"/>
      <c r="FHR3" s="179"/>
      <c r="FHS3" s="179"/>
      <c r="FHT3" s="179"/>
      <c r="FHU3" s="179"/>
      <c r="FHV3" s="179"/>
      <c r="FHW3" s="179"/>
      <c r="FHX3" s="179"/>
      <c r="FHY3" s="179"/>
      <c r="FHZ3" s="179"/>
      <c r="FIA3" s="179"/>
      <c r="FIB3" s="179"/>
      <c r="FIC3" s="179"/>
      <c r="FID3" s="179"/>
      <c r="FIE3" s="179"/>
      <c r="FIF3" s="179"/>
      <c r="FIG3" s="179"/>
      <c r="FIH3" s="179"/>
      <c r="FII3" s="179"/>
      <c r="FIJ3" s="179"/>
      <c r="FIK3" s="179"/>
      <c r="FIL3" s="179"/>
      <c r="FIM3" s="179"/>
      <c r="FIN3" s="179"/>
      <c r="FIO3" s="179"/>
      <c r="FIP3" s="179"/>
      <c r="FIQ3" s="179"/>
      <c r="FIR3" s="179"/>
      <c r="FIS3" s="179"/>
      <c r="FIT3" s="179"/>
      <c r="FIU3" s="179"/>
      <c r="FIV3" s="179"/>
      <c r="FIW3" s="179"/>
      <c r="FIX3" s="179"/>
      <c r="FIY3" s="179"/>
      <c r="FIZ3" s="179"/>
      <c r="FJA3" s="179"/>
      <c r="FJB3" s="179"/>
      <c r="FJC3" s="179"/>
      <c r="FJD3" s="179"/>
      <c r="FJE3" s="179"/>
      <c r="FJF3" s="179"/>
      <c r="FJG3" s="179"/>
      <c r="FJH3" s="179"/>
      <c r="FJI3" s="179"/>
      <c r="FJJ3" s="179"/>
      <c r="FJK3" s="179"/>
      <c r="FJL3" s="179"/>
      <c r="FJM3" s="179"/>
      <c r="FJN3" s="179"/>
      <c r="FJO3" s="179"/>
      <c r="FJP3" s="179"/>
      <c r="FJQ3" s="179"/>
      <c r="FJR3" s="179"/>
      <c r="FJS3" s="179"/>
      <c r="FJT3" s="179"/>
      <c r="FJU3" s="179"/>
      <c r="FJV3" s="179"/>
      <c r="FJW3" s="179"/>
      <c r="FJX3" s="179"/>
      <c r="FJY3" s="179"/>
      <c r="FJZ3" s="179"/>
      <c r="FKA3" s="179"/>
      <c r="FKB3" s="179"/>
      <c r="FKC3" s="179"/>
      <c r="FKD3" s="179"/>
      <c r="FKE3" s="179"/>
      <c r="FKF3" s="179"/>
      <c r="FKG3" s="179"/>
      <c r="FKH3" s="179"/>
      <c r="FKI3" s="179"/>
      <c r="FKJ3" s="179"/>
      <c r="FKK3" s="179"/>
      <c r="FKL3" s="179"/>
      <c r="FKM3" s="179"/>
      <c r="FKN3" s="179"/>
      <c r="FKO3" s="179"/>
      <c r="FKP3" s="179"/>
      <c r="FKQ3" s="179"/>
      <c r="FKR3" s="179"/>
      <c r="FKS3" s="179"/>
      <c r="FKT3" s="179"/>
      <c r="FKU3" s="179"/>
      <c r="FKV3" s="179"/>
      <c r="FKW3" s="179"/>
      <c r="FKX3" s="179"/>
      <c r="FKY3" s="179"/>
      <c r="FKZ3" s="179"/>
      <c r="FLA3" s="179"/>
      <c r="FLB3" s="179"/>
      <c r="FLC3" s="179"/>
      <c r="FLD3" s="179"/>
      <c r="FLE3" s="179"/>
      <c r="FLF3" s="179"/>
      <c r="FLG3" s="179"/>
      <c r="FLH3" s="179"/>
      <c r="FLI3" s="179"/>
      <c r="FLJ3" s="179"/>
      <c r="FLK3" s="179"/>
      <c r="FLL3" s="179"/>
      <c r="FLM3" s="179"/>
      <c r="FLN3" s="179"/>
      <c r="FLO3" s="179"/>
      <c r="FLP3" s="179"/>
      <c r="FLQ3" s="179"/>
      <c r="FLR3" s="179"/>
      <c r="FLS3" s="179"/>
      <c r="FLT3" s="179"/>
      <c r="FLU3" s="179"/>
      <c r="FLV3" s="179"/>
      <c r="FLW3" s="179"/>
      <c r="FLX3" s="179"/>
      <c r="FLY3" s="179"/>
      <c r="FLZ3" s="179"/>
      <c r="FMA3" s="179"/>
      <c r="FMB3" s="179"/>
      <c r="FMC3" s="179"/>
      <c r="FMD3" s="179"/>
      <c r="FME3" s="179"/>
      <c r="FMF3" s="179"/>
      <c r="FMG3" s="179"/>
      <c r="FMH3" s="179"/>
      <c r="FMI3" s="179"/>
      <c r="FMJ3" s="179"/>
      <c r="FMK3" s="179"/>
      <c r="FML3" s="179"/>
      <c r="FMM3" s="179"/>
      <c r="FMN3" s="179"/>
      <c r="FMO3" s="179"/>
      <c r="FMP3" s="179"/>
      <c r="FMQ3" s="179"/>
      <c r="FMR3" s="179"/>
      <c r="FMS3" s="179"/>
      <c r="FMT3" s="179"/>
      <c r="FMU3" s="179"/>
      <c r="FMV3" s="179"/>
      <c r="FMW3" s="179"/>
      <c r="FMX3" s="179"/>
      <c r="FMY3" s="179"/>
      <c r="FMZ3" s="179"/>
      <c r="FNA3" s="179"/>
      <c r="FNB3" s="179"/>
      <c r="FNC3" s="179"/>
      <c r="FND3" s="179"/>
      <c r="FNE3" s="179"/>
      <c r="FNF3" s="179"/>
      <c r="FNG3" s="179"/>
      <c r="FNH3" s="179"/>
      <c r="FNI3" s="179"/>
      <c r="FNJ3" s="179"/>
      <c r="FNK3" s="179"/>
      <c r="FNL3" s="179"/>
      <c r="FNM3" s="179"/>
      <c r="FNN3" s="179"/>
      <c r="FNO3" s="179"/>
      <c r="FNP3" s="179"/>
      <c r="FNQ3" s="179"/>
      <c r="FNR3" s="179"/>
      <c r="FNS3" s="179"/>
      <c r="FNT3" s="179"/>
      <c r="FNU3" s="179"/>
      <c r="FNV3" s="179"/>
      <c r="FNW3" s="179"/>
      <c r="FNX3" s="179"/>
      <c r="FNY3" s="179"/>
      <c r="FNZ3" s="179"/>
      <c r="FOA3" s="179"/>
      <c r="FOB3" s="179"/>
      <c r="FOC3" s="179"/>
      <c r="FOD3" s="179"/>
      <c r="FOE3" s="179"/>
      <c r="FOF3" s="179"/>
      <c r="FOG3" s="179"/>
      <c r="FOH3" s="179"/>
      <c r="FOI3" s="179"/>
      <c r="FOJ3" s="179"/>
      <c r="FOK3" s="179"/>
      <c r="FOL3" s="179"/>
      <c r="FOM3" s="179"/>
      <c r="FON3" s="179"/>
      <c r="FOO3" s="179"/>
      <c r="FOP3" s="179"/>
      <c r="FOQ3" s="179"/>
      <c r="FOR3" s="179"/>
      <c r="FOS3" s="179"/>
      <c r="FOT3" s="179"/>
      <c r="FOU3" s="179"/>
      <c r="FOV3" s="179"/>
      <c r="FOW3" s="179"/>
      <c r="FOX3" s="179"/>
      <c r="FOY3" s="179"/>
      <c r="FOZ3" s="179"/>
      <c r="FPA3" s="179"/>
      <c r="FPB3" s="179"/>
      <c r="FPC3" s="179"/>
      <c r="FPD3" s="179"/>
      <c r="FPE3" s="179"/>
      <c r="FPF3" s="179"/>
      <c r="FPG3" s="179"/>
      <c r="FPH3" s="179"/>
      <c r="FPI3" s="179"/>
      <c r="FPJ3" s="179"/>
      <c r="FPK3" s="179"/>
      <c r="FPL3" s="179"/>
      <c r="FPM3" s="179"/>
      <c r="FPN3" s="179"/>
      <c r="FPO3" s="179"/>
      <c r="FPP3" s="179"/>
      <c r="FPQ3" s="179"/>
      <c r="FPR3" s="179"/>
      <c r="FPS3" s="179"/>
      <c r="FPT3" s="179"/>
      <c r="FPU3" s="179"/>
      <c r="FPV3" s="179"/>
      <c r="FPW3" s="179"/>
      <c r="FPX3" s="179"/>
      <c r="FPY3" s="179"/>
      <c r="FPZ3" s="179"/>
      <c r="FQA3" s="179"/>
      <c r="FQB3" s="179"/>
      <c r="FQC3" s="179"/>
      <c r="FQD3" s="179"/>
      <c r="FQE3" s="179"/>
      <c r="FQF3" s="179"/>
      <c r="FQG3" s="179"/>
      <c r="FQH3" s="179"/>
      <c r="FQI3" s="179"/>
      <c r="FQJ3" s="179"/>
      <c r="FQK3" s="179"/>
      <c r="FQL3" s="179"/>
      <c r="FQM3" s="179"/>
      <c r="FQN3" s="179"/>
      <c r="FQO3" s="179"/>
      <c r="FQP3" s="179"/>
      <c r="FQQ3" s="179"/>
      <c r="FQR3" s="179"/>
      <c r="FQS3" s="179"/>
      <c r="FQT3" s="179"/>
      <c r="FQU3" s="179"/>
      <c r="FQV3" s="179"/>
      <c r="FQW3" s="179"/>
      <c r="FQX3" s="179"/>
      <c r="FQY3" s="179"/>
      <c r="FQZ3" s="179"/>
      <c r="FRA3" s="179"/>
      <c r="FRB3" s="179"/>
      <c r="FRC3" s="179"/>
      <c r="FRD3" s="179"/>
      <c r="FRE3" s="179"/>
      <c r="FRF3" s="179"/>
      <c r="FRG3" s="179"/>
      <c r="FRH3" s="179"/>
      <c r="FRI3" s="179"/>
      <c r="FRJ3" s="179"/>
      <c r="FRK3" s="179"/>
      <c r="FRL3" s="179"/>
      <c r="FRM3" s="179"/>
      <c r="FRN3" s="179"/>
      <c r="FRO3" s="179"/>
      <c r="FRP3" s="179"/>
      <c r="FRQ3" s="179"/>
      <c r="FRR3" s="179"/>
      <c r="FRS3" s="179"/>
      <c r="FRT3" s="179"/>
      <c r="FRU3" s="179"/>
      <c r="FRV3" s="179"/>
      <c r="FRW3" s="179"/>
      <c r="FRX3" s="179"/>
      <c r="FRY3" s="179"/>
      <c r="FRZ3" s="179"/>
      <c r="FSA3" s="179"/>
      <c r="FSB3" s="179"/>
      <c r="FSC3" s="179"/>
      <c r="FSD3" s="179"/>
      <c r="FSE3" s="179"/>
      <c r="FSF3" s="179"/>
      <c r="FSG3" s="179"/>
      <c r="FSH3" s="179"/>
      <c r="FSI3" s="179"/>
      <c r="FSJ3" s="179"/>
      <c r="FSK3" s="179"/>
      <c r="FSL3" s="179"/>
      <c r="FSM3" s="179"/>
      <c r="FSN3" s="179"/>
      <c r="FSO3" s="179"/>
      <c r="FSP3" s="179"/>
      <c r="FSQ3" s="179"/>
      <c r="FSR3" s="179"/>
      <c r="FSS3" s="179"/>
      <c r="FST3" s="179"/>
      <c r="FSU3" s="179"/>
      <c r="FSV3" s="179"/>
      <c r="FSW3" s="179"/>
      <c r="FSX3" s="179"/>
      <c r="FSY3" s="179"/>
      <c r="FSZ3" s="179"/>
      <c r="FTA3" s="179"/>
      <c r="FTB3" s="179"/>
      <c r="FTC3" s="179"/>
      <c r="FTD3" s="179"/>
      <c r="FTE3" s="179"/>
      <c r="FTF3" s="179"/>
      <c r="FTG3" s="179"/>
      <c r="FTH3" s="179"/>
      <c r="FTI3" s="179"/>
      <c r="FTJ3" s="179"/>
      <c r="FTK3" s="179"/>
      <c r="FTL3" s="179"/>
      <c r="FTM3" s="179"/>
      <c r="FTN3" s="179"/>
      <c r="FTO3" s="179"/>
      <c r="FTP3" s="179"/>
      <c r="FTQ3" s="179"/>
      <c r="FTR3" s="179"/>
      <c r="FTS3" s="179"/>
      <c r="FTT3" s="179"/>
      <c r="FTU3" s="179"/>
      <c r="FTV3" s="179"/>
      <c r="FTW3" s="179"/>
      <c r="FTX3" s="179"/>
      <c r="FTY3" s="179"/>
      <c r="FTZ3" s="179"/>
      <c r="FUA3" s="179"/>
      <c r="FUB3" s="179"/>
      <c r="FUC3" s="179"/>
      <c r="FUD3" s="179"/>
      <c r="FUE3" s="179"/>
      <c r="FUF3" s="179"/>
      <c r="FUG3" s="179"/>
      <c r="FUH3" s="179"/>
      <c r="FUI3" s="179"/>
      <c r="FUJ3" s="179"/>
      <c r="FUK3" s="179"/>
      <c r="FUL3" s="179"/>
      <c r="FUM3" s="179"/>
      <c r="FUN3" s="179"/>
      <c r="FUO3" s="179"/>
      <c r="FUP3" s="179"/>
      <c r="FUQ3" s="179"/>
      <c r="FUR3" s="179"/>
      <c r="FUS3" s="179"/>
      <c r="FUT3" s="179"/>
      <c r="FUU3" s="179"/>
      <c r="FUV3" s="179"/>
      <c r="FUW3" s="179"/>
      <c r="FUX3" s="179"/>
      <c r="FUY3" s="179"/>
      <c r="FUZ3" s="179"/>
      <c r="FVA3" s="179"/>
      <c r="FVB3" s="179"/>
      <c r="FVC3" s="179"/>
      <c r="FVD3" s="179"/>
      <c r="FVE3" s="179"/>
      <c r="FVF3" s="179"/>
      <c r="FVG3" s="179"/>
      <c r="FVH3" s="179"/>
      <c r="FVI3" s="179"/>
      <c r="FVJ3" s="179"/>
      <c r="FVK3" s="179"/>
      <c r="FVL3" s="179"/>
      <c r="FVM3" s="179"/>
      <c r="FVN3" s="179"/>
      <c r="FVO3" s="179"/>
      <c r="FVP3" s="179"/>
      <c r="FVQ3" s="179"/>
      <c r="FVR3" s="179"/>
      <c r="FVS3" s="179"/>
      <c r="FVT3" s="179"/>
      <c r="FVU3" s="179"/>
      <c r="FVV3" s="179"/>
      <c r="FVW3" s="179"/>
      <c r="FVX3" s="179"/>
      <c r="FVY3" s="179"/>
      <c r="FVZ3" s="179"/>
      <c r="FWA3" s="179"/>
      <c r="FWB3" s="179"/>
      <c r="FWC3" s="179"/>
      <c r="FWD3" s="179"/>
      <c r="FWE3" s="179"/>
      <c r="FWF3" s="179"/>
      <c r="FWG3" s="179"/>
      <c r="FWH3" s="179"/>
      <c r="FWI3" s="179"/>
      <c r="FWJ3" s="179"/>
      <c r="FWK3" s="179"/>
      <c r="FWL3" s="179"/>
      <c r="FWM3" s="179"/>
      <c r="FWN3" s="179"/>
      <c r="FWO3" s="179"/>
      <c r="FWP3" s="179"/>
      <c r="FWQ3" s="179"/>
      <c r="FWR3" s="179"/>
      <c r="FWS3" s="179"/>
      <c r="FWT3" s="179"/>
      <c r="FWU3" s="179"/>
      <c r="FWV3" s="179"/>
      <c r="FWW3" s="179"/>
      <c r="FWX3" s="179"/>
      <c r="FWY3" s="179"/>
      <c r="FWZ3" s="179"/>
      <c r="FXA3" s="179"/>
      <c r="FXB3" s="179"/>
      <c r="FXC3" s="179"/>
      <c r="FXD3" s="179"/>
      <c r="FXE3" s="179"/>
      <c r="FXF3" s="179"/>
      <c r="FXG3" s="179"/>
      <c r="FXH3" s="179"/>
      <c r="FXI3" s="179"/>
      <c r="FXJ3" s="179"/>
      <c r="FXK3" s="179"/>
      <c r="FXL3" s="179"/>
      <c r="FXM3" s="179"/>
      <c r="FXN3" s="179"/>
      <c r="FXO3" s="179"/>
      <c r="FXP3" s="179"/>
      <c r="FXQ3" s="179"/>
      <c r="FXR3" s="179"/>
      <c r="FXS3" s="179"/>
      <c r="FXT3" s="179"/>
      <c r="FXU3" s="179"/>
      <c r="FXV3" s="179"/>
      <c r="FXW3" s="179"/>
      <c r="FXX3" s="179"/>
      <c r="FXY3" s="179"/>
      <c r="FXZ3" s="179"/>
      <c r="FYA3" s="179"/>
      <c r="FYB3" s="179"/>
      <c r="FYC3" s="179"/>
      <c r="FYD3" s="179"/>
      <c r="FYE3" s="179"/>
      <c r="FYF3" s="179"/>
      <c r="FYG3" s="179"/>
      <c r="FYH3" s="179"/>
      <c r="FYI3" s="179"/>
      <c r="FYJ3" s="179"/>
      <c r="FYK3" s="179"/>
      <c r="FYL3" s="179"/>
      <c r="FYM3" s="179"/>
      <c r="FYN3" s="179"/>
      <c r="FYO3" s="179"/>
      <c r="FYP3" s="179"/>
      <c r="FYQ3" s="179"/>
      <c r="FYR3" s="179"/>
      <c r="FYS3" s="179"/>
      <c r="FYT3" s="179"/>
      <c r="FYU3" s="179"/>
      <c r="FYV3" s="179"/>
      <c r="FYW3" s="179"/>
      <c r="FYX3" s="179"/>
      <c r="FYY3" s="179"/>
      <c r="FYZ3" s="179"/>
      <c r="FZA3" s="179"/>
      <c r="FZB3" s="179"/>
      <c r="FZC3" s="179"/>
      <c r="FZD3" s="179"/>
      <c r="FZE3" s="179"/>
      <c r="FZF3" s="179"/>
      <c r="FZG3" s="179"/>
      <c r="FZH3" s="179"/>
      <c r="FZI3" s="179"/>
      <c r="FZJ3" s="179"/>
      <c r="FZK3" s="179"/>
      <c r="FZL3" s="179"/>
      <c r="FZM3" s="179"/>
      <c r="FZN3" s="179"/>
      <c r="FZO3" s="179"/>
      <c r="FZP3" s="179"/>
      <c r="FZQ3" s="179"/>
      <c r="FZR3" s="179"/>
      <c r="FZS3" s="179"/>
      <c r="FZT3" s="179"/>
      <c r="FZU3" s="179"/>
      <c r="FZV3" s="179"/>
      <c r="FZW3" s="179"/>
      <c r="FZX3" s="179"/>
      <c r="FZY3" s="179"/>
      <c r="FZZ3" s="179"/>
      <c r="GAA3" s="179"/>
      <c r="GAB3" s="179"/>
      <c r="GAC3" s="179"/>
      <c r="GAD3" s="179"/>
      <c r="GAE3" s="179"/>
      <c r="GAF3" s="179"/>
      <c r="GAG3" s="179"/>
      <c r="GAH3" s="179"/>
      <c r="GAI3" s="179"/>
      <c r="GAJ3" s="179"/>
      <c r="GAK3" s="179"/>
      <c r="GAL3" s="179"/>
      <c r="GAM3" s="179"/>
      <c r="GAN3" s="179"/>
      <c r="GAO3" s="179"/>
      <c r="GAP3" s="179"/>
      <c r="GAQ3" s="179"/>
      <c r="GAR3" s="179"/>
      <c r="GAS3" s="179"/>
      <c r="GAT3" s="179"/>
      <c r="GAU3" s="179"/>
      <c r="GAV3" s="179"/>
      <c r="GAW3" s="179"/>
      <c r="GAX3" s="179"/>
      <c r="GAY3" s="179"/>
      <c r="GAZ3" s="179"/>
      <c r="GBA3" s="179"/>
      <c r="GBB3" s="179"/>
      <c r="GBC3" s="179"/>
      <c r="GBD3" s="179"/>
      <c r="GBE3" s="179"/>
      <c r="GBF3" s="179"/>
      <c r="GBG3" s="179"/>
      <c r="GBH3" s="179"/>
      <c r="GBI3" s="179"/>
      <c r="GBJ3" s="179"/>
      <c r="GBK3" s="179"/>
      <c r="GBL3" s="179"/>
      <c r="GBM3" s="179"/>
      <c r="GBN3" s="179"/>
      <c r="GBO3" s="179"/>
      <c r="GBP3" s="179"/>
      <c r="GBQ3" s="179"/>
      <c r="GBR3" s="179"/>
      <c r="GBS3" s="179"/>
      <c r="GBT3" s="179"/>
      <c r="GBU3" s="179"/>
      <c r="GBV3" s="179"/>
      <c r="GBW3" s="179"/>
      <c r="GBX3" s="179"/>
      <c r="GBY3" s="179"/>
      <c r="GBZ3" s="179"/>
      <c r="GCA3" s="179"/>
      <c r="GCB3" s="179"/>
      <c r="GCC3" s="179"/>
      <c r="GCD3" s="179"/>
      <c r="GCE3" s="179"/>
      <c r="GCF3" s="179"/>
      <c r="GCG3" s="179"/>
      <c r="GCH3" s="179"/>
      <c r="GCI3" s="179"/>
      <c r="GCJ3" s="179"/>
      <c r="GCK3" s="179"/>
      <c r="GCL3" s="179"/>
      <c r="GCM3" s="179"/>
      <c r="GCN3" s="179"/>
      <c r="GCO3" s="179"/>
      <c r="GCP3" s="179"/>
      <c r="GCQ3" s="179"/>
      <c r="GCR3" s="179"/>
      <c r="GCS3" s="179"/>
      <c r="GCT3" s="179"/>
      <c r="GCU3" s="179"/>
      <c r="GCV3" s="179"/>
      <c r="GCW3" s="179"/>
      <c r="GCX3" s="179"/>
      <c r="GCY3" s="179"/>
      <c r="GCZ3" s="179"/>
      <c r="GDA3" s="179"/>
      <c r="GDB3" s="179"/>
      <c r="GDC3" s="179"/>
      <c r="GDD3" s="179"/>
      <c r="GDE3" s="179"/>
      <c r="GDF3" s="179"/>
      <c r="GDG3" s="179"/>
      <c r="GDH3" s="179"/>
      <c r="GDI3" s="179"/>
      <c r="GDJ3" s="179"/>
      <c r="GDK3" s="179"/>
      <c r="GDL3" s="179"/>
      <c r="GDM3" s="179"/>
      <c r="GDN3" s="179"/>
      <c r="GDO3" s="179"/>
      <c r="GDP3" s="179"/>
      <c r="GDQ3" s="179"/>
      <c r="GDR3" s="179"/>
      <c r="GDS3" s="179"/>
      <c r="GDT3" s="179"/>
      <c r="GDU3" s="179"/>
      <c r="GDV3" s="179"/>
      <c r="GDW3" s="179"/>
      <c r="GDX3" s="179"/>
      <c r="GDY3" s="179"/>
      <c r="GDZ3" s="179"/>
      <c r="GEA3" s="179"/>
      <c r="GEB3" s="179"/>
      <c r="GEC3" s="179"/>
      <c r="GED3" s="179"/>
      <c r="GEE3" s="179"/>
      <c r="GEF3" s="179"/>
      <c r="GEG3" s="179"/>
      <c r="GEH3" s="179"/>
      <c r="GEI3" s="179"/>
      <c r="GEJ3" s="179"/>
      <c r="GEK3" s="179"/>
      <c r="GEL3" s="179"/>
      <c r="GEM3" s="179"/>
      <c r="GEN3" s="179"/>
      <c r="GEO3" s="179"/>
      <c r="GEP3" s="179"/>
      <c r="GEQ3" s="179"/>
      <c r="GER3" s="179"/>
      <c r="GES3" s="179"/>
      <c r="GET3" s="179"/>
      <c r="GEU3" s="179"/>
      <c r="GEV3" s="179"/>
      <c r="GEW3" s="179"/>
      <c r="GEX3" s="179"/>
      <c r="GEY3" s="179"/>
      <c r="GEZ3" s="179"/>
      <c r="GFA3" s="179"/>
      <c r="GFB3" s="179"/>
      <c r="GFC3" s="179"/>
      <c r="GFD3" s="179"/>
      <c r="GFE3" s="179"/>
      <c r="GFF3" s="179"/>
      <c r="GFG3" s="179"/>
      <c r="GFH3" s="179"/>
      <c r="GFI3" s="179"/>
      <c r="GFJ3" s="179"/>
      <c r="GFK3" s="179"/>
      <c r="GFL3" s="179"/>
      <c r="GFM3" s="179"/>
      <c r="GFN3" s="179"/>
      <c r="GFO3" s="179"/>
      <c r="GFP3" s="179"/>
      <c r="GFQ3" s="179"/>
      <c r="GFR3" s="179"/>
      <c r="GFS3" s="179"/>
      <c r="GFT3" s="179"/>
      <c r="GFU3" s="179"/>
      <c r="GFV3" s="179"/>
      <c r="GFW3" s="179"/>
      <c r="GFX3" s="179"/>
      <c r="GFY3" s="179"/>
      <c r="GFZ3" s="179"/>
      <c r="GGA3" s="179"/>
      <c r="GGB3" s="179"/>
      <c r="GGC3" s="179"/>
      <c r="GGD3" s="179"/>
      <c r="GGE3" s="179"/>
      <c r="GGF3" s="179"/>
      <c r="GGG3" s="179"/>
      <c r="GGH3" s="179"/>
      <c r="GGI3" s="179"/>
      <c r="GGJ3" s="179"/>
      <c r="GGK3" s="179"/>
      <c r="GGL3" s="179"/>
      <c r="GGM3" s="179"/>
      <c r="GGN3" s="179"/>
      <c r="GGO3" s="179"/>
      <c r="GGP3" s="179"/>
      <c r="GGQ3" s="179"/>
      <c r="GGR3" s="179"/>
      <c r="GGS3" s="179"/>
      <c r="GGT3" s="179"/>
      <c r="GGU3" s="179"/>
      <c r="GGV3" s="179"/>
      <c r="GGW3" s="179"/>
      <c r="GGX3" s="179"/>
      <c r="GGY3" s="179"/>
      <c r="GGZ3" s="179"/>
      <c r="GHA3" s="179"/>
      <c r="GHB3" s="179"/>
      <c r="GHC3" s="179"/>
      <c r="GHD3" s="179"/>
      <c r="GHE3" s="179"/>
      <c r="GHF3" s="179"/>
      <c r="GHG3" s="179"/>
      <c r="GHH3" s="179"/>
      <c r="GHI3" s="179"/>
      <c r="GHJ3" s="179"/>
      <c r="GHK3" s="179"/>
      <c r="GHL3" s="179"/>
      <c r="GHM3" s="179"/>
      <c r="GHN3" s="179"/>
      <c r="GHO3" s="179"/>
      <c r="GHP3" s="179"/>
      <c r="GHQ3" s="179"/>
      <c r="GHR3" s="179"/>
      <c r="GHS3" s="179"/>
      <c r="GHT3" s="179"/>
      <c r="GHU3" s="179"/>
      <c r="GHV3" s="179"/>
      <c r="GHW3" s="179"/>
      <c r="GHX3" s="179"/>
      <c r="GHY3" s="179"/>
      <c r="GHZ3" s="179"/>
      <c r="GIA3" s="179"/>
      <c r="GIB3" s="179"/>
      <c r="GIC3" s="179"/>
      <c r="GID3" s="179"/>
      <c r="GIE3" s="179"/>
      <c r="GIF3" s="179"/>
      <c r="GIG3" s="179"/>
      <c r="GIH3" s="179"/>
      <c r="GII3" s="179"/>
      <c r="GIJ3" s="179"/>
      <c r="GIK3" s="179"/>
      <c r="GIL3" s="179"/>
      <c r="GIM3" s="179"/>
      <c r="GIN3" s="179"/>
      <c r="GIO3" s="179"/>
      <c r="GIP3" s="179"/>
      <c r="GIQ3" s="179"/>
      <c r="GIR3" s="179"/>
      <c r="GIS3" s="179"/>
      <c r="GIT3" s="179"/>
      <c r="GIU3" s="179"/>
      <c r="GIV3" s="179"/>
      <c r="GIW3" s="179"/>
      <c r="GIX3" s="179"/>
      <c r="GIY3" s="179"/>
      <c r="GIZ3" s="179"/>
      <c r="GJA3" s="179"/>
      <c r="GJB3" s="179"/>
      <c r="GJC3" s="179"/>
      <c r="GJD3" s="179"/>
      <c r="GJE3" s="179"/>
      <c r="GJF3" s="179"/>
      <c r="GJG3" s="179"/>
      <c r="GJH3" s="179"/>
      <c r="GJI3" s="179"/>
      <c r="GJJ3" s="179"/>
      <c r="GJK3" s="179"/>
      <c r="GJL3" s="179"/>
      <c r="GJM3" s="179"/>
      <c r="GJN3" s="179"/>
      <c r="GJO3" s="179"/>
      <c r="GJP3" s="179"/>
      <c r="GJQ3" s="179"/>
      <c r="GJR3" s="179"/>
      <c r="GJS3" s="179"/>
      <c r="GJT3" s="179"/>
      <c r="GJU3" s="179"/>
      <c r="GJV3" s="179"/>
      <c r="GJW3" s="179"/>
      <c r="GJX3" s="179"/>
      <c r="GJY3" s="179"/>
      <c r="GJZ3" s="179"/>
      <c r="GKA3" s="179"/>
      <c r="GKB3" s="179"/>
      <c r="GKC3" s="179"/>
      <c r="GKD3" s="179"/>
      <c r="GKE3" s="179"/>
      <c r="GKF3" s="179"/>
      <c r="GKG3" s="179"/>
      <c r="GKH3" s="179"/>
      <c r="GKI3" s="179"/>
      <c r="GKJ3" s="179"/>
      <c r="GKK3" s="179"/>
      <c r="GKL3" s="179"/>
      <c r="GKM3" s="179"/>
      <c r="GKN3" s="179"/>
      <c r="GKO3" s="179"/>
      <c r="GKP3" s="179"/>
      <c r="GKQ3" s="179"/>
      <c r="GKR3" s="179"/>
      <c r="GKS3" s="179"/>
      <c r="GKT3" s="179"/>
      <c r="GKU3" s="179"/>
      <c r="GKV3" s="179"/>
      <c r="GKW3" s="179"/>
      <c r="GKX3" s="179"/>
      <c r="GKY3" s="179"/>
      <c r="GKZ3" s="179"/>
      <c r="GLA3" s="179"/>
      <c r="GLB3" s="179"/>
      <c r="GLC3" s="179"/>
      <c r="GLD3" s="179"/>
      <c r="GLE3" s="179"/>
      <c r="GLF3" s="179"/>
      <c r="GLG3" s="179"/>
      <c r="GLH3" s="179"/>
      <c r="GLI3" s="179"/>
      <c r="GLJ3" s="179"/>
      <c r="GLK3" s="179"/>
      <c r="GLL3" s="179"/>
      <c r="GLM3" s="179"/>
      <c r="GLN3" s="179"/>
      <c r="GLO3" s="179"/>
      <c r="GLP3" s="179"/>
      <c r="GLQ3" s="179"/>
      <c r="GLR3" s="179"/>
      <c r="GLS3" s="179"/>
      <c r="GLT3" s="179"/>
      <c r="GLU3" s="179"/>
      <c r="GLV3" s="179"/>
      <c r="GLW3" s="179"/>
      <c r="GLX3" s="179"/>
      <c r="GLY3" s="179"/>
      <c r="GLZ3" s="179"/>
      <c r="GMA3" s="179"/>
      <c r="GMB3" s="179"/>
      <c r="GMC3" s="179"/>
      <c r="GMD3" s="179"/>
      <c r="GME3" s="179"/>
      <c r="GMF3" s="179"/>
      <c r="GMG3" s="179"/>
      <c r="GMH3" s="179"/>
      <c r="GMI3" s="179"/>
      <c r="GMJ3" s="179"/>
      <c r="GMK3" s="179"/>
      <c r="GML3" s="179"/>
      <c r="GMM3" s="179"/>
      <c r="GMN3" s="179"/>
      <c r="GMO3" s="179"/>
      <c r="GMP3" s="179"/>
      <c r="GMQ3" s="179"/>
      <c r="GMR3" s="179"/>
      <c r="GMS3" s="179"/>
      <c r="GMT3" s="179"/>
      <c r="GMU3" s="179"/>
      <c r="GMV3" s="179"/>
      <c r="GMW3" s="179"/>
      <c r="GMX3" s="179"/>
      <c r="GMY3" s="179"/>
      <c r="GMZ3" s="179"/>
      <c r="GNA3" s="179"/>
      <c r="GNB3" s="179"/>
      <c r="GNC3" s="179"/>
      <c r="GND3" s="179"/>
      <c r="GNE3" s="179"/>
      <c r="GNF3" s="179"/>
      <c r="GNG3" s="179"/>
      <c r="GNH3" s="179"/>
      <c r="GNI3" s="179"/>
      <c r="GNJ3" s="179"/>
      <c r="GNK3" s="179"/>
      <c r="GNL3" s="179"/>
      <c r="GNM3" s="179"/>
      <c r="GNN3" s="179"/>
      <c r="GNO3" s="179"/>
      <c r="GNP3" s="179"/>
      <c r="GNQ3" s="179"/>
      <c r="GNR3" s="179"/>
      <c r="GNS3" s="179"/>
      <c r="GNT3" s="179"/>
      <c r="GNU3" s="179"/>
      <c r="GNV3" s="179"/>
      <c r="GNW3" s="179"/>
      <c r="GNX3" s="179"/>
      <c r="GNY3" s="179"/>
      <c r="GNZ3" s="179"/>
      <c r="GOA3" s="179"/>
      <c r="GOB3" s="179"/>
      <c r="GOC3" s="179"/>
      <c r="GOD3" s="179"/>
      <c r="GOE3" s="179"/>
      <c r="GOF3" s="179"/>
      <c r="GOG3" s="179"/>
      <c r="GOH3" s="179"/>
      <c r="GOI3" s="179"/>
      <c r="GOJ3" s="179"/>
      <c r="GOK3" s="179"/>
      <c r="GOL3" s="179"/>
      <c r="GOM3" s="179"/>
      <c r="GON3" s="179"/>
      <c r="GOO3" s="179"/>
      <c r="GOP3" s="179"/>
      <c r="GOQ3" s="179"/>
      <c r="GOR3" s="179"/>
      <c r="GOS3" s="179"/>
      <c r="GOT3" s="179"/>
      <c r="GOU3" s="179"/>
      <c r="GOV3" s="179"/>
      <c r="GOW3" s="179"/>
      <c r="GOX3" s="179"/>
      <c r="GOY3" s="179"/>
      <c r="GOZ3" s="179"/>
      <c r="GPA3" s="179"/>
      <c r="GPB3" s="179"/>
      <c r="GPC3" s="179"/>
      <c r="GPD3" s="179"/>
      <c r="GPE3" s="179"/>
      <c r="GPF3" s="179"/>
      <c r="GPG3" s="179"/>
      <c r="GPH3" s="179"/>
      <c r="GPI3" s="179"/>
      <c r="GPJ3" s="179"/>
      <c r="GPK3" s="179"/>
      <c r="GPL3" s="179"/>
      <c r="GPM3" s="179"/>
      <c r="GPN3" s="179"/>
      <c r="GPO3" s="179"/>
      <c r="GPP3" s="179"/>
      <c r="GPQ3" s="179"/>
      <c r="GPR3" s="179"/>
      <c r="GPS3" s="179"/>
      <c r="GPT3" s="179"/>
      <c r="GPU3" s="179"/>
      <c r="GPV3" s="179"/>
      <c r="GPW3" s="179"/>
      <c r="GPX3" s="179"/>
      <c r="GPY3" s="179"/>
      <c r="GPZ3" s="179"/>
      <c r="GQA3" s="179"/>
      <c r="GQB3" s="179"/>
      <c r="GQC3" s="179"/>
      <c r="GQD3" s="179"/>
      <c r="GQE3" s="179"/>
      <c r="GQF3" s="179"/>
      <c r="GQG3" s="179"/>
      <c r="GQH3" s="179"/>
      <c r="GQI3" s="179"/>
      <c r="GQJ3" s="179"/>
      <c r="GQK3" s="179"/>
      <c r="GQL3" s="179"/>
      <c r="GQM3" s="179"/>
      <c r="GQN3" s="179"/>
      <c r="GQO3" s="179"/>
      <c r="GQP3" s="179"/>
      <c r="GQQ3" s="179"/>
      <c r="GQR3" s="179"/>
      <c r="GQS3" s="179"/>
      <c r="GQT3" s="179"/>
      <c r="GQU3" s="179"/>
      <c r="GQV3" s="179"/>
      <c r="GQW3" s="179"/>
      <c r="GQX3" s="179"/>
      <c r="GQY3" s="179"/>
      <c r="GQZ3" s="179"/>
      <c r="GRA3" s="179"/>
      <c r="GRB3" s="179"/>
      <c r="GRC3" s="179"/>
      <c r="GRD3" s="179"/>
      <c r="GRE3" s="179"/>
      <c r="GRF3" s="179"/>
      <c r="GRG3" s="179"/>
      <c r="GRH3" s="179"/>
      <c r="GRI3" s="179"/>
      <c r="GRJ3" s="179"/>
      <c r="GRK3" s="179"/>
      <c r="GRL3" s="179"/>
      <c r="GRM3" s="179"/>
      <c r="GRN3" s="179"/>
      <c r="GRO3" s="179"/>
      <c r="GRP3" s="179"/>
      <c r="GRQ3" s="179"/>
      <c r="GRR3" s="179"/>
      <c r="GRS3" s="179"/>
      <c r="GRT3" s="179"/>
      <c r="GRU3" s="179"/>
      <c r="GRV3" s="179"/>
      <c r="GRW3" s="179"/>
      <c r="GRX3" s="179"/>
      <c r="GRY3" s="179"/>
      <c r="GRZ3" s="179"/>
      <c r="GSA3" s="179"/>
      <c r="GSB3" s="179"/>
      <c r="GSC3" s="179"/>
      <c r="GSD3" s="179"/>
      <c r="GSE3" s="179"/>
      <c r="GSF3" s="179"/>
      <c r="GSG3" s="179"/>
      <c r="GSH3" s="179"/>
      <c r="GSI3" s="179"/>
      <c r="GSJ3" s="179"/>
      <c r="GSK3" s="179"/>
      <c r="GSL3" s="179"/>
      <c r="GSM3" s="179"/>
      <c r="GSN3" s="179"/>
      <c r="GSO3" s="179"/>
      <c r="GSP3" s="179"/>
      <c r="GSQ3" s="179"/>
      <c r="GSR3" s="179"/>
      <c r="GSS3" s="179"/>
      <c r="GST3" s="179"/>
      <c r="GSU3" s="179"/>
      <c r="GSV3" s="179"/>
      <c r="GSW3" s="179"/>
      <c r="GSX3" s="179"/>
      <c r="GSY3" s="179"/>
      <c r="GSZ3" s="179"/>
      <c r="GTA3" s="179"/>
      <c r="GTB3" s="179"/>
      <c r="GTC3" s="179"/>
      <c r="GTD3" s="179"/>
      <c r="GTE3" s="179"/>
      <c r="GTF3" s="179"/>
      <c r="GTG3" s="179"/>
      <c r="GTH3" s="179"/>
      <c r="GTI3" s="179"/>
      <c r="GTJ3" s="179"/>
      <c r="GTK3" s="179"/>
      <c r="GTL3" s="179"/>
      <c r="GTM3" s="179"/>
      <c r="GTN3" s="179"/>
      <c r="GTO3" s="179"/>
      <c r="GTP3" s="179"/>
      <c r="GTQ3" s="179"/>
      <c r="GTR3" s="179"/>
      <c r="GTS3" s="179"/>
      <c r="GTT3" s="179"/>
      <c r="GTU3" s="179"/>
      <c r="GTV3" s="179"/>
      <c r="GTW3" s="179"/>
      <c r="GTX3" s="179"/>
      <c r="GTY3" s="179"/>
      <c r="GTZ3" s="179"/>
      <c r="GUA3" s="179"/>
      <c r="GUB3" s="179"/>
      <c r="GUC3" s="179"/>
      <c r="GUD3" s="179"/>
      <c r="GUE3" s="179"/>
      <c r="GUF3" s="179"/>
      <c r="GUG3" s="179"/>
      <c r="GUH3" s="179"/>
      <c r="GUI3" s="179"/>
      <c r="GUJ3" s="179"/>
      <c r="GUK3" s="179"/>
      <c r="GUL3" s="179"/>
      <c r="GUM3" s="179"/>
      <c r="GUN3" s="179"/>
      <c r="GUO3" s="179"/>
      <c r="GUP3" s="179"/>
      <c r="GUQ3" s="179"/>
      <c r="GUR3" s="179"/>
      <c r="GUS3" s="179"/>
      <c r="GUT3" s="179"/>
      <c r="GUU3" s="179"/>
      <c r="GUV3" s="179"/>
      <c r="GUW3" s="179"/>
      <c r="GUX3" s="179"/>
      <c r="GUY3" s="179"/>
      <c r="GUZ3" s="179"/>
      <c r="GVA3" s="179"/>
      <c r="GVB3" s="179"/>
      <c r="GVC3" s="179"/>
      <c r="GVD3" s="179"/>
      <c r="GVE3" s="179"/>
      <c r="GVF3" s="179"/>
      <c r="GVG3" s="179"/>
      <c r="GVH3" s="179"/>
      <c r="GVI3" s="179"/>
      <c r="GVJ3" s="179"/>
      <c r="GVK3" s="179"/>
      <c r="GVL3" s="179"/>
      <c r="GVM3" s="179"/>
      <c r="GVN3" s="179"/>
      <c r="GVO3" s="179"/>
      <c r="GVP3" s="179"/>
      <c r="GVQ3" s="179"/>
      <c r="GVR3" s="179"/>
      <c r="GVS3" s="179"/>
      <c r="GVT3" s="179"/>
      <c r="GVU3" s="179"/>
      <c r="GVV3" s="179"/>
      <c r="GVW3" s="179"/>
      <c r="GVX3" s="179"/>
      <c r="GVY3" s="179"/>
      <c r="GVZ3" s="179"/>
      <c r="GWA3" s="179"/>
      <c r="GWB3" s="179"/>
      <c r="GWC3" s="179"/>
      <c r="GWD3" s="179"/>
      <c r="GWE3" s="179"/>
      <c r="GWF3" s="179"/>
      <c r="GWG3" s="179"/>
      <c r="GWH3" s="179"/>
      <c r="GWI3" s="179"/>
      <c r="GWJ3" s="179"/>
      <c r="GWK3" s="179"/>
      <c r="GWL3" s="179"/>
      <c r="GWM3" s="179"/>
      <c r="GWN3" s="179"/>
      <c r="GWO3" s="179"/>
      <c r="GWP3" s="179"/>
      <c r="GWQ3" s="179"/>
      <c r="GWR3" s="179"/>
      <c r="GWS3" s="179"/>
      <c r="GWT3" s="179"/>
      <c r="GWU3" s="179"/>
      <c r="GWV3" s="179"/>
      <c r="GWW3" s="179"/>
      <c r="GWX3" s="179"/>
      <c r="GWY3" s="179"/>
      <c r="GWZ3" s="179"/>
      <c r="GXA3" s="179"/>
      <c r="GXB3" s="179"/>
      <c r="GXC3" s="179"/>
      <c r="GXD3" s="179"/>
      <c r="GXE3" s="179"/>
      <c r="GXF3" s="179"/>
      <c r="GXG3" s="179"/>
      <c r="GXH3" s="179"/>
      <c r="GXI3" s="179"/>
      <c r="GXJ3" s="179"/>
      <c r="GXK3" s="179"/>
      <c r="GXL3" s="179"/>
      <c r="GXM3" s="179"/>
      <c r="GXN3" s="179"/>
      <c r="GXO3" s="179"/>
      <c r="GXP3" s="179"/>
      <c r="GXQ3" s="179"/>
      <c r="GXR3" s="179"/>
      <c r="GXS3" s="179"/>
      <c r="GXT3" s="179"/>
      <c r="GXU3" s="179"/>
      <c r="GXV3" s="179"/>
      <c r="GXW3" s="179"/>
      <c r="GXX3" s="179"/>
      <c r="GXY3" s="179"/>
      <c r="GXZ3" s="179"/>
      <c r="GYA3" s="179"/>
      <c r="GYB3" s="179"/>
      <c r="GYC3" s="179"/>
      <c r="GYD3" s="179"/>
      <c r="GYE3" s="179"/>
      <c r="GYF3" s="179"/>
      <c r="GYG3" s="179"/>
      <c r="GYH3" s="179"/>
      <c r="GYI3" s="179"/>
      <c r="GYJ3" s="179"/>
      <c r="GYK3" s="179"/>
      <c r="GYL3" s="179"/>
      <c r="GYM3" s="179"/>
      <c r="GYN3" s="179"/>
      <c r="GYO3" s="179"/>
      <c r="GYP3" s="179"/>
      <c r="GYQ3" s="179"/>
      <c r="GYR3" s="179"/>
      <c r="GYS3" s="179"/>
      <c r="GYT3" s="179"/>
      <c r="GYU3" s="179"/>
      <c r="GYV3" s="179"/>
      <c r="GYW3" s="179"/>
      <c r="GYX3" s="179"/>
      <c r="GYY3" s="179"/>
      <c r="GYZ3" s="179"/>
      <c r="GZA3" s="179"/>
      <c r="GZB3" s="179"/>
      <c r="GZC3" s="179"/>
      <c r="GZD3" s="179"/>
      <c r="GZE3" s="179"/>
      <c r="GZF3" s="179"/>
      <c r="GZG3" s="179"/>
      <c r="GZH3" s="179"/>
      <c r="GZI3" s="179"/>
      <c r="GZJ3" s="179"/>
      <c r="GZK3" s="179"/>
      <c r="GZL3" s="179"/>
      <c r="GZM3" s="179"/>
      <c r="GZN3" s="179"/>
      <c r="GZO3" s="179"/>
      <c r="GZP3" s="179"/>
      <c r="GZQ3" s="179"/>
      <c r="GZR3" s="179"/>
      <c r="GZS3" s="179"/>
      <c r="GZT3" s="179"/>
      <c r="GZU3" s="179"/>
      <c r="GZV3" s="179"/>
      <c r="GZW3" s="179"/>
      <c r="GZX3" s="179"/>
      <c r="GZY3" s="179"/>
      <c r="GZZ3" s="179"/>
      <c r="HAA3" s="179"/>
      <c r="HAB3" s="179"/>
      <c r="HAC3" s="179"/>
      <c r="HAD3" s="179"/>
      <c r="HAE3" s="179"/>
      <c r="HAF3" s="179"/>
      <c r="HAG3" s="179"/>
      <c r="HAH3" s="179"/>
      <c r="HAI3" s="179"/>
      <c r="HAJ3" s="179"/>
      <c r="HAK3" s="179"/>
      <c r="HAL3" s="179"/>
      <c r="HAM3" s="179"/>
      <c r="HAN3" s="179"/>
      <c r="HAO3" s="179"/>
      <c r="HAP3" s="179"/>
      <c r="HAQ3" s="179"/>
      <c r="HAR3" s="179"/>
      <c r="HAS3" s="179"/>
      <c r="HAT3" s="179"/>
      <c r="HAU3" s="179"/>
      <c r="HAV3" s="179"/>
      <c r="HAW3" s="179"/>
      <c r="HAX3" s="179"/>
      <c r="HAY3" s="179"/>
      <c r="HAZ3" s="179"/>
      <c r="HBA3" s="179"/>
      <c r="HBB3" s="179"/>
      <c r="HBC3" s="179"/>
      <c r="HBD3" s="179"/>
      <c r="HBE3" s="179"/>
      <c r="HBF3" s="179"/>
      <c r="HBG3" s="179"/>
      <c r="HBH3" s="179"/>
      <c r="HBI3" s="179"/>
      <c r="HBJ3" s="179"/>
      <c r="HBK3" s="179"/>
      <c r="HBL3" s="179"/>
      <c r="HBM3" s="179"/>
      <c r="HBN3" s="179"/>
      <c r="HBO3" s="179"/>
      <c r="HBP3" s="179"/>
      <c r="HBQ3" s="179"/>
      <c r="HBR3" s="179"/>
      <c r="HBS3" s="179"/>
      <c r="HBT3" s="179"/>
      <c r="HBU3" s="179"/>
      <c r="HBV3" s="179"/>
      <c r="HBW3" s="179"/>
      <c r="HBX3" s="179"/>
      <c r="HBY3" s="179"/>
      <c r="HBZ3" s="179"/>
      <c r="HCA3" s="179"/>
      <c r="HCB3" s="179"/>
      <c r="HCC3" s="179"/>
      <c r="HCD3" s="179"/>
      <c r="HCE3" s="179"/>
      <c r="HCF3" s="179"/>
      <c r="HCG3" s="179"/>
      <c r="HCH3" s="179"/>
      <c r="HCI3" s="179"/>
      <c r="HCJ3" s="179"/>
      <c r="HCK3" s="179"/>
      <c r="HCL3" s="179"/>
      <c r="HCM3" s="179"/>
      <c r="HCN3" s="179"/>
      <c r="HCO3" s="179"/>
      <c r="HCP3" s="179"/>
      <c r="HCQ3" s="179"/>
      <c r="HCR3" s="179"/>
      <c r="HCS3" s="179"/>
      <c r="HCT3" s="179"/>
      <c r="HCU3" s="179"/>
      <c r="HCV3" s="179"/>
      <c r="HCW3" s="179"/>
      <c r="HCX3" s="179"/>
      <c r="HCY3" s="179"/>
      <c r="HCZ3" s="179"/>
      <c r="HDA3" s="179"/>
      <c r="HDB3" s="179"/>
      <c r="HDC3" s="179"/>
      <c r="HDD3" s="179"/>
      <c r="HDE3" s="179"/>
      <c r="HDF3" s="179"/>
      <c r="HDG3" s="179"/>
      <c r="HDH3" s="179"/>
      <c r="HDI3" s="179"/>
      <c r="HDJ3" s="179"/>
      <c r="HDK3" s="179"/>
      <c r="HDL3" s="179"/>
      <c r="HDM3" s="179"/>
      <c r="HDN3" s="179"/>
      <c r="HDO3" s="179"/>
      <c r="HDP3" s="179"/>
      <c r="HDQ3" s="179"/>
      <c r="HDR3" s="179"/>
      <c r="HDS3" s="179"/>
      <c r="HDT3" s="179"/>
      <c r="HDU3" s="179"/>
      <c r="HDV3" s="179"/>
      <c r="HDW3" s="179"/>
      <c r="HDX3" s="179"/>
      <c r="HDY3" s="179"/>
      <c r="HDZ3" s="179"/>
      <c r="HEA3" s="179"/>
      <c r="HEB3" s="179"/>
      <c r="HEC3" s="179"/>
      <c r="HED3" s="179"/>
      <c r="HEE3" s="179"/>
      <c r="HEF3" s="179"/>
      <c r="HEG3" s="179"/>
      <c r="HEH3" s="179"/>
      <c r="HEI3" s="179"/>
      <c r="HEJ3" s="179"/>
      <c r="HEK3" s="179"/>
      <c r="HEL3" s="179"/>
      <c r="HEM3" s="179"/>
      <c r="HEN3" s="179"/>
      <c r="HEO3" s="179"/>
      <c r="HEP3" s="179"/>
      <c r="HEQ3" s="179"/>
      <c r="HER3" s="179"/>
      <c r="HES3" s="179"/>
      <c r="HET3" s="179"/>
      <c r="HEU3" s="179"/>
      <c r="HEV3" s="179"/>
      <c r="HEW3" s="179"/>
      <c r="HEX3" s="179"/>
      <c r="HEY3" s="179"/>
      <c r="HEZ3" s="179"/>
      <c r="HFA3" s="179"/>
      <c r="HFB3" s="179"/>
      <c r="HFC3" s="179"/>
      <c r="HFD3" s="179"/>
      <c r="HFE3" s="179"/>
      <c r="HFF3" s="179"/>
      <c r="HFG3" s="179"/>
      <c r="HFH3" s="179"/>
      <c r="HFI3" s="179"/>
      <c r="HFJ3" s="179"/>
      <c r="HFK3" s="179"/>
      <c r="HFL3" s="179"/>
      <c r="HFM3" s="179"/>
      <c r="HFN3" s="179"/>
      <c r="HFO3" s="179"/>
      <c r="HFP3" s="179"/>
      <c r="HFQ3" s="179"/>
      <c r="HFR3" s="179"/>
      <c r="HFS3" s="179"/>
      <c r="HFT3" s="179"/>
      <c r="HFU3" s="179"/>
      <c r="HFV3" s="179"/>
      <c r="HFW3" s="179"/>
      <c r="HFX3" s="179"/>
      <c r="HFY3" s="179"/>
      <c r="HFZ3" s="179"/>
      <c r="HGA3" s="179"/>
      <c r="HGB3" s="179"/>
      <c r="HGC3" s="179"/>
      <c r="HGD3" s="179"/>
      <c r="HGE3" s="179"/>
      <c r="HGF3" s="179"/>
      <c r="HGG3" s="179"/>
      <c r="HGH3" s="179"/>
      <c r="HGI3" s="179"/>
      <c r="HGJ3" s="179"/>
      <c r="HGK3" s="179"/>
      <c r="HGL3" s="179"/>
      <c r="HGM3" s="179"/>
      <c r="HGN3" s="179"/>
      <c r="HGO3" s="179"/>
      <c r="HGP3" s="179"/>
      <c r="HGQ3" s="179"/>
      <c r="HGR3" s="179"/>
      <c r="HGS3" s="179"/>
      <c r="HGT3" s="179"/>
      <c r="HGU3" s="179"/>
      <c r="HGV3" s="179"/>
      <c r="HGW3" s="179"/>
      <c r="HGX3" s="179"/>
      <c r="HGY3" s="179"/>
      <c r="HGZ3" s="179"/>
      <c r="HHA3" s="179"/>
      <c r="HHB3" s="179"/>
      <c r="HHC3" s="179"/>
      <c r="HHD3" s="179"/>
      <c r="HHE3" s="179"/>
      <c r="HHF3" s="179"/>
      <c r="HHG3" s="179"/>
      <c r="HHH3" s="179"/>
      <c r="HHI3" s="179"/>
      <c r="HHJ3" s="179"/>
      <c r="HHK3" s="179"/>
      <c r="HHL3" s="179"/>
      <c r="HHM3" s="179"/>
      <c r="HHN3" s="179"/>
      <c r="HHO3" s="179"/>
      <c r="HHP3" s="179"/>
      <c r="HHQ3" s="179"/>
      <c r="HHR3" s="179"/>
      <c r="HHS3" s="179"/>
      <c r="HHT3" s="179"/>
      <c r="HHU3" s="179"/>
      <c r="HHV3" s="179"/>
      <c r="HHW3" s="179"/>
      <c r="HHX3" s="179"/>
      <c r="HHY3" s="179"/>
      <c r="HHZ3" s="179"/>
      <c r="HIA3" s="179"/>
      <c r="HIB3" s="179"/>
      <c r="HIC3" s="179"/>
      <c r="HID3" s="179"/>
      <c r="HIE3" s="179"/>
      <c r="HIF3" s="179"/>
      <c r="HIG3" s="179"/>
      <c r="HIH3" s="179"/>
      <c r="HII3" s="179"/>
      <c r="HIJ3" s="179"/>
      <c r="HIK3" s="179"/>
      <c r="HIL3" s="179"/>
      <c r="HIM3" s="179"/>
      <c r="HIN3" s="179"/>
      <c r="HIO3" s="179"/>
      <c r="HIP3" s="179"/>
      <c r="HIQ3" s="179"/>
      <c r="HIR3" s="179"/>
      <c r="HIS3" s="179"/>
      <c r="HIT3" s="179"/>
      <c r="HIU3" s="179"/>
      <c r="HIV3" s="179"/>
      <c r="HIW3" s="179"/>
      <c r="HIX3" s="179"/>
      <c r="HIY3" s="179"/>
      <c r="HIZ3" s="179"/>
      <c r="HJA3" s="179"/>
      <c r="HJB3" s="179"/>
      <c r="HJC3" s="179"/>
      <c r="HJD3" s="179"/>
      <c r="HJE3" s="179"/>
      <c r="HJF3" s="179"/>
      <c r="HJG3" s="179"/>
      <c r="HJH3" s="179"/>
      <c r="HJI3" s="179"/>
      <c r="HJJ3" s="179"/>
      <c r="HJK3" s="179"/>
      <c r="HJL3" s="179"/>
      <c r="HJM3" s="179"/>
      <c r="HJN3" s="179"/>
      <c r="HJO3" s="179"/>
      <c r="HJP3" s="179"/>
      <c r="HJQ3" s="179"/>
      <c r="HJR3" s="179"/>
      <c r="HJS3" s="179"/>
      <c r="HJT3" s="179"/>
      <c r="HJU3" s="179"/>
      <c r="HJV3" s="179"/>
      <c r="HJW3" s="179"/>
      <c r="HJX3" s="179"/>
      <c r="HJY3" s="179"/>
      <c r="HJZ3" s="179"/>
      <c r="HKA3" s="179"/>
      <c r="HKB3" s="179"/>
      <c r="HKC3" s="179"/>
      <c r="HKD3" s="179"/>
      <c r="HKE3" s="179"/>
      <c r="HKF3" s="179"/>
      <c r="HKG3" s="179"/>
      <c r="HKH3" s="179"/>
      <c r="HKI3" s="179"/>
      <c r="HKJ3" s="179"/>
      <c r="HKK3" s="179"/>
      <c r="HKL3" s="179"/>
      <c r="HKM3" s="179"/>
      <c r="HKN3" s="179"/>
      <c r="HKO3" s="179"/>
      <c r="HKP3" s="179"/>
      <c r="HKQ3" s="179"/>
      <c r="HKR3" s="179"/>
      <c r="HKS3" s="179"/>
      <c r="HKT3" s="179"/>
      <c r="HKU3" s="179"/>
      <c r="HKV3" s="179"/>
      <c r="HKW3" s="179"/>
      <c r="HKX3" s="179"/>
      <c r="HKY3" s="179"/>
      <c r="HKZ3" s="179"/>
      <c r="HLA3" s="179"/>
      <c r="HLB3" s="179"/>
      <c r="HLC3" s="179"/>
      <c r="HLD3" s="179"/>
      <c r="HLE3" s="179"/>
      <c r="HLF3" s="179"/>
      <c r="HLG3" s="179"/>
      <c r="HLH3" s="179"/>
      <c r="HLI3" s="179"/>
      <c r="HLJ3" s="179"/>
      <c r="HLK3" s="179"/>
      <c r="HLL3" s="179"/>
      <c r="HLM3" s="179"/>
      <c r="HLN3" s="179"/>
      <c r="HLO3" s="179"/>
      <c r="HLP3" s="179"/>
      <c r="HLQ3" s="179"/>
      <c r="HLR3" s="179"/>
      <c r="HLS3" s="179"/>
      <c r="HLT3" s="179"/>
      <c r="HLU3" s="179"/>
      <c r="HLV3" s="179"/>
      <c r="HLW3" s="179"/>
      <c r="HLX3" s="179"/>
      <c r="HLY3" s="179"/>
      <c r="HLZ3" s="179"/>
      <c r="HMA3" s="179"/>
      <c r="HMB3" s="179"/>
      <c r="HMC3" s="179"/>
      <c r="HMD3" s="179"/>
      <c r="HME3" s="179"/>
      <c r="HMF3" s="179"/>
      <c r="HMG3" s="179"/>
      <c r="HMH3" s="179"/>
      <c r="HMI3" s="179"/>
      <c r="HMJ3" s="179"/>
      <c r="HMK3" s="179"/>
      <c r="HML3" s="179"/>
      <c r="HMM3" s="179"/>
      <c r="HMN3" s="179"/>
      <c r="HMO3" s="179"/>
      <c r="HMP3" s="179"/>
      <c r="HMQ3" s="179"/>
      <c r="HMR3" s="179"/>
      <c r="HMS3" s="179"/>
      <c r="HMT3" s="179"/>
      <c r="HMU3" s="179"/>
      <c r="HMV3" s="179"/>
      <c r="HMW3" s="179"/>
      <c r="HMX3" s="179"/>
      <c r="HMY3" s="179"/>
      <c r="HMZ3" s="179"/>
      <c r="HNA3" s="179"/>
      <c r="HNB3" s="179"/>
      <c r="HNC3" s="179"/>
      <c r="HND3" s="179"/>
      <c r="HNE3" s="179"/>
      <c r="HNF3" s="179"/>
      <c r="HNG3" s="179"/>
      <c r="HNH3" s="179"/>
      <c r="HNI3" s="179"/>
      <c r="HNJ3" s="179"/>
      <c r="HNK3" s="179"/>
      <c r="HNL3" s="179"/>
      <c r="HNM3" s="179"/>
      <c r="HNN3" s="179"/>
      <c r="HNO3" s="179"/>
      <c r="HNP3" s="179"/>
      <c r="HNQ3" s="179"/>
      <c r="HNR3" s="179"/>
      <c r="HNS3" s="179"/>
      <c r="HNT3" s="179"/>
      <c r="HNU3" s="179"/>
      <c r="HNV3" s="179"/>
      <c r="HNW3" s="179"/>
      <c r="HNX3" s="179"/>
      <c r="HNY3" s="179"/>
      <c r="HNZ3" s="179"/>
      <c r="HOA3" s="179"/>
      <c r="HOB3" s="179"/>
      <c r="HOC3" s="179"/>
      <c r="HOD3" s="179"/>
      <c r="HOE3" s="179"/>
      <c r="HOF3" s="179"/>
      <c r="HOG3" s="179"/>
      <c r="HOH3" s="179"/>
      <c r="HOI3" s="179"/>
      <c r="HOJ3" s="179"/>
      <c r="HOK3" s="179"/>
      <c r="HOL3" s="179"/>
      <c r="HOM3" s="179"/>
      <c r="HON3" s="179"/>
      <c r="HOO3" s="179"/>
      <c r="HOP3" s="179"/>
      <c r="HOQ3" s="179"/>
      <c r="HOR3" s="179"/>
      <c r="HOS3" s="179"/>
      <c r="HOT3" s="179"/>
      <c r="HOU3" s="179"/>
      <c r="HOV3" s="179"/>
      <c r="HOW3" s="179"/>
      <c r="HOX3" s="179"/>
      <c r="HOY3" s="179"/>
      <c r="HOZ3" s="179"/>
      <c r="HPA3" s="179"/>
      <c r="HPB3" s="179"/>
      <c r="HPC3" s="179"/>
      <c r="HPD3" s="179"/>
      <c r="HPE3" s="179"/>
      <c r="HPF3" s="179"/>
      <c r="HPG3" s="179"/>
      <c r="HPH3" s="179"/>
      <c r="HPI3" s="179"/>
      <c r="HPJ3" s="179"/>
      <c r="HPK3" s="179"/>
      <c r="HPL3" s="179"/>
      <c r="HPM3" s="179"/>
      <c r="HPN3" s="179"/>
      <c r="HPO3" s="179"/>
      <c r="HPP3" s="179"/>
      <c r="HPQ3" s="179"/>
      <c r="HPR3" s="179"/>
      <c r="HPS3" s="179"/>
      <c r="HPT3" s="179"/>
      <c r="HPU3" s="179"/>
      <c r="HPV3" s="179"/>
      <c r="HPW3" s="179"/>
      <c r="HPX3" s="179"/>
      <c r="HPY3" s="179"/>
      <c r="HPZ3" s="179"/>
      <c r="HQA3" s="179"/>
      <c r="HQB3" s="179"/>
      <c r="HQC3" s="179"/>
      <c r="HQD3" s="179"/>
      <c r="HQE3" s="179"/>
      <c r="HQF3" s="179"/>
      <c r="HQG3" s="179"/>
      <c r="HQH3" s="179"/>
      <c r="HQI3" s="179"/>
      <c r="HQJ3" s="179"/>
      <c r="HQK3" s="179"/>
      <c r="HQL3" s="179"/>
      <c r="HQM3" s="179"/>
      <c r="HQN3" s="179"/>
      <c r="HQO3" s="179"/>
      <c r="HQP3" s="179"/>
      <c r="HQQ3" s="179"/>
      <c r="HQR3" s="179"/>
      <c r="HQS3" s="179"/>
      <c r="HQT3" s="179"/>
      <c r="HQU3" s="179"/>
      <c r="HQV3" s="179"/>
      <c r="HQW3" s="179"/>
      <c r="HQX3" s="179"/>
      <c r="HQY3" s="179"/>
      <c r="HQZ3" s="179"/>
      <c r="HRA3" s="179"/>
      <c r="HRB3" s="179"/>
      <c r="HRC3" s="179"/>
      <c r="HRD3" s="179"/>
      <c r="HRE3" s="179"/>
      <c r="HRF3" s="179"/>
      <c r="HRG3" s="179"/>
      <c r="HRH3" s="179"/>
      <c r="HRI3" s="179"/>
      <c r="HRJ3" s="179"/>
      <c r="HRK3" s="179"/>
      <c r="HRL3" s="179"/>
      <c r="HRM3" s="179"/>
      <c r="HRN3" s="179"/>
      <c r="HRO3" s="179"/>
      <c r="HRP3" s="179"/>
      <c r="HRQ3" s="179"/>
      <c r="HRR3" s="179"/>
      <c r="HRS3" s="179"/>
      <c r="HRT3" s="179"/>
      <c r="HRU3" s="179"/>
      <c r="HRV3" s="179"/>
      <c r="HRW3" s="179"/>
      <c r="HRX3" s="179"/>
      <c r="HRY3" s="179"/>
      <c r="HRZ3" s="179"/>
      <c r="HSA3" s="179"/>
      <c r="HSB3" s="179"/>
      <c r="HSC3" s="179"/>
      <c r="HSD3" s="179"/>
      <c r="HSE3" s="179"/>
      <c r="HSF3" s="179"/>
      <c r="HSG3" s="179"/>
      <c r="HSH3" s="179"/>
      <c r="HSI3" s="179"/>
      <c r="HSJ3" s="179"/>
      <c r="HSK3" s="179"/>
      <c r="HSL3" s="179"/>
      <c r="HSM3" s="179"/>
      <c r="HSN3" s="179"/>
      <c r="HSO3" s="179"/>
      <c r="HSP3" s="179"/>
      <c r="HSQ3" s="179"/>
      <c r="HSR3" s="179"/>
      <c r="HSS3" s="179"/>
      <c r="HST3" s="179"/>
      <c r="HSU3" s="179"/>
      <c r="HSV3" s="179"/>
      <c r="HSW3" s="179"/>
      <c r="HSX3" s="179"/>
      <c r="HSY3" s="179"/>
      <c r="HSZ3" s="179"/>
      <c r="HTA3" s="179"/>
      <c r="HTB3" s="179"/>
      <c r="HTC3" s="179"/>
      <c r="HTD3" s="179"/>
      <c r="HTE3" s="179"/>
      <c r="HTF3" s="179"/>
      <c r="HTG3" s="179"/>
      <c r="HTH3" s="179"/>
      <c r="HTI3" s="179"/>
      <c r="HTJ3" s="179"/>
      <c r="HTK3" s="179"/>
      <c r="HTL3" s="179"/>
      <c r="HTM3" s="179"/>
      <c r="HTN3" s="179"/>
      <c r="HTO3" s="179"/>
      <c r="HTP3" s="179"/>
      <c r="HTQ3" s="179"/>
      <c r="HTR3" s="179"/>
      <c r="HTS3" s="179"/>
      <c r="HTT3" s="179"/>
      <c r="HTU3" s="179"/>
      <c r="HTV3" s="179"/>
      <c r="HTW3" s="179"/>
      <c r="HTX3" s="179"/>
      <c r="HTY3" s="179"/>
      <c r="HTZ3" s="179"/>
      <c r="HUA3" s="179"/>
      <c r="HUB3" s="179"/>
      <c r="HUC3" s="179"/>
      <c r="HUD3" s="179"/>
      <c r="HUE3" s="179"/>
      <c r="HUF3" s="179"/>
      <c r="HUG3" s="179"/>
      <c r="HUH3" s="179"/>
      <c r="HUI3" s="179"/>
      <c r="HUJ3" s="179"/>
      <c r="HUK3" s="179"/>
      <c r="HUL3" s="179"/>
      <c r="HUM3" s="179"/>
      <c r="HUN3" s="179"/>
      <c r="HUO3" s="179"/>
      <c r="HUP3" s="179"/>
      <c r="HUQ3" s="179"/>
      <c r="HUR3" s="179"/>
      <c r="HUS3" s="179"/>
      <c r="HUT3" s="179"/>
      <c r="HUU3" s="179"/>
      <c r="HUV3" s="179"/>
      <c r="HUW3" s="179"/>
      <c r="HUX3" s="179"/>
      <c r="HUY3" s="179"/>
      <c r="HUZ3" s="179"/>
      <c r="HVA3" s="179"/>
      <c r="HVB3" s="179"/>
      <c r="HVC3" s="179"/>
      <c r="HVD3" s="179"/>
      <c r="HVE3" s="179"/>
      <c r="HVF3" s="179"/>
      <c r="HVG3" s="179"/>
      <c r="HVH3" s="179"/>
      <c r="HVI3" s="179"/>
      <c r="HVJ3" s="179"/>
      <c r="HVK3" s="179"/>
      <c r="HVL3" s="179"/>
      <c r="HVM3" s="179"/>
      <c r="HVN3" s="179"/>
      <c r="HVO3" s="179"/>
      <c r="HVP3" s="179"/>
      <c r="HVQ3" s="179"/>
      <c r="HVR3" s="179"/>
      <c r="HVS3" s="179"/>
      <c r="HVT3" s="179"/>
      <c r="HVU3" s="179"/>
      <c r="HVV3" s="179"/>
      <c r="HVW3" s="179"/>
      <c r="HVX3" s="179"/>
      <c r="HVY3" s="179"/>
      <c r="HVZ3" s="179"/>
      <c r="HWA3" s="179"/>
      <c r="HWB3" s="179"/>
      <c r="HWC3" s="179"/>
      <c r="HWD3" s="179"/>
      <c r="HWE3" s="179"/>
      <c r="HWF3" s="179"/>
      <c r="HWG3" s="179"/>
      <c r="HWH3" s="179"/>
      <c r="HWI3" s="179"/>
      <c r="HWJ3" s="179"/>
      <c r="HWK3" s="179"/>
      <c r="HWL3" s="179"/>
      <c r="HWM3" s="179"/>
      <c r="HWN3" s="179"/>
      <c r="HWO3" s="179"/>
      <c r="HWP3" s="179"/>
      <c r="HWQ3" s="179"/>
      <c r="HWR3" s="179"/>
      <c r="HWS3" s="179"/>
      <c r="HWT3" s="179"/>
      <c r="HWU3" s="179"/>
      <c r="HWV3" s="179"/>
      <c r="HWW3" s="179"/>
      <c r="HWX3" s="179"/>
      <c r="HWY3" s="179"/>
      <c r="HWZ3" s="179"/>
      <c r="HXA3" s="179"/>
      <c r="HXB3" s="179"/>
      <c r="HXC3" s="179"/>
      <c r="HXD3" s="179"/>
      <c r="HXE3" s="179"/>
      <c r="HXF3" s="179"/>
      <c r="HXG3" s="179"/>
      <c r="HXH3" s="179"/>
      <c r="HXI3" s="179"/>
      <c r="HXJ3" s="179"/>
      <c r="HXK3" s="179"/>
      <c r="HXL3" s="179"/>
      <c r="HXM3" s="179"/>
      <c r="HXN3" s="179"/>
      <c r="HXO3" s="179"/>
      <c r="HXP3" s="179"/>
      <c r="HXQ3" s="179"/>
      <c r="HXR3" s="179"/>
      <c r="HXS3" s="179"/>
      <c r="HXT3" s="179"/>
      <c r="HXU3" s="179"/>
      <c r="HXV3" s="179"/>
      <c r="HXW3" s="179"/>
      <c r="HXX3" s="179"/>
      <c r="HXY3" s="179"/>
      <c r="HXZ3" s="179"/>
      <c r="HYA3" s="179"/>
      <c r="HYB3" s="179"/>
      <c r="HYC3" s="179"/>
      <c r="HYD3" s="179"/>
      <c r="HYE3" s="179"/>
      <c r="HYF3" s="179"/>
      <c r="HYG3" s="179"/>
      <c r="HYH3" s="179"/>
      <c r="HYI3" s="179"/>
      <c r="HYJ3" s="179"/>
      <c r="HYK3" s="179"/>
      <c r="HYL3" s="179"/>
      <c r="HYM3" s="179"/>
      <c r="HYN3" s="179"/>
      <c r="HYO3" s="179"/>
      <c r="HYP3" s="179"/>
      <c r="HYQ3" s="179"/>
      <c r="HYR3" s="179"/>
      <c r="HYS3" s="179"/>
      <c r="HYT3" s="179"/>
      <c r="HYU3" s="179"/>
      <c r="HYV3" s="179"/>
      <c r="HYW3" s="179"/>
      <c r="HYX3" s="179"/>
      <c r="HYY3" s="179"/>
      <c r="HYZ3" s="179"/>
      <c r="HZA3" s="179"/>
      <c r="HZB3" s="179"/>
      <c r="HZC3" s="179"/>
      <c r="HZD3" s="179"/>
      <c r="HZE3" s="179"/>
      <c r="HZF3" s="179"/>
      <c r="HZG3" s="179"/>
      <c r="HZH3" s="179"/>
      <c r="HZI3" s="179"/>
      <c r="HZJ3" s="179"/>
      <c r="HZK3" s="179"/>
      <c r="HZL3" s="179"/>
      <c r="HZM3" s="179"/>
      <c r="HZN3" s="179"/>
      <c r="HZO3" s="179"/>
      <c r="HZP3" s="179"/>
      <c r="HZQ3" s="179"/>
      <c r="HZR3" s="179"/>
      <c r="HZS3" s="179"/>
      <c r="HZT3" s="179"/>
      <c r="HZU3" s="179"/>
      <c r="HZV3" s="179"/>
      <c r="HZW3" s="179"/>
      <c r="HZX3" s="179"/>
      <c r="HZY3" s="179"/>
      <c r="HZZ3" s="179"/>
      <c r="IAA3" s="179"/>
      <c r="IAB3" s="179"/>
      <c r="IAC3" s="179"/>
      <c r="IAD3" s="179"/>
      <c r="IAE3" s="179"/>
      <c r="IAF3" s="179"/>
      <c r="IAG3" s="179"/>
      <c r="IAH3" s="179"/>
      <c r="IAI3" s="179"/>
      <c r="IAJ3" s="179"/>
      <c r="IAK3" s="179"/>
      <c r="IAL3" s="179"/>
      <c r="IAM3" s="179"/>
      <c r="IAN3" s="179"/>
      <c r="IAO3" s="179"/>
      <c r="IAP3" s="179"/>
      <c r="IAQ3" s="179"/>
      <c r="IAR3" s="179"/>
      <c r="IAS3" s="179"/>
      <c r="IAT3" s="179"/>
      <c r="IAU3" s="179"/>
      <c r="IAV3" s="179"/>
      <c r="IAW3" s="179"/>
      <c r="IAX3" s="179"/>
      <c r="IAY3" s="179"/>
      <c r="IAZ3" s="179"/>
      <c r="IBA3" s="179"/>
      <c r="IBB3" s="179"/>
      <c r="IBC3" s="179"/>
      <c r="IBD3" s="179"/>
      <c r="IBE3" s="179"/>
      <c r="IBF3" s="179"/>
      <c r="IBG3" s="179"/>
      <c r="IBH3" s="179"/>
      <c r="IBI3" s="179"/>
      <c r="IBJ3" s="179"/>
      <c r="IBK3" s="179"/>
      <c r="IBL3" s="179"/>
      <c r="IBM3" s="179"/>
      <c r="IBN3" s="179"/>
      <c r="IBO3" s="179"/>
      <c r="IBP3" s="179"/>
      <c r="IBQ3" s="179"/>
      <c r="IBR3" s="179"/>
      <c r="IBS3" s="179"/>
      <c r="IBT3" s="179"/>
      <c r="IBU3" s="179"/>
      <c r="IBV3" s="179"/>
      <c r="IBW3" s="179"/>
      <c r="IBX3" s="179"/>
      <c r="IBY3" s="179"/>
      <c r="IBZ3" s="179"/>
      <c r="ICA3" s="179"/>
      <c r="ICB3" s="179"/>
      <c r="ICC3" s="179"/>
      <c r="ICD3" s="179"/>
      <c r="ICE3" s="179"/>
      <c r="ICF3" s="179"/>
      <c r="ICG3" s="179"/>
      <c r="ICH3" s="179"/>
      <c r="ICI3" s="179"/>
      <c r="ICJ3" s="179"/>
      <c r="ICK3" s="179"/>
      <c r="ICL3" s="179"/>
      <c r="ICM3" s="179"/>
      <c r="ICN3" s="179"/>
      <c r="ICO3" s="179"/>
      <c r="ICP3" s="179"/>
      <c r="ICQ3" s="179"/>
      <c r="ICR3" s="179"/>
      <c r="ICS3" s="179"/>
      <c r="ICT3" s="179"/>
      <c r="ICU3" s="179"/>
      <c r="ICV3" s="179"/>
      <c r="ICW3" s="179"/>
      <c r="ICX3" s="179"/>
      <c r="ICY3" s="179"/>
      <c r="ICZ3" s="179"/>
      <c r="IDA3" s="179"/>
      <c r="IDB3" s="179"/>
      <c r="IDC3" s="179"/>
      <c r="IDD3" s="179"/>
      <c r="IDE3" s="179"/>
      <c r="IDF3" s="179"/>
      <c r="IDG3" s="179"/>
      <c r="IDH3" s="179"/>
      <c r="IDI3" s="179"/>
      <c r="IDJ3" s="179"/>
      <c r="IDK3" s="179"/>
      <c r="IDL3" s="179"/>
      <c r="IDM3" s="179"/>
      <c r="IDN3" s="179"/>
      <c r="IDO3" s="179"/>
      <c r="IDP3" s="179"/>
      <c r="IDQ3" s="179"/>
      <c r="IDR3" s="179"/>
      <c r="IDS3" s="179"/>
      <c r="IDT3" s="179"/>
      <c r="IDU3" s="179"/>
      <c r="IDV3" s="179"/>
      <c r="IDW3" s="179"/>
      <c r="IDX3" s="179"/>
      <c r="IDY3" s="179"/>
      <c r="IDZ3" s="179"/>
      <c r="IEA3" s="179"/>
      <c r="IEB3" s="179"/>
      <c r="IEC3" s="179"/>
      <c r="IED3" s="179"/>
      <c r="IEE3" s="179"/>
      <c r="IEF3" s="179"/>
      <c r="IEG3" s="179"/>
      <c r="IEH3" s="179"/>
      <c r="IEI3" s="179"/>
      <c r="IEJ3" s="179"/>
      <c r="IEK3" s="179"/>
      <c r="IEL3" s="179"/>
      <c r="IEM3" s="179"/>
      <c r="IEN3" s="179"/>
      <c r="IEO3" s="179"/>
      <c r="IEP3" s="179"/>
      <c r="IEQ3" s="179"/>
      <c r="IER3" s="179"/>
      <c r="IES3" s="179"/>
      <c r="IET3" s="179"/>
      <c r="IEU3" s="179"/>
      <c r="IEV3" s="179"/>
      <c r="IEW3" s="179"/>
      <c r="IEX3" s="179"/>
      <c r="IEY3" s="179"/>
      <c r="IEZ3" s="179"/>
      <c r="IFA3" s="179"/>
      <c r="IFB3" s="179"/>
      <c r="IFC3" s="179"/>
      <c r="IFD3" s="179"/>
      <c r="IFE3" s="179"/>
      <c r="IFF3" s="179"/>
      <c r="IFG3" s="179"/>
      <c r="IFH3" s="179"/>
      <c r="IFI3" s="179"/>
      <c r="IFJ3" s="179"/>
      <c r="IFK3" s="179"/>
      <c r="IFL3" s="179"/>
      <c r="IFM3" s="179"/>
      <c r="IFN3" s="179"/>
      <c r="IFO3" s="179"/>
      <c r="IFP3" s="179"/>
      <c r="IFQ3" s="179"/>
      <c r="IFR3" s="179"/>
      <c r="IFS3" s="179"/>
      <c r="IFT3" s="179"/>
      <c r="IFU3" s="179"/>
      <c r="IFV3" s="179"/>
      <c r="IFW3" s="179"/>
      <c r="IFX3" s="179"/>
      <c r="IFY3" s="179"/>
      <c r="IFZ3" s="179"/>
      <c r="IGA3" s="179"/>
      <c r="IGB3" s="179"/>
      <c r="IGC3" s="179"/>
      <c r="IGD3" s="179"/>
      <c r="IGE3" s="179"/>
      <c r="IGF3" s="179"/>
      <c r="IGG3" s="179"/>
      <c r="IGH3" s="179"/>
      <c r="IGI3" s="179"/>
      <c r="IGJ3" s="179"/>
      <c r="IGK3" s="179"/>
      <c r="IGL3" s="179"/>
      <c r="IGM3" s="179"/>
      <c r="IGN3" s="179"/>
      <c r="IGO3" s="179"/>
      <c r="IGP3" s="179"/>
      <c r="IGQ3" s="179"/>
      <c r="IGR3" s="179"/>
      <c r="IGS3" s="179"/>
      <c r="IGT3" s="179"/>
      <c r="IGU3" s="179"/>
      <c r="IGV3" s="179"/>
      <c r="IGW3" s="179"/>
      <c r="IGX3" s="179"/>
      <c r="IGY3" s="179"/>
      <c r="IGZ3" s="179"/>
      <c r="IHA3" s="179"/>
      <c r="IHB3" s="179"/>
      <c r="IHC3" s="179"/>
      <c r="IHD3" s="179"/>
      <c r="IHE3" s="179"/>
      <c r="IHF3" s="179"/>
      <c r="IHG3" s="179"/>
      <c r="IHH3" s="179"/>
      <c r="IHI3" s="179"/>
      <c r="IHJ3" s="179"/>
      <c r="IHK3" s="179"/>
      <c r="IHL3" s="179"/>
      <c r="IHM3" s="179"/>
      <c r="IHN3" s="179"/>
      <c r="IHO3" s="179"/>
      <c r="IHP3" s="179"/>
      <c r="IHQ3" s="179"/>
      <c r="IHR3" s="179"/>
      <c r="IHS3" s="179"/>
      <c r="IHT3" s="179"/>
      <c r="IHU3" s="179"/>
      <c r="IHV3" s="179"/>
      <c r="IHW3" s="179"/>
      <c r="IHX3" s="179"/>
      <c r="IHY3" s="179"/>
      <c r="IHZ3" s="179"/>
      <c r="IIA3" s="179"/>
      <c r="IIB3" s="179"/>
      <c r="IIC3" s="179"/>
      <c r="IID3" s="179"/>
      <c r="IIE3" s="179"/>
      <c r="IIF3" s="179"/>
      <c r="IIG3" s="179"/>
      <c r="IIH3" s="179"/>
      <c r="III3" s="179"/>
      <c r="IIJ3" s="179"/>
      <c r="IIK3" s="179"/>
      <c r="IIL3" s="179"/>
      <c r="IIM3" s="179"/>
      <c r="IIN3" s="179"/>
      <c r="IIO3" s="179"/>
      <c r="IIP3" s="179"/>
      <c r="IIQ3" s="179"/>
      <c r="IIR3" s="179"/>
      <c r="IIS3" s="179"/>
      <c r="IIT3" s="179"/>
      <c r="IIU3" s="179"/>
      <c r="IIV3" s="179"/>
      <c r="IIW3" s="179"/>
      <c r="IIX3" s="179"/>
      <c r="IIY3" s="179"/>
      <c r="IIZ3" s="179"/>
      <c r="IJA3" s="179"/>
      <c r="IJB3" s="179"/>
      <c r="IJC3" s="179"/>
      <c r="IJD3" s="179"/>
      <c r="IJE3" s="179"/>
      <c r="IJF3" s="179"/>
      <c r="IJG3" s="179"/>
      <c r="IJH3" s="179"/>
      <c r="IJI3" s="179"/>
      <c r="IJJ3" s="179"/>
      <c r="IJK3" s="179"/>
      <c r="IJL3" s="179"/>
      <c r="IJM3" s="179"/>
      <c r="IJN3" s="179"/>
      <c r="IJO3" s="179"/>
      <c r="IJP3" s="179"/>
      <c r="IJQ3" s="179"/>
      <c r="IJR3" s="179"/>
      <c r="IJS3" s="179"/>
      <c r="IJT3" s="179"/>
      <c r="IJU3" s="179"/>
      <c r="IJV3" s="179"/>
      <c r="IJW3" s="179"/>
      <c r="IJX3" s="179"/>
      <c r="IJY3" s="179"/>
      <c r="IJZ3" s="179"/>
      <c r="IKA3" s="179"/>
      <c r="IKB3" s="179"/>
      <c r="IKC3" s="179"/>
      <c r="IKD3" s="179"/>
      <c r="IKE3" s="179"/>
      <c r="IKF3" s="179"/>
      <c r="IKG3" s="179"/>
      <c r="IKH3" s="179"/>
      <c r="IKI3" s="179"/>
      <c r="IKJ3" s="179"/>
      <c r="IKK3" s="179"/>
      <c r="IKL3" s="179"/>
      <c r="IKM3" s="179"/>
      <c r="IKN3" s="179"/>
      <c r="IKO3" s="179"/>
      <c r="IKP3" s="179"/>
      <c r="IKQ3" s="179"/>
      <c r="IKR3" s="179"/>
      <c r="IKS3" s="179"/>
      <c r="IKT3" s="179"/>
      <c r="IKU3" s="179"/>
      <c r="IKV3" s="179"/>
      <c r="IKW3" s="179"/>
      <c r="IKX3" s="179"/>
      <c r="IKY3" s="179"/>
      <c r="IKZ3" s="179"/>
      <c r="ILA3" s="179"/>
      <c r="ILB3" s="179"/>
      <c r="ILC3" s="179"/>
      <c r="ILD3" s="179"/>
      <c r="ILE3" s="179"/>
      <c r="ILF3" s="179"/>
      <c r="ILG3" s="179"/>
      <c r="ILH3" s="179"/>
      <c r="ILI3" s="179"/>
      <c r="ILJ3" s="179"/>
      <c r="ILK3" s="179"/>
      <c r="ILL3" s="179"/>
      <c r="ILM3" s="179"/>
      <c r="ILN3" s="179"/>
      <c r="ILO3" s="179"/>
      <c r="ILP3" s="179"/>
      <c r="ILQ3" s="179"/>
      <c r="ILR3" s="179"/>
      <c r="ILS3" s="179"/>
      <c r="ILT3" s="179"/>
      <c r="ILU3" s="179"/>
      <c r="ILV3" s="179"/>
      <c r="ILW3" s="179"/>
      <c r="ILX3" s="179"/>
      <c r="ILY3" s="179"/>
      <c r="ILZ3" s="179"/>
      <c r="IMA3" s="179"/>
      <c r="IMB3" s="179"/>
      <c r="IMC3" s="179"/>
      <c r="IMD3" s="179"/>
      <c r="IME3" s="179"/>
      <c r="IMF3" s="179"/>
      <c r="IMG3" s="179"/>
      <c r="IMH3" s="179"/>
      <c r="IMI3" s="179"/>
      <c r="IMJ3" s="179"/>
      <c r="IMK3" s="179"/>
      <c r="IML3" s="179"/>
      <c r="IMM3" s="179"/>
      <c r="IMN3" s="179"/>
      <c r="IMO3" s="179"/>
      <c r="IMP3" s="179"/>
      <c r="IMQ3" s="179"/>
      <c r="IMR3" s="179"/>
      <c r="IMS3" s="179"/>
      <c r="IMT3" s="179"/>
      <c r="IMU3" s="179"/>
      <c r="IMV3" s="179"/>
      <c r="IMW3" s="179"/>
      <c r="IMX3" s="179"/>
      <c r="IMY3" s="179"/>
      <c r="IMZ3" s="179"/>
      <c r="INA3" s="179"/>
      <c r="INB3" s="179"/>
      <c r="INC3" s="179"/>
      <c r="IND3" s="179"/>
      <c r="INE3" s="179"/>
      <c r="INF3" s="179"/>
      <c r="ING3" s="179"/>
      <c r="INH3" s="179"/>
      <c r="INI3" s="179"/>
      <c r="INJ3" s="179"/>
      <c r="INK3" s="179"/>
      <c r="INL3" s="179"/>
      <c r="INM3" s="179"/>
      <c r="INN3" s="179"/>
      <c r="INO3" s="179"/>
      <c r="INP3" s="179"/>
      <c r="INQ3" s="179"/>
      <c r="INR3" s="179"/>
      <c r="INS3" s="179"/>
      <c r="INT3" s="179"/>
      <c r="INU3" s="179"/>
      <c r="INV3" s="179"/>
      <c r="INW3" s="179"/>
      <c r="INX3" s="179"/>
      <c r="INY3" s="179"/>
      <c r="INZ3" s="179"/>
      <c r="IOA3" s="179"/>
      <c r="IOB3" s="179"/>
      <c r="IOC3" s="179"/>
      <c r="IOD3" s="179"/>
      <c r="IOE3" s="179"/>
      <c r="IOF3" s="179"/>
      <c r="IOG3" s="179"/>
      <c r="IOH3" s="179"/>
      <c r="IOI3" s="179"/>
      <c r="IOJ3" s="179"/>
      <c r="IOK3" s="179"/>
      <c r="IOL3" s="179"/>
      <c r="IOM3" s="179"/>
      <c r="ION3" s="179"/>
      <c r="IOO3" s="179"/>
      <c r="IOP3" s="179"/>
      <c r="IOQ3" s="179"/>
      <c r="IOR3" s="179"/>
      <c r="IOS3" s="179"/>
      <c r="IOT3" s="179"/>
      <c r="IOU3" s="179"/>
      <c r="IOV3" s="179"/>
      <c r="IOW3" s="179"/>
      <c r="IOX3" s="179"/>
      <c r="IOY3" s="179"/>
      <c r="IOZ3" s="179"/>
      <c r="IPA3" s="179"/>
      <c r="IPB3" s="179"/>
      <c r="IPC3" s="179"/>
      <c r="IPD3" s="179"/>
      <c r="IPE3" s="179"/>
      <c r="IPF3" s="179"/>
      <c r="IPG3" s="179"/>
      <c r="IPH3" s="179"/>
      <c r="IPI3" s="179"/>
      <c r="IPJ3" s="179"/>
      <c r="IPK3" s="179"/>
      <c r="IPL3" s="179"/>
      <c r="IPM3" s="179"/>
      <c r="IPN3" s="179"/>
      <c r="IPO3" s="179"/>
      <c r="IPP3" s="179"/>
      <c r="IPQ3" s="179"/>
      <c r="IPR3" s="179"/>
      <c r="IPS3" s="179"/>
      <c r="IPT3" s="179"/>
      <c r="IPU3" s="179"/>
      <c r="IPV3" s="179"/>
      <c r="IPW3" s="179"/>
      <c r="IPX3" s="179"/>
      <c r="IPY3" s="179"/>
      <c r="IPZ3" s="179"/>
      <c r="IQA3" s="179"/>
      <c r="IQB3" s="179"/>
      <c r="IQC3" s="179"/>
      <c r="IQD3" s="179"/>
      <c r="IQE3" s="179"/>
      <c r="IQF3" s="179"/>
      <c r="IQG3" s="179"/>
      <c r="IQH3" s="179"/>
      <c r="IQI3" s="179"/>
      <c r="IQJ3" s="179"/>
      <c r="IQK3" s="179"/>
      <c r="IQL3" s="179"/>
      <c r="IQM3" s="179"/>
      <c r="IQN3" s="179"/>
      <c r="IQO3" s="179"/>
      <c r="IQP3" s="179"/>
      <c r="IQQ3" s="179"/>
      <c r="IQR3" s="179"/>
      <c r="IQS3" s="179"/>
      <c r="IQT3" s="179"/>
      <c r="IQU3" s="179"/>
      <c r="IQV3" s="179"/>
      <c r="IQW3" s="179"/>
      <c r="IQX3" s="179"/>
      <c r="IQY3" s="179"/>
      <c r="IQZ3" s="179"/>
      <c r="IRA3" s="179"/>
      <c r="IRB3" s="179"/>
      <c r="IRC3" s="179"/>
      <c r="IRD3" s="179"/>
      <c r="IRE3" s="179"/>
      <c r="IRF3" s="179"/>
      <c r="IRG3" s="179"/>
      <c r="IRH3" s="179"/>
      <c r="IRI3" s="179"/>
      <c r="IRJ3" s="179"/>
      <c r="IRK3" s="179"/>
      <c r="IRL3" s="179"/>
      <c r="IRM3" s="179"/>
      <c r="IRN3" s="179"/>
      <c r="IRO3" s="179"/>
      <c r="IRP3" s="179"/>
      <c r="IRQ3" s="179"/>
      <c r="IRR3" s="179"/>
      <c r="IRS3" s="179"/>
      <c r="IRT3" s="179"/>
      <c r="IRU3" s="179"/>
      <c r="IRV3" s="179"/>
      <c r="IRW3" s="179"/>
      <c r="IRX3" s="179"/>
      <c r="IRY3" s="179"/>
      <c r="IRZ3" s="179"/>
      <c r="ISA3" s="179"/>
      <c r="ISB3" s="179"/>
      <c r="ISC3" s="179"/>
      <c r="ISD3" s="179"/>
      <c r="ISE3" s="179"/>
      <c r="ISF3" s="179"/>
      <c r="ISG3" s="179"/>
      <c r="ISH3" s="179"/>
      <c r="ISI3" s="179"/>
      <c r="ISJ3" s="179"/>
      <c r="ISK3" s="179"/>
      <c r="ISL3" s="179"/>
      <c r="ISM3" s="179"/>
      <c r="ISN3" s="179"/>
      <c r="ISO3" s="179"/>
      <c r="ISP3" s="179"/>
      <c r="ISQ3" s="179"/>
      <c r="ISR3" s="179"/>
      <c r="ISS3" s="179"/>
      <c r="IST3" s="179"/>
      <c r="ISU3" s="179"/>
      <c r="ISV3" s="179"/>
      <c r="ISW3" s="179"/>
      <c r="ISX3" s="179"/>
      <c r="ISY3" s="179"/>
      <c r="ISZ3" s="179"/>
      <c r="ITA3" s="179"/>
      <c r="ITB3" s="179"/>
      <c r="ITC3" s="179"/>
      <c r="ITD3" s="179"/>
      <c r="ITE3" s="179"/>
      <c r="ITF3" s="179"/>
      <c r="ITG3" s="179"/>
      <c r="ITH3" s="179"/>
      <c r="ITI3" s="179"/>
      <c r="ITJ3" s="179"/>
      <c r="ITK3" s="179"/>
      <c r="ITL3" s="179"/>
      <c r="ITM3" s="179"/>
      <c r="ITN3" s="179"/>
      <c r="ITO3" s="179"/>
      <c r="ITP3" s="179"/>
      <c r="ITQ3" s="179"/>
      <c r="ITR3" s="179"/>
      <c r="ITS3" s="179"/>
      <c r="ITT3" s="179"/>
      <c r="ITU3" s="179"/>
      <c r="ITV3" s="179"/>
      <c r="ITW3" s="179"/>
      <c r="ITX3" s="179"/>
      <c r="ITY3" s="179"/>
      <c r="ITZ3" s="179"/>
      <c r="IUA3" s="179"/>
      <c r="IUB3" s="179"/>
      <c r="IUC3" s="179"/>
      <c r="IUD3" s="179"/>
      <c r="IUE3" s="179"/>
      <c r="IUF3" s="179"/>
      <c r="IUG3" s="179"/>
      <c r="IUH3" s="179"/>
      <c r="IUI3" s="179"/>
      <c r="IUJ3" s="179"/>
      <c r="IUK3" s="179"/>
      <c r="IUL3" s="179"/>
      <c r="IUM3" s="179"/>
      <c r="IUN3" s="179"/>
      <c r="IUO3" s="179"/>
      <c r="IUP3" s="179"/>
      <c r="IUQ3" s="179"/>
      <c r="IUR3" s="179"/>
      <c r="IUS3" s="179"/>
      <c r="IUT3" s="179"/>
      <c r="IUU3" s="179"/>
      <c r="IUV3" s="179"/>
      <c r="IUW3" s="179"/>
      <c r="IUX3" s="179"/>
      <c r="IUY3" s="179"/>
      <c r="IUZ3" s="179"/>
      <c r="IVA3" s="179"/>
      <c r="IVB3" s="179"/>
      <c r="IVC3" s="179"/>
      <c r="IVD3" s="179"/>
      <c r="IVE3" s="179"/>
      <c r="IVF3" s="179"/>
      <c r="IVG3" s="179"/>
      <c r="IVH3" s="179"/>
      <c r="IVI3" s="179"/>
      <c r="IVJ3" s="179"/>
      <c r="IVK3" s="179"/>
      <c r="IVL3" s="179"/>
      <c r="IVM3" s="179"/>
      <c r="IVN3" s="179"/>
      <c r="IVO3" s="179"/>
      <c r="IVP3" s="179"/>
      <c r="IVQ3" s="179"/>
      <c r="IVR3" s="179"/>
      <c r="IVS3" s="179"/>
      <c r="IVT3" s="179"/>
      <c r="IVU3" s="179"/>
      <c r="IVV3" s="179"/>
      <c r="IVW3" s="179"/>
      <c r="IVX3" s="179"/>
      <c r="IVY3" s="179"/>
      <c r="IVZ3" s="179"/>
      <c r="IWA3" s="179"/>
      <c r="IWB3" s="179"/>
      <c r="IWC3" s="179"/>
      <c r="IWD3" s="179"/>
      <c r="IWE3" s="179"/>
      <c r="IWF3" s="179"/>
      <c r="IWG3" s="179"/>
      <c r="IWH3" s="179"/>
      <c r="IWI3" s="179"/>
      <c r="IWJ3" s="179"/>
      <c r="IWK3" s="179"/>
      <c r="IWL3" s="179"/>
      <c r="IWM3" s="179"/>
      <c r="IWN3" s="179"/>
      <c r="IWO3" s="179"/>
      <c r="IWP3" s="179"/>
      <c r="IWQ3" s="179"/>
      <c r="IWR3" s="179"/>
      <c r="IWS3" s="179"/>
      <c r="IWT3" s="179"/>
      <c r="IWU3" s="179"/>
      <c r="IWV3" s="179"/>
      <c r="IWW3" s="179"/>
      <c r="IWX3" s="179"/>
      <c r="IWY3" s="179"/>
      <c r="IWZ3" s="179"/>
      <c r="IXA3" s="179"/>
      <c r="IXB3" s="179"/>
      <c r="IXC3" s="179"/>
      <c r="IXD3" s="179"/>
      <c r="IXE3" s="179"/>
      <c r="IXF3" s="179"/>
      <c r="IXG3" s="179"/>
      <c r="IXH3" s="179"/>
      <c r="IXI3" s="179"/>
      <c r="IXJ3" s="179"/>
      <c r="IXK3" s="179"/>
      <c r="IXL3" s="179"/>
      <c r="IXM3" s="179"/>
      <c r="IXN3" s="179"/>
      <c r="IXO3" s="179"/>
      <c r="IXP3" s="179"/>
      <c r="IXQ3" s="179"/>
      <c r="IXR3" s="179"/>
      <c r="IXS3" s="179"/>
      <c r="IXT3" s="179"/>
      <c r="IXU3" s="179"/>
      <c r="IXV3" s="179"/>
      <c r="IXW3" s="179"/>
      <c r="IXX3" s="179"/>
      <c r="IXY3" s="179"/>
      <c r="IXZ3" s="179"/>
      <c r="IYA3" s="179"/>
      <c r="IYB3" s="179"/>
      <c r="IYC3" s="179"/>
      <c r="IYD3" s="179"/>
      <c r="IYE3" s="179"/>
      <c r="IYF3" s="179"/>
      <c r="IYG3" s="179"/>
      <c r="IYH3" s="179"/>
      <c r="IYI3" s="179"/>
      <c r="IYJ3" s="179"/>
      <c r="IYK3" s="179"/>
      <c r="IYL3" s="179"/>
      <c r="IYM3" s="179"/>
      <c r="IYN3" s="179"/>
      <c r="IYO3" s="179"/>
      <c r="IYP3" s="179"/>
      <c r="IYQ3" s="179"/>
      <c r="IYR3" s="179"/>
      <c r="IYS3" s="179"/>
      <c r="IYT3" s="179"/>
      <c r="IYU3" s="179"/>
      <c r="IYV3" s="179"/>
      <c r="IYW3" s="179"/>
      <c r="IYX3" s="179"/>
      <c r="IYY3" s="179"/>
      <c r="IYZ3" s="179"/>
      <c r="IZA3" s="179"/>
      <c r="IZB3" s="179"/>
      <c r="IZC3" s="179"/>
      <c r="IZD3" s="179"/>
      <c r="IZE3" s="179"/>
      <c r="IZF3" s="179"/>
      <c r="IZG3" s="179"/>
      <c r="IZH3" s="179"/>
      <c r="IZI3" s="179"/>
      <c r="IZJ3" s="179"/>
      <c r="IZK3" s="179"/>
      <c r="IZL3" s="179"/>
      <c r="IZM3" s="179"/>
      <c r="IZN3" s="179"/>
      <c r="IZO3" s="179"/>
      <c r="IZP3" s="179"/>
      <c r="IZQ3" s="179"/>
      <c r="IZR3" s="179"/>
      <c r="IZS3" s="179"/>
      <c r="IZT3" s="179"/>
      <c r="IZU3" s="179"/>
      <c r="IZV3" s="179"/>
      <c r="IZW3" s="179"/>
      <c r="IZX3" s="179"/>
      <c r="IZY3" s="179"/>
      <c r="IZZ3" s="179"/>
      <c r="JAA3" s="179"/>
      <c r="JAB3" s="179"/>
      <c r="JAC3" s="179"/>
      <c r="JAD3" s="179"/>
      <c r="JAE3" s="179"/>
      <c r="JAF3" s="179"/>
      <c r="JAG3" s="179"/>
      <c r="JAH3" s="179"/>
      <c r="JAI3" s="179"/>
      <c r="JAJ3" s="179"/>
      <c r="JAK3" s="179"/>
      <c r="JAL3" s="179"/>
      <c r="JAM3" s="179"/>
      <c r="JAN3" s="179"/>
      <c r="JAO3" s="179"/>
      <c r="JAP3" s="179"/>
      <c r="JAQ3" s="179"/>
      <c r="JAR3" s="179"/>
      <c r="JAS3" s="179"/>
      <c r="JAT3" s="179"/>
      <c r="JAU3" s="179"/>
      <c r="JAV3" s="179"/>
      <c r="JAW3" s="179"/>
      <c r="JAX3" s="179"/>
      <c r="JAY3" s="179"/>
      <c r="JAZ3" s="179"/>
      <c r="JBA3" s="179"/>
      <c r="JBB3" s="179"/>
      <c r="JBC3" s="179"/>
      <c r="JBD3" s="179"/>
      <c r="JBE3" s="179"/>
      <c r="JBF3" s="179"/>
      <c r="JBG3" s="179"/>
      <c r="JBH3" s="179"/>
      <c r="JBI3" s="179"/>
      <c r="JBJ3" s="179"/>
      <c r="JBK3" s="179"/>
      <c r="JBL3" s="179"/>
      <c r="JBM3" s="179"/>
      <c r="JBN3" s="179"/>
      <c r="JBO3" s="179"/>
      <c r="JBP3" s="179"/>
      <c r="JBQ3" s="179"/>
      <c r="JBR3" s="179"/>
      <c r="JBS3" s="179"/>
      <c r="JBT3" s="179"/>
      <c r="JBU3" s="179"/>
      <c r="JBV3" s="179"/>
      <c r="JBW3" s="179"/>
      <c r="JBX3" s="179"/>
      <c r="JBY3" s="179"/>
      <c r="JBZ3" s="179"/>
      <c r="JCA3" s="179"/>
      <c r="JCB3" s="179"/>
      <c r="JCC3" s="179"/>
      <c r="JCD3" s="179"/>
      <c r="JCE3" s="179"/>
      <c r="JCF3" s="179"/>
      <c r="JCG3" s="179"/>
      <c r="JCH3" s="179"/>
      <c r="JCI3" s="179"/>
      <c r="JCJ3" s="179"/>
      <c r="JCK3" s="179"/>
      <c r="JCL3" s="179"/>
      <c r="JCM3" s="179"/>
      <c r="JCN3" s="179"/>
      <c r="JCO3" s="179"/>
      <c r="JCP3" s="179"/>
      <c r="JCQ3" s="179"/>
      <c r="JCR3" s="179"/>
      <c r="JCS3" s="179"/>
      <c r="JCT3" s="179"/>
      <c r="JCU3" s="179"/>
      <c r="JCV3" s="179"/>
      <c r="JCW3" s="179"/>
      <c r="JCX3" s="179"/>
      <c r="JCY3" s="179"/>
      <c r="JCZ3" s="179"/>
      <c r="JDA3" s="179"/>
      <c r="JDB3" s="179"/>
      <c r="JDC3" s="179"/>
      <c r="JDD3" s="179"/>
      <c r="JDE3" s="179"/>
      <c r="JDF3" s="179"/>
      <c r="JDG3" s="179"/>
      <c r="JDH3" s="179"/>
      <c r="JDI3" s="179"/>
      <c r="JDJ3" s="179"/>
      <c r="JDK3" s="179"/>
      <c r="JDL3" s="179"/>
      <c r="JDM3" s="179"/>
      <c r="JDN3" s="179"/>
      <c r="JDO3" s="179"/>
      <c r="JDP3" s="179"/>
      <c r="JDQ3" s="179"/>
      <c r="JDR3" s="179"/>
      <c r="JDS3" s="179"/>
      <c r="JDT3" s="179"/>
      <c r="JDU3" s="179"/>
      <c r="JDV3" s="179"/>
      <c r="JDW3" s="179"/>
      <c r="JDX3" s="179"/>
      <c r="JDY3" s="179"/>
      <c r="JDZ3" s="179"/>
      <c r="JEA3" s="179"/>
      <c r="JEB3" s="179"/>
      <c r="JEC3" s="179"/>
      <c r="JED3" s="179"/>
      <c r="JEE3" s="179"/>
      <c r="JEF3" s="179"/>
      <c r="JEG3" s="179"/>
      <c r="JEH3" s="179"/>
      <c r="JEI3" s="179"/>
      <c r="JEJ3" s="179"/>
      <c r="JEK3" s="179"/>
      <c r="JEL3" s="179"/>
      <c r="JEM3" s="179"/>
      <c r="JEN3" s="179"/>
      <c r="JEO3" s="179"/>
      <c r="JEP3" s="179"/>
      <c r="JEQ3" s="179"/>
      <c r="JER3" s="179"/>
      <c r="JES3" s="179"/>
      <c r="JET3" s="179"/>
      <c r="JEU3" s="179"/>
      <c r="JEV3" s="179"/>
      <c r="JEW3" s="179"/>
      <c r="JEX3" s="179"/>
      <c r="JEY3" s="179"/>
      <c r="JEZ3" s="179"/>
      <c r="JFA3" s="179"/>
      <c r="JFB3" s="179"/>
      <c r="JFC3" s="179"/>
      <c r="JFD3" s="179"/>
      <c r="JFE3" s="179"/>
      <c r="JFF3" s="179"/>
      <c r="JFG3" s="179"/>
      <c r="JFH3" s="179"/>
      <c r="JFI3" s="179"/>
      <c r="JFJ3" s="179"/>
      <c r="JFK3" s="179"/>
      <c r="JFL3" s="179"/>
      <c r="JFM3" s="179"/>
      <c r="JFN3" s="179"/>
      <c r="JFO3" s="179"/>
      <c r="JFP3" s="179"/>
      <c r="JFQ3" s="179"/>
      <c r="JFR3" s="179"/>
      <c r="JFS3" s="179"/>
      <c r="JFT3" s="179"/>
      <c r="JFU3" s="179"/>
      <c r="JFV3" s="179"/>
      <c r="JFW3" s="179"/>
      <c r="JFX3" s="179"/>
      <c r="JFY3" s="179"/>
      <c r="JFZ3" s="179"/>
      <c r="JGA3" s="179"/>
      <c r="JGB3" s="179"/>
      <c r="JGC3" s="179"/>
      <c r="JGD3" s="179"/>
      <c r="JGE3" s="179"/>
      <c r="JGF3" s="179"/>
      <c r="JGG3" s="179"/>
      <c r="JGH3" s="179"/>
      <c r="JGI3" s="179"/>
      <c r="JGJ3" s="179"/>
      <c r="JGK3" s="179"/>
      <c r="JGL3" s="179"/>
      <c r="JGM3" s="179"/>
      <c r="JGN3" s="179"/>
      <c r="JGO3" s="179"/>
      <c r="JGP3" s="179"/>
      <c r="JGQ3" s="179"/>
      <c r="JGR3" s="179"/>
      <c r="JGS3" s="179"/>
      <c r="JGT3" s="179"/>
      <c r="JGU3" s="179"/>
      <c r="JGV3" s="179"/>
      <c r="JGW3" s="179"/>
      <c r="JGX3" s="179"/>
      <c r="JGY3" s="179"/>
      <c r="JGZ3" s="179"/>
      <c r="JHA3" s="179"/>
      <c r="JHB3" s="179"/>
      <c r="JHC3" s="179"/>
      <c r="JHD3" s="179"/>
      <c r="JHE3" s="179"/>
      <c r="JHF3" s="179"/>
      <c r="JHG3" s="179"/>
      <c r="JHH3" s="179"/>
      <c r="JHI3" s="179"/>
      <c r="JHJ3" s="179"/>
      <c r="JHK3" s="179"/>
      <c r="JHL3" s="179"/>
      <c r="JHM3" s="179"/>
      <c r="JHN3" s="179"/>
      <c r="JHO3" s="179"/>
      <c r="JHP3" s="179"/>
      <c r="JHQ3" s="179"/>
      <c r="JHR3" s="179"/>
      <c r="JHS3" s="179"/>
      <c r="JHT3" s="179"/>
      <c r="JHU3" s="179"/>
      <c r="JHV3" s="179"/>
      <c r="JHW3" s="179"/>
      <c r="JHX3" s="179"/>
      <c r="JHY3" s="179"/>
      <c r="JHZ3" s="179"/>
      <c r="JIA3" s="179"/>
      <c r="JIB3" s="179"/>
      <c r="JIC3" s="179"/>
      <c r="JID3" s="179"/>
      <c r="JIE3" s="179"/>
      <c r="JIF3" s="179"/>
      <c r="JIG3" s="179"/>
      <c r="JIH3" s="179"/>
      <c r="JII3" s="179"/>
      <c r="JIJ3" s="179"/>
      <c r="JIK3" s="179"/>
      <c r="JIL3" s="179"/>
      <c r="JIM3" s="179"/>
      <c r="JIN3" s="179"/>
      <c r="JIO3" s="179"/>
      <c r="JIP3" s="179"/>
      <c r="JIQ3" s="179"/>
      <c r="JIR3" s="179"/>
      <c r="JIS3" s="179"/>
      <c r="JIT3" s="179"/>
      <c r="JIU3" s="179"/>
      <c r="JIV3" s="179"/>
      <c r="JIW3" s="179"/>
      <c r="JIX3" s="179"/>
      <c r="JIY3" s="179"/>
      <c r="JIZ3" s="179"/>
      <c r="JJA3" s="179"/>
      <c r="JJB3" s="179"/>
      <c r="JJC3" s="179"/>
      <c r="JJD3" s="179"/>
      <c r="JJE3" s="179"/>
      <c r="JJF3" s="179"/>
      <c r="JJG3" s="179"/>
      <c r="JJH3" s="179"/>
      <c r="JJI3" s="179"/>
      <c r="JJJ3" s="179"/>
      <c r="JJK3" s="179"/>
      <c r="JJL3" s="179"/>
      <c r="JJM3" s="179"/>
      <c r="JJN3" s="179"/>
      <c r="JJO3" s="179"/>
      <c r="JJP3" s="179"/>
      <c r="JJQ3" s="179"/>
      <c r="JJR3" s="179"/>
      <c r="JJS3" s="179"/>
      <c r="JJT3" s="179"/>
      <c r="JJU3" s="179"/>
      <c r="JJV3" s="179"/>
      <c r="JJW3" s="179"/>
      <c r="JJX3" s="179"/>
      <c r="JJY3" s="179"/>
      <c r="JJZ3" s="179"/>
      <c r="JKA3" s="179"/>
      <c r="JKB3" s="179"/>
      <c r="JKC3" s="179"/>
      <c r="JKD3" s="179"/>
      <c r="JKE3" s="179"/>
      <c r="JKF3" s="179"/>
      <c r="JKG3" s="179"/>
      <c r="JKH3" s="179"/>
      <c r="JKI3" s="179"/>
      <c r="JKJ3" s="179"/>
      <c r="JKK3" s="179"/>
      <c r="JKL3" s="179"/>
      <c r="JKM3" s="179"/>
      <c r="JKN3" s="179"/>
      <c r="JKO3" s="179"/>
      <c r="JKP3" s="179"/>
      <c r="JKQ3" s="179"/>
      <c r="JKR3" s="179"/>
      <c r="JKS3" s="179"/>
      <c r="JKT3" s="179"/>
      <c r="JKU3" s="179"/>
      <c r="JKV3" s="179"/>
      <c r="JKW3" s="179"/>
      <c r="JKX3" s="179"/>
      <c r="JKY3" s="179"/>
      <c r="JKZ3" s="179"/>
      <c r="JLA3" s="179"/>
      <c r="JLB3" s="179"/>
      <c r="JLC3" s="179"/>
      <c r="JLD3" s="179"/>
      <c r="JLE3" s="179"/>
      <c r="JLF3" s="179"/>
      <c r="JLG3" s="179"/>
      <c r="JLH3" s="179"/>
      <c r="JLI3" s="179"/>
      <c r="JLJ3" s="179"/>
      <c r="JLK3" s="179"/>
      <c r="JLL3" s="179"/>
      <c r="JLM3" s="179"/>
      <c r="JLN3" s="179"/>
      <c r="JLO3" s="179"/>
      <c r="JLP3" s="179"/>
      <c r="JLQ3" s="179"/>
      <c r="JLR3" s="179"/>
      <c r="JLS3" s="179"/>
      <c r="JLT3" s="179"/>
      <c r="JLU3" s="179"/>
      <c r="JLV3" s="179"/>
      <c r="JLW3" s="179"/>
      <c r="JLX3" s="179"/>
      <c r="JLY3" s="179"/>
      <c r="JLZ3" s="179"/>
      <c r="JMA3" s="179"/>
      <c r="JMB3" s="179"/>
      <c r="JMC3" s="179"/>
      <c r="JMD3" s="179"/>
      <c r="JME3" s="179"/>
      <c r="JMF3" s="179"/>
      <c r="JMG3" s="179"/>
      <c r="JMH3" s="179"/>
      <c r="JMI3" s="179"/>
      <c r="JMJ3" s="179"/>
      <c r="JMK3" s="179"/>
      <c r="JML3" s="179"/>
      <c r="JMM3" s="179"/>
      <c r="JMN3" s="179"/>
      <c r="JMO3" s="179"/>
      <c r="JMP3" s="179"/>
      <c r="JMQ3" s="179"/>
      <c r="JMR3" s="179"/>
      <c r="JMS3" s="179"/>
      <c r="JMT3" s="179"/>
      <c r="JMU3" s="179"/>
      <c r="JMV3" s="179"/>
      <c r="JMW3" s="179"/>
      <c r="JMX3" s="179"/>
      <c r="JMY3" s="179"/>
      <c r="JMZ3" s="179"/>
      <c r="JNA3" s="179"/>
      <c r="JNB3" s="179"/>
      <c r="JNC3" s="179"/>
      <c r="JND3" s="179"/>
      <c r="JNE3" s="179"/>
      <c r="JNF3" s="179"/>
      <c r="JNG3" s="179"/>
      <c r="JNH3" s="179"/>
      <c r="JNI3" s="179"/>
      <c r="JNJ3" s="179"/>
      <c r="JNK3" s="179"/>
      <c r="JNL3" s="179"/>
      <c r="JNM3" s="179"/>
      <c r="JNN3" s="179"/>
      <c r="JNO3" s="179"/>
      <c r="JNP3" s="179"/>
      <c r="JNQ3" s="179"/>
      <c r="JNR3" s="179"/>
      <c r="JNS3" s="179"/>
      <c r="JNT3" s="179"/>
      <c r="JNU3" s="179"/>
      <c r="JNV3" s="179"/>
      <c r="JNW3" s="179"/>
      <c r="JNX3" s="179"/>
      <c r="JNY3" s="179"/>
      <c r="JNZ3" s="179"/>
      <c r="JOA3" s="179"/>
      <c r="JOB3" s="179"/>
      <c r="JOC3" s="179"/>
      <c r="JOD3" s="179"/>
      <c r="JOE3" s="179"/>
      <c r="JOF3" s="179"/>
      <c r="JOG3" s="179"/>
      <c r="JOH3" s="179"/>
      <c r="JOI3" s="179"/>
      <c r="JOJ3" s="179"/>
      <c r="JOK3" s="179"/>
      <c r="JOL3" s="179"/>
      <c r="JOM3" s="179"/>
      <c r="JON3" s="179"/>
      <c r="JOO3" s="179"/>
      <c r="JOP3" s="179"/>
      <c r="JOQ3" s="179"/>
      <c r="JOR3" s="179"/>
      <c r="JOS3" s="179"/>
      <c r="JOT3" s="179"/>
      <c r="JOU3" s="179"/>
      <c r="JOV3" s="179"/>
      <c r="JOW3" s="179"/>
      <c r="JOX3" s="179"/>
      <c r="JOY3" s="179"/>
      <c r="JOZ3" s="179"/>
      <c r="JPA3" s="179"/>
      <c r="JPB3" s="179"/>
      <c r="JPC3" s="179"/>
      <c r="JPD3" s="179"/>
      <c r="JPE3" s="179"/>
      <c r="JPF3" s="179"/>
      <c r="JPG3" s="179"/>
      <c r="JPH3" s="179"/>
      <c r="JPI3" s="179"/>
      <c r="JPJ3" s="179"/>
      <c r="JPK3" s="179"/>
      <c r="JPL3" s="179"/>
      <c r="JPM3" s="179"/>
      <c r="JPN3" s="179"/>
      <c r="JPO3" s="179"/>
      <c r="JPP3" s="179"/>
      <c r="JPQ3" s="179"/>
      <c r="JPR3" s="179"/>
      <c r="JPS3" s="179"/>
      <c r="JPT3" s="179"/>
      <c r="JPU3" s="179"/>
      <c r="JPV3" s="179"/>
      <c r="JPW3" s="179"/>
      <c r="JPX3" s="179"/>
      <c r="JPY3" s="179"/>
      <c r="JPZ3" s="179"/>
      <c r="JQA3" s="179"/>
      <c r="JQB3" s="179"/>
      <c r="JQC3" s="179"/>
      <c r="JQD3" s="179"/>
      <c r="JQE3" s="179"/>
      <c r="JQF3" s="179"/>
      <c r="JQG3" s="179"/>
      <c r="JQH3" s="179"/>
      <c r="JQI3" s="179"/>
      <c r="JQJ3" s="179"/>
      <c r="JQK3" s="179"/>
      <c r="JQL3" s="179"/>
      <c r="JQM3" s="179"/>
      <c r="JQN3" s="179"/>
      <c r="JQO3" s="179"/>
      <c r="JQP3" s="179"/>
      <c r="JQQ3" s="179"/>
      <c r="JQR3" s="179"/>
      <c r="JQS3" s="179"/>
      <c r="JQT3" s="179"/>
      <c r="JQU3" s="179"/>
      <c r="JQV3" s="179"/>
      <c r="JQW3" s="179"/>
      <c r="JQX3" s="179"/>
      <c r="JQY3" s="179"/>
      <c r="JQZ3" s="179"/>
      <c r="JRA3" s="179"/>
      <c r="JRB3" s="179"/>
      <c r="JRC3" s="179"/>
      <c r="JRD3" s="179"/>
      <c r="JRE3" s="179"/>
      <c r="JRF3" s="179"/>
      <c r="JRG3" s="179"/>
      <c r="JRH3" s="179"/>
      <c r="JRI3" s="179"/>
      <c r="JRJ3" s="179"/>
      <c r="JRK3" s="179"/>
      <c r="JRL3" s="179"/>
      <c r="JRM3" s="179"/>
      <c r="JRN3" s="179"/>
      <c r="JRO3" s="179"/>
      <c r="JRP3" s="179"/>
      <c r="JRQ3" s="179"/>
      <c r="JRR3" s="179"/>
      <c r="JRS3" s="179"/>
      <c r="JRT3" s="179"/>
      <c r="JRU3" s="179"/>
      <c r="JRV3" s="179"/>
      <c r="JRW3" s="179"/>
      <c r="JRX3" s="179"/>
      <c r="JRY3" s="179"/>
      <c r="JRZ3" s="179"/>
      <c r="JSA3" s="179"/>
      <c r="JSB3" s="179"/>
      <c r="JSC3" s="179"/>
      <c r="JSD3" s="179"/>
      <c r="JSE3" s="179"/>
      <c r="JSF3" s="179"/>
      <c r="JSG3" s="179"/>
      <c r="JSH3" s="179"/>
      <c r="JSI3" s="179"/>
      <c r="JSJ3" s="179"/>
      <c r="JSK3" s="179"/>
      <c r="JSL3" s="179"/>
      <c r="JSM3" s="179"/>
      <c r="JSN3" s="179"/>
      <c r="JSO3" s="179"/>
      <c r="JSP3" s="179"/>
      <c r="JSQ3" s="179"/>
      <c r="JSR3" s="179"/>
      <c r="JSS3" s="179"/>
      <c r="JST3" s="179"/>
      <c r="JSU3" s="179"/>
      <c r="JSV3" s="179"/>
      <c r="JSW3" s="179"/>
      <c r="JSX3" s="179"/>
      <c r="JSY3" s="179"/>
      <c r="JSZ3" s="179"/>
      <c r="JTA3" s="179"/>
      <c r="JTB3" s="179"/>
      <c r="JTC3" s="179"/>
      <c r="JTD3" s="179"/>
      <c r="JTE3" s="179"/>
      <c r="JTF3" s="179"/>
      <c r="JTG3" s="179"/>
      <c r="JTH3" s="179"/>
      <c r="JTI3" s="179"/>
      <c r="JTJ3" s="179"/>
      <c r="JTK3" s="179"/>
      <c r="JTL3" s="179"/>
      <c r="JTM3" s="179"/>
      <c r="JTN3" s="179"/>
      <c r="JTO3" s="179"/>
      <c r="JTP3" s="179"/>
      <c r="JTQ3" s="179"/>
      <c r="JTR3" s="179"/>
      <c r="JTS3" s="179"/>
      <c r="JTT3" s="179"/>
      <c r="JTU3" s="179"/>
      <c r="JTV3" s="179"/>
      <c r="JTW3" s="179"/>
      <c r="JTX3" s="179"/>
      <c r="JTY3" s="179"/>
      <c r="JTZ3" s="179"/>
      <c r="JUA3" s="179"/>
      <c r="JUB3" s="179"/>
      <c r="JUC3" s="179"/>
      <c r="JUD3" s="179"/>
      <c r="JUE3" s="179"/>
      <c r="JUF3" s="179"/>
      <c r="JUG3" s="179"/>
      <c r="JUH3" s="179"/>
      <c r="JUI3" s="179"/>
      <c r="JUJ3" s="179"/>
      <c r="JUK3" s="179"/>
      <c r="JUL3" s="179"/>
      <c r="JUM3" s="179"/>
      <c r="JUN3" s="179"/>
      <c r="JUO3" s="179"/>
      <c r="JUP3" s="179"/>
      <c r="JUQ3" s="179"/>
      <c r="JUR3" s="179"/>
      <c r="JUS3" s="179"/>
      <c r="JUT3" s="179"/>
      <c r="JUU3" s="179"/>
      <c r="JUV3" s="179"/>
      <c r="JUW3" s="179"/>
      <c r="JUX3" s="179"/>
      <c r="JUY3" s="179"/>
      <c r="JUZ3" s="179"/>
      <c r="JVA3" s="179"/>
      <c r="JVB3" s="179"/>
      <c r="JVC3" s="179"/>
      <c r="JVD3" s="179"/>
      <c r="JVE3" s="179"/>
      <c r="JVF3" s="179"/>
      <c r="JVG3" s="179"/>
      <c r="JVH3" s="179"/>
      <c r="JVI3" s="179"/>
      <c r="JVJ3" s="179"/>
      <c r="JVK3" s="179"/>
      <c r="JVL3" s="179"/>
      <c r="JVM3" s="179"/>
      <c r="JVN3" s="179"/>
      <c r="JVO3" s="179"/>
      <c r="JVP3" s="179"/>
      <c r="JVQ3" s="179"/>
      <c r="JVR3" s="179"/>
      <c r="JVS3" s="179"/>
      <c r="JVT3" s="179"/>
      <c r="JVU3" s="179"/>
      <c r="JVV3" s="179"/>
      <c r="JVW3" s="179"/>
      <c r="JVX3" s="179"/>
      <c r="JVY3" s="179"/>
      <c r="JVZ3" s="179"/>
      <c r="JWA3" s="179"/>
      <c r="JWB3" s="179"/>
      <c r="JWC3" s="179"/>
      <c r="JWD3" s="179"/>
      <c r="JWE3" s="179"/>
      <c r="JWF3" s="179"/>
      <c r="JWG3" s="179"/>
      <c r="JWH3" s="179"/>
      <c r="JWI3" s="179"/>
      <c r="JWJ3" s="179"/>
      <c r="JWK3" s="179"/>
      <c r="JWL3" s="179"/>
      <c r="JWM3" s="179"/>
      <c r="JWN3" s="179"/>
      <c r="JWO3" s="179"/>
      <c r="JWP3" s="179"/>
      <c r="JWQ3" s="179"/>
      <c r="JWR3" s="179"/>
      <c r="JWS3" s="179"/>
      <c r="JWT3" s="179"/>
      <c r="JWU3" s="179"/>
      <c r="JWV3" s="179"/>
      <c r="JWW3" s="179"/>
      <c r="JWX3" s="179"/>
      <c r="JWY3" s="179"/>
      <c r="JWZ3" s="179"/>
      <c r="JXA3" s="179"/>
      <c r="JXB3" s="179"/>
      <c r="JXC3" s="179"/>
      <c r="JXD3" s="179"/>
      <c r="JXE3" s="179"/>
      <c r="JXF3" s="179"/>
      <c r="JXG3" s="179"/>
      <c r="JXH3" s="179"/>
      <c r="JXI3" s="179"/>
      <c r="JXJ3" s="179"/>
      <c r="JXK3" s="179"/>
      <c r="JXL3" s="179"/>
      <c r="JXM3" s="179"/>
      <c r="JXN3" s="179"/>
      <c r="JXO3" s="179"/>
      <c r="JXP3" s="179"/>
      <c r="JXQ3" s="179"/>
      <c r="JXR3" s="179"/>
      <c r="JXS3" s="179"/>
      <c r="JXT3" s="179"/>
      <c r="JXU3" s="179"/>
      <c r="JXV3" s="179"/>
      <c r="JXW3" s="179"/>
      <c r="JXX3" s="179"/>
      <c r="JXY3" s="179"/>
      <c r="JXZ3" s="179"/>
      <c r="JYA3" s="179"/>
      <c r="JYB3" s="179"/>
      <c r="JYC3" s="179"/>
      <c r="JYD3" s="179"/>
      <c r="JYE3" s="179"/>
      <c r="JYF3" s="179"/>
      <c r="JYG3" s="179"/>
      <c r="JYH3" s="179"/>
      <c r="JYI3" s="179"/>
      <c r="JYJ3" s="179"/>
      <c r="JYK3" s="179"/>
      <c r="JYL3" s="179"/>
      <c r="JYM3" s="179"/>
      <c r="JYN3" s="179"/>
      <c r="JYO3" s="179"/>
      <c r="JYP3" s="179"/>
      <c r="JYQ3" s="179"/>
      <c r="JYR3" s="179"/>
      <c r="JYS3" s="179"/>
      <c r="JYT3" s="179"/>
      <c r="JYU3" s="179"/>
      <c r="JYV3" s="179"/>
      <c r="JYW3" s="179"/>
      <c r="JYX3" s="179"/>
      <c r="JYY3" s="179"/>
      <c r="JYZ3" s="179"/>
      <c r="JZA3" s="179"/>
      <c r="JZB3" s="179"/>
      <c r="JZC3" s="179"/>
      <c r="JZD3" s="179"/>
      <c r="JZE3" s="179"/>
      <c r="JZF3" s="179"/>
      <c r="JZG3" s="179"/>
      <c r="JZH3" s="179"/>
      <c r="JZI3" s="179"/>
      <c r="JZJ3" s="179"/>
      <c r="JZK3" s="179"/>
      <c r="JZL3" s="179"/>
      <c r="JZM3" s="179"/>
      <c r="JZN3" s="179"/>
      <c r="JZO3" s="179"/>
      <c r="JZP3" s="179"/>
      <c r="JZQ3" s="179"/>
      <c r="JZR3" s="179"/>
      <c r="JZS3" s="179"/>
      <c r="JZT3" s="179"/>
      <c r="JZU3" s="179"/>
      <c r="JZV3" s="179"/>
      <c r="JZW3" s="179"/>
      <c r="JZX3" s="179"/>
      <c r="JZY3" s="179"/>
      <c r="JZZ3" s="179"/>
      <c r="KAA3" s="179"/>
      <c r="KAB3" s="179"/>
      <c r="KAC3" s="179"/>
      <c r="KAD3" s="179"/>
      <c r="KAE3" s="179"/>
      <c r="KAF3" s="179"/>
      <c r="KAG3" s="179"/>
      <c r="KAH3" s="179"/>
      <c r="KAI3" s="179"/>
      <c r="KAJ3" s="179"/>
      <c r="KAK3" s="179"/>
      <c r="KAL3" s="179"/>
      <c r="KAM3" s="179"/>
      <c r="KAN3" s="179"/>
      <c r="KAO3" s="179"/>
      <c r="KAP3" s="179"/>
      <c r="KAQ3" s="179"/>
      <c r="KAR3" s="179"/>
      <c r="KAS3" s="179"/>
      <c r="KAT3" s="179"/>
      <c r="KAU3" s="179"/>
      <c r="KAV3" s="179"/>
      <c r="KAW3" s="179"/>
      <c r="KAX3" s="179"/>
      <c r="KAY3" s="179"/>
      <c r="KAZ3" s="179"/>
      <c r="KBA3" s="179"/>
      <c r="KBB3" s="179"/>
      <c r="KBC3" s="179"/>
      <c r="KBD3" s="179"/>
      <c r="KBE3" s="179"/>
      <c r="KBF3" s="179"/>
      <c r="KBG3" s="179"/>
      <c r="KBH3" s="179"/>
      <c r="KBI3" s="179"/>
      <c r="KBJ3" s="179"/>
      <c r="KBK3" s="179"/>
      <c r="KBL3" s="179"/>
      <c r="KBM3" s="179"/>
      <c r="KBN3" s="179"/>
      <c r="KBO3" s="179"/>
      <c r="KBP3" s="179"/>
      <c r="KBQ3" s="179"/>
      <c r="KBR3" s="179"/>
      <c r="KBS3" s="179"/>
      <c r="KBT3" s="179"/>
      <c r="KBU3" s="179"/>
      <c r="KBV3" s="179"/>
      <c r="KBW3" s="179"/>
      <c r="KBX3" s="179"/>
      <c r="KBY3" s="179"/>
      <c r="KBZ3" s="179"/>
      <c r="KCA3" s="179"/>
      <c r="KCB3" s="179"/>
      <c r="KCC3" s="179"/>
      <c r="KCD3" s="179"/>
      <c r="KCE3" s="179"/>
      <c r="KCF3" s="179"/>
      <c r="KCG3" s="179"/>
      <c r="KCH3" s="179"/>
      <c r="KCI3" s="179"/>
      <c r="KCJ3" s="179"/>
      <c r="KCK3" s="179"/>
      <c r="KCL3" s="179"/>
      <c r="KCM3" s="179"/>
      <c r="KCN3" s="179"/>
      <c r="KCO3" s="179"/>
      <c r="KCP3" s="179"/>
      <c r="KCQ3" s="179"/>
      <c r="KCR3" s="179"/>
      <c r="KCS3" s="179"/>
      <c r="KCT3" s="179"/>
      <c r="KCU3" s="179"/>
      <c r="KCV3" s="179"/>
      <c r="KCW3" s="179"/>
      <c r="KCX3" s="179"/>
      <c r="KCY3" s="179"/>
      <c r="KCZ3" s="179"/>
      <c r="KDA3" s="179"/>
      <c r="KDB3" s="179"/>
      <c r="KDC3" s="179"/>
      <c r="KDD3" s="179"/>
      <c r="KDE3" s="179"/>
      <c r="KDF3" s="179"/>
      <c r="KDG3" s="179"/>
      <c r="KDH3" s="179"/>
      <c r="KDI3" s="179"/>
      <c r="KDJ3" s="179"/>
      <c r="KDK3" s="179"/>
      <c r="KDL3" s="179"/>
      <c r="KDM3" s="179"/>
      <c r="KDN3" s="179"/>
      <c r="KDO3" s="179"/>
      <c r="KDP3" s="179"/>
      <c r="KDQ3" s="179"/>
      <c r="KDR3" s="179"/>
      <c r="KDS3" s="179"/>
      <c r="KDT3" s="179"/>
      <c r="KDU3" s="179"/>
      <c r="KDV3" s="179"/>
      <c r="KDW3" s="179"/>
      <c r="KDX3" s="179"/>
      <c r="KDY3" s="179"/>
      <c r="KDZ3" s="179"/>
      <c r="KEA3" s="179"/>
      <c r="KEB3" s="179"/>
      <c r="KEC3" s="179"/>
      <c r="KED3" s="179"/>
      <c r="KEE3" s="179"/>
      <c r="KEF3" s="179"/>
      <c r="KEG3" s="179"/>
      <c r="KEH3" s="179"/>
      <c r="KEI3" s="179"/>
      <c r="KEJ3" s="179"/>
      <c r="KEK3" s="179"/>
      <c r="KEL3" s="179"/>
      <c r="KEM3" s="179"/>
      <c r="KEN3" s="179"/>
      <c r="KEO3" s="179"/>
      <c r="KEP3" s="179"/>
      <c r="KEQ3" s="179"/>
      <c r="KER3" s="179"/>
      <c r="KES3" s="179"/>
      <c r="KET3" s="179"/>
      <c r="KEU3" s="179"/>
      <c r="KEV3" s="179"/>
      <c r="KEW3" s="179"/>
      <c r="KEX3" s="179"/>
      <c r="KEY3" s="179"/>
      <c r="KEZ3" s="179"/>
      <c r="KFA3" s="179"/>
      <c r="KFB3" s="179"/>
      <c r="KFC3" s="179"/>
      <c r="KFD3" s="179"/>
      <c r="KFE3" s="179"/>
      <c r="KFF3" s="179"/>
      <c r="KFG3" s="179"/>
      <c r="KFH3" s="179"/>
      <c r="KFI3" s="179"/>
      <c r="KFJ3" s="179"/>
      <c r="KFK3" s="179"/>
      <c r="KFL3" s="179"/>
      <c r="KFM3" s="179"/>
      <c r="KFN3" s="179"/>
      <c r="KFO3" s="179"/>
      <c r="KFP3" s="179"/>
      <c r="KFQ3" s="179"/>
      <c r="KFR3" s="179"/>
      <c r="KFS3" s="179"/>
      <c r="KFT3" s="179"/>
      <c r="KFU3" s="179"/>
      <c r="KFV3" s="179"/>
      <c r="KFW3" s="179"/>
      <c r="KFX3" s="179"/>
      <c r="KFY3" s="179"/>
      <c r="KFZ3" s="179"/>
      <c r="KGA3" s="179"/>
      <c r="KGB3" s="179"/>
      <c r="KGC3" s="179"/>
      <c r="KGD3" s="179"/>
      <c r="KGE3" s="179"/>
      <c r="KGF3" s="179"/>
      <c r="KGG3" s="179"/>
      <c r="KGH3" s="179"/>
      <c r="KGI3" s="179"/>
      <c r="KGJ3" s="179"/>
      <c r="KGK3" s="179"/>
      <c r="KGL3" s="179"/>
      <c r="KGM3" s="179"/>
      <c r="KGN3" s="179"/>
      <c r="KGO3" s="179"/>
      <c r="KGP3" s="179"/>
      <c r="KGQ3" s="179"/>
      <c r="KGR3" s="179"/>
      <c r="KGS3" s="179"/>
      <c r="KGT3" s="179"/>
      <c r="KGU3" s="179"/>
      <c r="KGV3" s="179"/>
      <c r="KGW3" s="179"/>
      <c r="KGX3" s="179"/>
      <c r="KGY3" s="179"/>
      <c r="KGZ3" s="179"/>
      <c r="KHA3" s="179"/>
      <c r="KHB3" s="179"/>
      <c r="KHC3" s="179"/>
      <c r="KHD3" s="179"/>
      <c r="KHE3" s="179"/>
      <c r="KHF3" s="179"/>
      <c r="KHG3" s="179"/>
      <c r="KHH3" s="179"/>
      <c r="KHI3" s="179"/>
      <c r="KHJ3" s="179"/>
      <c r="KHK3" s="179"/>
      <c r="KHL3" s="179"/>
      <c r="KHM3" s="179"/>
      <c r="KHN3" s="179"/>
      <c r="KHO3" s="179"/>
      <c r="KHP3" s="179"/>
      <c r="KHQ3" s="179"/>
      <c r="KHR3" s="179"/>
      <c r="KHS3" s="179"/>
      <c r="KHT3" s="179"/>
      <c r="KHU3" s="179"/>
      <c r="KHV3" s="179"/>
      <c r="KHW3" s="179"/>
      <c r="KHX3" s="179"/>
      <c r="KHY3" s="179"/>
      <c r="KHZ3" s="179"/>
      <c r="KIA3" s="179"/>
      <c r="KIB3" s="179"/>
      <c r="KIC3" s="179"/>
      <c r="KID3" s="179"/>
      <c r="KIE3" s="179"/>
      <c r="KIF3" s="179"/>
      <c r="KIG3" s="179"/>
      <c r="KIH3" s="179"/>
      <c r="KII3" s="179"/>
      <c r="KIJ3" s="179"/>
      <c r="KIK3" s="179"/>
      <c r="KIL3" s="179"/>
      <c r="KIM3" s="179"/>
      <c r="KIN3" s="179"/>
      <c r="KIO3" s="179"/>
      <c r="KIP3" s="179"/>
      <c r="KIQ3" s="179"/>
      <c r="KIR3" s="179"/>
      <c r="KIS3" s="179"/>
      <c r="KIT3" s="179"/>
      <c r="KIU3" s="179"/>
      <c r="KIV3" s="179"/>
      <c r="KIW3" s="179"/>
      <c r="KIX3" s="179"/>
      <c r="KIY3" s="179"/>
      <c r="KIZ3" s="179"/>
      <c r="KJA3" s="179"/>
      <c r="KJB3" s="179"/>
      <c r="KJC3" s="179"/>
      <c r="KJD3" s="179"/>
      <c r="KJE3" s="179"/>
      <c r="KJF3" s="179"/>
      <c r="KJG3" s="179"/>
      <c r="KJH3" s="179"/>
      <c r="KJI3" s="179"/>
      <c r="KJJ3" s="179"/>
      <c r="KJK3" s="179"/>
      <c r="KJL3" s="179"/>
      <c r="KJM3" s="179"/>
      <c r="KJN3" s="179"/>
      <c r="KJO3" s="179"/>
      <c r="KJP3" s="179"/>
      <c r="KJQ3" s="179"/>
      <c r="KJR3" s="179"/>
      <c r="KJS3" s="179"/>
      <c r="KJT3" s="179"/>
      <c r="KJU3" s="179"/>
      <c r="KJV3" s="179"/>
      <c r="KJW3" s="179"/>
      <c r="KJX3" s="179"/>
      <c r="KJY3" s="179"/>
      <c r="KJZ3" s="179"/>
      <c r="KKA3" s="179"/>
      <c r="KKB3" s="179"/>
      <c r="KKC3" s="179"/>
      <c r="KKD3" s="179"/>
      <c r="KKE3" s="179"/>
      <c r="KKF3" s="179"/>
      <c r="KKG3" s="179"/>
      <c r="KKH3" s="179"/>
      <c r="KKI3" s="179"/>
      <c r="KKJ3" s="179"/>
      <c r="KKK3" s="179"/>
      <c r="KKL3" s="179"/>
      <c r="KKM3" s="179"/>
      <c r="KKN3" s="179"/>
      <c r="KKO3" s="179"/>
      <c r="KKP3" s="179"/>
      <c r="KKQ3" s="179"/>
      <c r="KKR3" s="179"/>
      <c r="KKS3" s="179"/>
      <c r="KKT3" s="179"/>
      <c r="KKU3" s="179"/>
      <c r="KKV3" s="179"/>
      <c r="KKW3" s="179"/>
      <c r="KKX3" s="179"/>
      <c r="KKY3" s="179"/>
      <c r="KKZ3" s="179"/>
      <c r="KLA3" s="179"/>
      <c r="KLB3" s="179"/>
      <c r="KLC3" s="179"/>
      <c r="KLD3" s="179"/>
      <c r="KLE3" s="179"/>
      <c r="KLF3" s="179"/>
      <c r="KLG3" s="179"/>
      <c r="KLH3" s="179"/>
      <c r="KLI3" s="179"/>
      <c r="KLJ3" s="179"/>
      <c r="KLK3" s="179"/>
      <c r="KLL3" s="179"/>
      <c r="KLM3" s="179"/>
      <c r="KLN3" s="179"/>
      <c r="KLO3" s="179"/>
      <c r="KLP3" s="179"/>
      <c r="KLQ3" s="179"/>
      <c r="KLR3" s="179"/>
      <c r="KLS3" s="179"/>
      <c r="KLT3" s="179"/>
      <c r="KLU3" s="179"/>
      <c r="KLV3" s="179"/>
      <c r="KLW3" s="179"/>
      <c r="KLX3" s="179"/>
      <c r="KLY3" s="179"/>
      <c r="KLZ3" s="179"/>
      <c r="KMA3" s="179"/>
      <c r="KMB3" s="179"/>
      <c r="KMC3" s="179"/>
      <c r="KMD3" s="179"/>
      <c r="KME3" s="179"/>
      <c r="KMF3" s="179"/>
      <c r="KMG3" s="179"/>
      <c r="KMH3" s="179"/>
      <c r="KMI3" s="179"/>
      <c r="KMJ3" s="179"/>
      <c r="KMK3" s="179"/>
      <c r="KML3" s="179"/>
      <c r="KMM3" s="179"/>
      <c r="KMN3" s="179"/>
      <c r="KMO3" s="179"/>
      <c r="KMP3" s="179"/>
      <c r="KMQ3" s="179"/>
      <c r="KMR3" s="179"/>
      <c r="KMS3" s="179"/>
      <c r="KMT3" s="179"/>
      <c r="KMU3" s="179"/>
      <c r="KMV3" s="179"/>
      <c r="KMW3" s="179"/>
      <c r="KMX3" s="179"/>
      <c r="KMY3" s="179"/>
      <c r="KMZ3" s="179"/>
      <c r="KNA3" s="179"/>
      <c r="KNB3" s="179"/>
      <c r="KNC3" s="179"/>
      <c r="KND3" s="179"/>
      <c r="KNE3" s="179"/>
      <c r="KNF3" s="179"/>
      <c r="KNG3" s="179"/>
      <c r="KNH3" s="179"/>
      <c r="KNI3" s="179"/>
      <c r="KNJ3" s="179"/>
      <c r="KNK3" s="179"/>
      <c r="KNL3" s="179"/>
      <c r="KNM3" s="179"/>
      <c r="KNN3" s="179"/>
      <c r="KNO3" s="179"/>
      <c r="KNP3" s="179"/>
      <c r="KNQ3" s="179"/>
      <c r="KNR3" s="179"/>
      <c r="KNS3" s="179"/>
      <c r="KNT3" s="179"/>
      <c r="KNU3" s="179"/>
      <c r="KNV3" s="179"/>
      <c r="KNW3" s="179"/>
      <c r="KNX3" s="179"/>
      <c r="KNY3" s="179"/>
      <c r="KNZ3" s="179"/>
      <c r="KOA3" s="179"/>
      <c r="KOB3" s="179"/>
      <c r="KOC3" s="179"/>
      <c r="KOD3" s="179"/>
      <c r="KOE3" s="179"/>
      <c r="KOF3" s="179"/>
      <c r="KOG3" s="179"/>
      <c r="KOH3" s="179"/>
      <c r="KOI3" s="179"/>
      <c r="KOJ3" s="179"/>
      <c r="KOK3" s="179"/>
      <c r="KOL3" s="179"/>
      <c r="KOM3" s="179"/>
      <c r="KON3" s="179"/>
      <c r="KOO3" s="179"/>
      <c r="KOP3" s="179"/>
      <c r="KOQ3" s="179"/>
      <c r="KOR3" s="179"/>
      <c r="KOS3" s="179"/>
      <c r="KOT3" s="179"/>
      <c r="KOU3" s="179"/>
      <c r="KOV3" s="179"/>
      <c r="KOW3" s="179"/>
      <c r="KOX3" s="179"/>
      <c r="KOY3" s="179"/>
      <c r="KOZ3" s="179"/>
      <c r="KPA3" s="179"/>
      <c r="KPB3" s="179"/>
      <c r="KPC3" s="179"/>
      <c r="KPD3" s="179"/>
      <c r="KPE3" s="179"/>
      <c r="KPF3" s="179"/>
      <c r="KPG3" s="179"/>
      <c r="KPH3" s="179"/>
      <c r="KPI3" s="179"/>
      <c r="KPJ3" s="179"/>
      <c r="KPK3" s="179"/>
      <c r="KPL3" s="179"/>
      <c r="KPM3" s="179"/>
      <c r="KPN3" s="179"/>
      <c r="KPO3" s="179"/>
      <c r="KPP3" s="179"/>
      <c r="KPQ3" s="179"/>
      <c r="KPR3" s="179"/>
      <c r="KPS3" s="179"/>
      <c r="KPT3" s="179"/>
      <c r="KPU3" s="179"/>
      <c r="KPV3" s="179"/>
      <c r="KPW3" s="179"/>
      <c r="KPX3" s="179"/>
      <c r="KPY3" s="179"/>
      <c r="KPZ3" s="179"/>
      <c r="KQA3" s="179"/>
      <c r="KQB3" s="179"/>
      <c r="KQC3" s="179"/>
      <c r="KQD3" s="179"/>
      <c r="KQE3" s="179"/>
      <c r="KQF3" s="179"/>
      <c r="KQG3" s="179"/>
      <c r="KQH3" s="179"/>
      <c r="KQI3" s="179"/>
      <c r="KQJ3" s="179"/>
      <c r="KQK3" s="179"/>
      <c r="KQL3" s="179"/>
      <c r="KQM3" s="179"/>
      <c r="KQN3" s="179"/>
      <c r="KQO3" s="179"/>
      <c r="KQP3" s="179"/>
      <c r="KQQ3" s="179"/>
      <c r="KQR3" s="179"/>
      <c r="KQS3" s="179"/>
      <c r="KQT3" s="179"/>
      <c r="KQU3" s="179"/>
      <c r="KQV3" s="179"/>
      <c r="KQW3" s="179"/>
      <c r="KQX3" s="179"/>
      <c r="KQY3" s="179"/>
      <c r="KQZ3" s="179"/>
      <c r="KRA3" s="179"/>
      <c r="KRB3" s="179"/>
      <c r="KRC3" s="179"/>
      <c r="KRD3" s="179"/>
      <c r="KRE3" s="179"/>
      <c r="KRF3" s="179"/>
      <c r="KRG3" s="179"/>
      <c r="KRH3" s="179"/>
      <c r="KRI3" s="179"/>
      <c r="KRJ3" s="179"/>
      <c r="KRK3" s="179"/>
      <c r="KRL3" s="179"/>
      <c r="KRM3" s="179"/>
      <c r="KRN3" s="179"/>
      <c r="KRO3" s="179"/>
      <c r="KRP3" s="179"/>
      <c r="KRQ3" s="179"/>
      <c r="KRR3" s="179"/>
      <c r="KRS3" s="179"/>
      <c r="KRT3" s="179"/>
      <c r="KRU3" s="179"/>
      <c r="KRV3" s="179"/>
      <c r="KRW3" s="179"/>
      <c r="KRX3" s="179"/>
      <c r="KRY3" s="179"/>
      <c r="KRZ3" s="179"/>
      <c r="KSA3" s="179"/>
      <c r="KSB3" s="179"/>
      <c r="KSC3" s="179"/>
      <c r="KSD3" s="179"/>
      <c r="KSE3" s="179"/>
      <c r="KSF3" s="179"/>
      <c r="KSG3" s="179"/>
      <c r="KSH3" s="179"/>
      <c r="KSI3" s="179"/>
      <c r="KSJ3" s="179"/>
      <c r="KSK3" s="179"/>
      <c r="KSL3" s="179"/>
      <c r="KSM3" s="179"/>
      <c r="KSN3" s="179"/>
      <c r="KSO3" s="179"/>
      <c r="KSP3" s="179"/>
      <c r="KSQ3" s="179"/>
      <c r="KSR3" s="179"/>
      <c r="KSS3" s="179"/>
      <c r="KST3" s="179"/>
      <c r="KSU3" s="179"/>
      <c r="KSV3" s="179"/>
      <c r="KSW3" s="179"/>
      <c r="KSX3" s="179"/>
      <c r="KSY3" s="179"/>
      <c r="KSZ3" s="179"/>
      <c r="KTA3" s="179"/>
      <c r="KTB3" s="179"/>
      <c r="KTC3" s="179"/>
      <c r="KTD3" s="179"/>
      <c r="KTE3" s="179"/>
      <c r="KTF3" s="179"/>
      <c r="KTG3" s="179"/>
      <c r="KTH3" s="179"/>
      <c r="KTI3" s="179"/>
      <c r="KTJ3" s="179"/>
      <c r="KTK3" s="179"/>
      <c r="KTL3" s="179"/>
      <c r="KTM3" s="179"/>
      <c r="KTN3" s="179"/>
      <c r="KTO3" s="179"/>
      <c r="KTP3" s="179"/>
      <c r="KTQ3" s="179"/>
      <c r="KTR3" s="179"/>
      <c r="KTS3" s="179"/>
      <c r="KTT3" s="179"/>
      <c r="KTU3" s="179"/>
      <c r="KTV3" s="179"/>
      <c r="KTW3" s="179"/>
      <c r="KTX3" s="179"/>
      <c r="KTY3" s="179"/>
      <c r="KTZ3" s="179"/>
      <c r="KUA3" s="179"/>
      <c r="KUB3" s="179"/>
      <c r="KUC3" s="179"/>
      <c r="KUD3" s="179"/>
      <c r="KUE3" s="179"/>
      <c r="KUF3" s="179"/>
      <c r="KUG3" s="179"/>
      <c r="KUH3" s="179"/>
      <c r="KUI3" s="179"/>
      <c r="KUJ3" s="179"/>
      <c r="KUK3" s="179"/>
      <c r="KUL3" s="179"/>
      <c r="KUM3" s="179"/>
      <c r="KUN3" s="179"/>
      <c r="KUO3" s="179"/>
      <c r="KUP3" s="179"/>
      <c r="KUQ3" s="179"/>
      <c r="KUR3" s="179"/>
      <c r="KUS3" s="179"/>
      <c r="KUT3" s="179"/>
      <c r="KUU3" s="179"/>
      <c r="KUV3" s="179"/>
      <c r="KUW3" s="179"/>
      <c r="KUX3" s="179"/>
      <c r="KUY3" s="179"/>
      <c r="KUZ3" s="179"/>
      <c r="KVA3" s="179"/>
      <c r="KVB3" s="179"/>
      <c r="KVC3" s="179"/>
      <c r="KVD3" s="179"/>
      <c r="KVE3" s="179"/>
      <c r="KVF3" s="179"/>
      <c r="KVG3" s="179"/>
      <c r="KVH3" s="179"/>
      <c r="KVI3" s="179"/>
      <c r="KVJ3" s="179"/>
      <c r="KVK3" s="179"/>
      <c r="KVL3" s="179"/>
      <c r="KVM3" s="179"/>
      <c r="KVN3" s="179"/>
      <c r="KVO3" s="179"/>
      <c r="KVP3" s="179"/>
      <c r="KVQ3" s="179"/>
      <c r="KVR3" s="179"/>
      <c r="KVS3" s="179"/>
      <c r="KVT3" s="179"/>
      <c r="KVU3" s="179"/>
      <c r="KVV3" s="179"/>
      <c r="KVW3" s="179"/>
      <c r="KVX3" s="179"/>
      <c r="KVY3" s="179"/>
      <c r="KVZ3" s="179"/>
      <c r="KWA3" s="179"/>
      <c r="KWB3" s="179"/>
      <c r="KWC3" s="179"/>
      <c r="KWD3" s="179"/>
      <c r="KWE3" s="179"/>
      <c r="KWF3" s="179"/>
      <c r="KWG3" s="179"/>
      <c r="KWH3" s="179"/>
      <c r="KWI3" s="179"/>
      <c r="KWJ3" s="179"/>
      <c r="KWK3" s="179"/>
      <c r="KWL3" s="179"/>
      <c r="KWM3" s="179"/>
      <c r="KWN3" s="179"/>
      <c r="KWO3" s="179"/>
      <c r="KWP3" s="179"/>
      <c r="KWQ3" s="179"/>
      <c r="KWR3" s="179"/>
      <c r="KWS3" s="179"/>
      <c r="KWT3" s="179"/>
      <c r="KWU3" s="179"/>
      <c r="KWV3" s="179"/>
      <c r="KWW3" s="179"/>
      <c r="KWX3" s="179"/>
      <c r="KWY3" s="179"/>
      <c r="KWZ3" s="179"/>
      <c r="KXA3" s="179"/>
      <c r="KXB3" s="179"/>
      <c r="KXC3" s="179"/>
      <c r="KXD3" s="179"/>
      <c r="KXE3" s="179"/>
      <c r="KXF3" s="179"/>
      <c r="KXG3" s="179"/>
      <c r="KXH3" s="179"/>
      <c r="KXI3" s="179"/>
      <c r="KXJ3" s="179"/>
      <c r="KXK3" s="179"/>
      <c r="KXL3" s="179"/>
      <c r="KXM3" s="179"/>
      <c r="KXN3" s="179"/>
      <c r="KXO3" s="179"/>
      <c r="KXP3" s="179"/>
      <c r="KXQ3" s="179"/>
      <c r="KXR3" s="179"/>
      <c r="KXS3" s="179"/>
      <c r="KXT3" s="179"/>
      <c r="KXU3" s="179"/>
      <c r="KXV3" s="179"/>
      <c r="KXW3" s="179"/>
      <c r="KXX3" s="179"/>
      <c r="KXY3" s="179"/>
      <c r="KXZ3" s="179"/>
      <c r="KYA3" s="179"/>
      <c r="KYB3" s="179"/>
      <c r="KYC3" s="179"/>
      <c r="KYD3" s="179"/>
      <c r="KYE3" s="179"/>
      <c r="KYF3" s="179"/>
      <c r="KYG3" s="179"/>
      <c r="KYH3" s="179"/>
      <c r="KYI3" s="179"/>
      <c r="KYJ3" s="179"/>
      <c r="KYK3" s="179"/>
      <c r="KYL3" s="179"/>
      <c r="KYM3" s="179"/>
      <c r="KYN3" s="179"/>
      <c r="KYO3" s="179"/>
      <c r="KYP3" s="179"/>
      <c r="KYQ3" s="179"/>
      <c r="KYR3" s="179"/>
      <c r="KYS3" s="179"/>
      <c r="KYT3" s="179"/>
      <c r="KYU3" s="179"/>
      <c r="KYV3" s="179"/>
      <c r="KYW3" s="179"/>
      <c r="KYX3" s="179"/>
      <c r="KYY3" s="179"/>
      <c r="KYZ3" s="179"/>
      <c r="KZA3" s="179"/>
      <c r="KZB3" s="179"/>
      <c r="KZC3" s="179"/>
      <c r="KZD3" s="179"/>
      <c r="KZE3" s="179"/>
      <c r="KZF3" s="179"/>
      <c r="KZG3" s="179"/>
      <c r="KZH3" s="179"/>
      <c r="KZI3" s="179"/>
      <c r="KZJ3" s="179"/>
      <c r="KZK3" s="179"/>
      <c r="KZL3" s="179"/>
      <c r="KZM3" s="179"/>
      <c r="KZN3" s="179"/>
      <c r="KZO3" s="179"/>
      <c r="KZP3" s="179"/>
      <c r="KZQ3" s="179"/>
      <c r="KZR3" s="179"/>
      <c r="KZS3" s="179"/>
      <c r="KZT3" s="179"/>
      <c r="KZU3" s="179"/>
      <c r="KZV3" s="179"/>
      <c r="KZW3" s="179"/>
      <c r="KZX3" s="179"/>
      <c r="KZY3" s="179"/>
      <c r="KZZ3" s="179"/>
      <c r="LAA3" s="179"/>
      <c r="LAB3" s="179"/>
      <c r="LAC3" s="179"/>
      <c r="LAD3" s="179"/>
      <c r="LAE3" s="179"/>
      <c r="LAF3" s="179"/>
      <c r="LAG3" s="179"/>
      <c r="LAH3" s="179"/>
      <c r="LAI3" s="179"/>
      <c r="LAJ3" s="179"/>
      <c r="LAK3" s="179"/>
      <c r="LAL3" s="179"/>
      <c r="LAM3" s="179"/>
      <c r="LAN3" s="179"/>
      <c r="LAO3" s="179"/>
      <c r="LAP3" s="179"/>
      <c r="LAQ3" s="179"/>
      <c r="LAR3" s="179"/>
      <c r="LAS3" s="179"/>
      <c r="LAT3" s="179"/>
      <c r="LAU3" s="179"/>
      <c r="LAV3" s="179"/>
      <c r="LAW3" s="179"/>
      <c r="LAX3" s="179"/>
      <c r="LAY3" s="179"/>
      <c r="LAZ3" s="179"/>
      <c r="LBA3" s="179"/>
      <c r="LBB3" s="179"/>
      <c r="LBC3" s="179"/>
      <c r="LBD3" s="179"/>
      <c r="LBE3" s="179"/>
      <c r="LBF3" s="179"/>
      <c r="LBG3" s="179"/>
      <c r="LBH3" s="179"/>
      <c r="LBI3" s="179"/>
      <c r="LBJ3" s="179"/>
      <c r="LBK3" s="179"/>
      <c r="LBL3" s="179"/>
      <c r="LBM3" s="179"/>
      <c r="LBN3" s="179"/>
      <c r="LBO3" s="179"/>
      <c r="LBP3" s="179"/>
      <c r="LBQ3" s="179"/>
      <c r="LBR3" s="179"/>
      <c r="LBS3" s="179"/>
      <c r="LBT3" s="179"/>
      <c r="LBU3" s="179"/>
      <c r="LBV3" s="179"/>
      <c r="LBW3" s="179"/>
      <c r="LBX3" s="179"/>
      <c r="LBY3" s="179"/>
      <c r="LBZ3" s="179"/>
      <c r="LCA3" s="179"/>
      <c r="LCB3" s="179"/>
      <c r="LCC3" s="179"/>
      <c r="LCD3" s="179"/>
      <c r="LCE3" s="179"/>
      <c r="LCF3" s="179"/>
      <c r="LCG3" s="179"/>
      <c r="LCH3" s="179"/>
      <c r="LCI3" s="179"/>
      <c r="LCJ3" s="179"/>
      <c r="LCK3" s="179"/>
      <c r="LCL3" s="179"/>
      <c r="LCM3" s="179"/>
      <c r="LCN3" s="179"/>
      <c r="LCO3" s="179"/>
      <c r="LCP3" s="179"/>
      <c r="LCQ3" s="179"/>
      <c r="LCR3" s="179"/>
      <c r="LCS3" s="179"/>
      <c r="LCT3" s="179"/>
      <c r="LCU3" s="179"/>
      <c r="LCV3" s="179"/>
      <c r="LCW3" s="179"/>
      <c r="LCX3" s="179"/>
      <c r="LCY3" s="179"/>
      <c r="LCZ3" s="179"/>
      <c r="LDA3" s="179"/>
      <c r="LDB3" s="179"/>
      <c r="LDC3" s="179"/>
      <c r="LDD3" s="179"/>
      <c r="LDE3" s="179"/>
      <c r="LDF3" s="179"/>
      <c r="LDG3" s="179"/>
      <c r="LDH3" s="179"/>
      <c r="LDI3" s="179"/>
      <c r="LDJ3" s="179"/>
      <c r="LDK3" s="179"/>
      <c r="LDL3" s="179"/>
      <c r="LDM3" s="179"/>
      <c r="LDN3" s="179"/>
      <c r="LDO3" s="179"/>
      <c r="LDP3" s="179"/>
      <c r="LDQ3" s="179"/>
      <c r="LDR3" s="179"/>
      <c r="LDS3" s="179"/>
      <c r="LDT3" s="179"/>
      <c r="LDU3" s="179"/>
      <c r="LDV3" s="179"/>
      <c r="LDW3" s="179"/>
      <c r="LDX3" s="179"/>
      <c r="LDY3" s="179"/>
      <c r="LDZ3" s="179"/>
      <c r="LEA3" s="179"/>
      <c r="LEB3" s="179"/>
      <c r="LEC3" s="179"/>
      <c r="LED3" s="179"/>
      <c r="LEE3" s="179"/>
      <c r="LEF3" s="179"/>
      <c r="LEG3" s="179"/>
      <c r="LEH3" s="179"/>
      <c r="LEI3" s="179"/>
      <c r="LEJ3" s="179"/>
      <c r="LEK3" s="179"/>
      <c r="LEL3" s="179"/>
      <c r="LEM3" s="179"/>
      <c r="LEN3" s="179"/>
      <c r="LEO3" s="179"/>
      <c r="LEP3" s="179"/>
      <c r="LEQ3" s="179"/>
      <c r="LER3" s="179"/>
      <c r="LES3" s="179"/>
      <c r="LET3" s="179"/>
      <c r="LEU3" s="179"/>
      <c r="LEV3" s="179"/>
      <c r="LEW3" s="179"/>
      <c r="LEX3" s="179"/>
      <c r="LEY3" s="179"/>
      <c r="LEZ3" s="179"/>
      <c r="LFA3" s="179"/>
      <c r="LFB3" s="179"/>
      <c r="LFC3" s="179"/>
      <c r="LFD3" s="179"/>
      <c r="LFE3" s="179"/>
      <c r="LFF3" s="179"/>
      <c r="LFG3" s="179"/>
      <c r="LFH3" s="179"/>
      <c r="LFI3" s="179"/>
      <c r="LFJ3" s="179"/>
      <c r="LFK3" s="179"/>
      <c r="LFL3" s="179"/>
      <c r="LFM3" s="179"/>
      <c r="LFN3" s="179"/>
      <c r="LFO3" s="179"/>
      <c r="LFP3" s="179"/>
      <c r="LFQ3" s="179"/>
      <c r="LFR3" s="179"/>
      <c r="LFS3" s="179"/>
      <c r="LFT3" s="179"/>
      <c r="LFU3" s="179"/>
      <c r="LFV3" s="179"/>
      <c r="LFW3" s="179"/>
      <c r="LFX3" s="179"/>
      <c r="LFY3" s="179"/>
      <c r="LFZ3" s="179"/>
      <c r="LGA3" s="179"/>
      <c r="LGB3" s="179"/>
      <c r="LGC3" s="179"/>
      <c r="LGD3" s="179"/>
      <c r="LGE3" s="179"/>
      <c r="LGF3" s="179"/>
      <c r="LGG3" s="179"/>
      <c r="LGH3" s="179"/>
      <c r="LGI3" s="179"/>
      <c r="LGJ3" s="179"/>
      <c r="LGK3" s="179"/>
      <c r="LGL3" s="179"/>
      <c r="LGM3" s="179"/>
      <c r="LGN3" s="179"/>
      <c r="LGO3" s="179"/>
      <c r="LGP3" s="179"/>
      <c r="LGQ3" s="179"/>
      <c r="LGR3" s="179"/>
      <c r="LGS3" s="179"/>
      <c r="LGT3" s="179"/>
      <c r="LGU3" s="179"/>
      <c r="LGV3" s="179"/>
      <c r="LGW3" s="179"/>
      <c r="LGX3" s="179"/>
      <c r="LGY3" s="179"/>
      <c r="LGZ3" s="179"/>
      <c r="LHA3" s="179"/>
      <c r="LHB3" s="179"/>
      <c r="LHC3" s="179"/>
      <c r="LHD3" s="179"/>
      <c r="LHE3" s="179"/>
      <c r="LHF3" s="179"/>
      <c r="LHG3" s="179"/>
      <c r="LHH3" s="179"/>
      <c r="LHI3" s="179"/>
      <c r="LHJ3" s="179"/>
      <c r="LHK3" s="179"/>
      <c r="LHL3" s="179"/>
      <c r="LHM3" s="179"/>
      <c r="LHN3" s="179"/>
      <c r="LHO3" s="179"/>
      <c r="LHP3" s="179"/>
      <c r="LHQ3" s="179"/>
      <c r="LHR3" s="179"/>
      <c r="LHS3" s="179"/>
      <c r="LHT3" s="179"/>
      <c r="LHU3" s="179"/>
      <c r="LHV3" s="179"/>
      <c r="LHW3" s="179"/>
      <c r="LHX3" s="179"/>
      <c r="LHY3" s="179"/>
      <c r="LHZ3" s="179"/>
      <c r="LIA3" s="179"/>
      <c r="LIB3" s="179"/>
      <c r="LIC3" s="179"/>
      <c r="LID3" s="179"/>
      <c r="LIE3" s="179"/>
      <c r="LIF3" s="179"/>
      <c r="LIG3" s="179"/>
      <c r="LIH3" s="179"/>
      <c r="LII3" s="179"/>
      <c r="LIJ3" s="179"/>
      <c r="LIK3" s="179"/>
      <c r="LIL3" s="179"/>
      <c r="LIM3" s="179"/>
      <c r="LIN3" s="179"/>
      <c r="LIO3" s="179"/>
      <c r="LIP3" s="179"/>
      <c r="LIQ3" s="179"/>
      <c r="LIR3" s="179"/>
      <c r="LIS3" s="179"/>
      <c r="LIT3" s="179"/>
      <c r="LIU3" s="179"/>
      <c r="LIV3" s="179"/>
      <c r="LIW3" s="179"/>
      <c r="LIX3" s="179"/>
      <c r="LIY3" s="179"/>
      <c r="LIZ3" s="179"/>
      <c r="LJA3" s="179"/>
      <c r="LJB3" s="179"/>
      <c r="LJC3" s="179"/>
      <c r="LJD3" s="179"/>
      <c r="LJE3" s="179"/>
      <c r="LJF3" s="179"/>
      <c r="LJG3" s="179"/>
      <c r="LJH3" s="179"/>
      <c r="LJI3" s="179"/>
      <c r="LJJ3" s="179"/>
      <c r="LJK3" s="179"/>
      <c r="LJL3" s="179"/>
      <c r="LJM3" s="179"/>
      <c r="LJN3" s="179"/>
      <c r="LJO3" s="179"/>
      <c r="LJP3" s="179"/>
      <c r="LJQ3" s="179"/>
      <c r="LJR3" s="179"/>
      <c r="LJS3" s="179"/>
      <c r="LJT3" s="179"/>
      <c r="LJU3" s="179"/>
      <c r="LJV3" s="179"/>
      <c r="LJW3" s="179"/>
      <c r="LJX3" s="179"/>
      <c r="LJY3" s="179"/>
      <c r="LJZ3" s="179"/>
      <c r="LKA3" s="179"/>
      <c r="LKB3" s="179"/>
      <c r="LKC3" s="179"/>
      <c r="LKD3" s="179"/>
      <c r="LKE3" s="179"/>
      <c r="LKF3" s="179"/>
      <c r="LKG3" s="179"/>
      <c r="LKH3" s="179"/>
      <c r="LKI3" s="179"/>
      <c r="LKJ3" s="179"/>
      <c r="LKK3" s="179"/>
      <c r="LKL3" s="179"/>
      <c r="LKM3" s="179"/>
      <c r="LKN3" s="179"/>
      <c r="LKO3" s="179"/>
      <c r="LKP3" s="179"/>
      <c r="LKQ3" s="179"/>
      <c r="LKR3" s="179"/>
      <c r="LKS3" s="179"/>
      <c r="LKT3" s="179"/>
      <c r="LKU3" s="179"/>
      <c r="LKV3" s="179"/>
      <c r="LKW3" s="179"/>
      <c r="LKX3" s="179"/>
      <c r="LKY3" s="179"/>
      <c r="LKZ3" s="179"/>
      <c r="LLA3" s="179"/>
      <c r="LLB3" s="179"/>
      <c r="LLC3" s="179"/>
      <c r="LLD3" s="179"/>
      <c r="LLE3" s="179"/>
      <c r="LLF3" s="179"/>
      <c r="LLG3" s="179"/>
      <c r="LLH3" s="179"/>
      <c r="LLI3" s="179"/>
      <c r="LLJ3" s="179"/>
      <c r="LLK3" s="179"/>
      <c r="LLL3" s="179"/>
      <c r="LLM3" s="179"/>
      <c r="LLN3" s="179"/>
      <c r="LLO3" s="179"/>
      <c r="LLP3" s="179"/>
      <c r="LLQ3" s="179"/>
      <c r="LLR3" s="179"/>
      <c r="LLS3" s="179"/>
      <c r="LLT3" s="179"/>
      <c r="LLU3" s="179"/>
      <c r="LLV3" s="179"/>
      <c r="LLW3" s="179"/>
      <c r="LLX3" s="179"/>
      <c r="LLY3" s="179"/>
      <c r="LLZ3" s="179"/>
      <c r="LMA3" s="179"/>
      <c r="LMB3" s="179"/>
      <c r="LMC3" s="179"/>
      <c r="LMD3" s="179"/>
      <c r="LME3" s="179"/>
      <c r="LMF3" s="179"/>
      <c r="LMG3" s="179"/>
      <c r="LMH3" s="179"/>
      <c r="LMI3" s="179"/>
      <c r="LMJ3" s="179"/>
      <c r="LMK3" s="179"/>
      <c r="LML3" s="179"/>
      <c r="LMM3" s="179"/>
      <c r="LMN3" s="179"/>
      <c r="LMO3" s="179"/>
      <c r="LMP3" s="179"/>
      <c r="LMQ3" s="179"/>
      <c r="LMR3" s="179"/>
      <c r="LMS3" s="179"/>
      <c r="LMT3" s="179"/>
      <c r="LMU3" s="179"/>
      <c r="LMV3" s="179"/>
      <c r="LMW3" s="179"/>
      <c r="LMX3" s="179"/>
      <c r="LMY3" s="179"/>
      <c r="LMZ3" s="179"/>
      <c r="LNA3" s="179"/>
      <c r="LNB3" s="179"/>
      <c r="LNC3" s="179"/>
      <c r="LND3" s="179"/>
      <c r="LNE3" s="179"/>
      <c r="LNF3" s="179"/>
      <c r="LNG3" s="179"/>
      <c r="LNH3" s="179"/>
      <c r="LNI3" s="179"/>
      <c r="LNJ3" s="179"/>
      <c r="LNK3" s="179"/>
      <c r="LNL3" s="179"/>
      <c r="LNM3" s="179"/>
      <c r="LNN3" s="179"/>
      <c r="LNO3" s="179"/>
      <c r="LNP3" s="179"/>
      <c r="LNQ3" s="179"/>
      <c r="LNR3" s="179"/>
      <c r="LNS3" s="179"/>
      <c r="LNT3" s="179"/>
      <c r="LNU3" s="179"/>
      <c r="LNV3" s="179"/>
      <c r="LNW3" s="179"/>
      <c r="LNX3" s="179"/>
      <c r="LNY3" s="179"/>
      <c r="LNZ3" s="179"/>
      <c r="LOA3" s="179"/>
      <c r="LOB3" s="179"/>
      <c r="LOC3" s="179"/>
      <c r="LOD3" s="179"/>
      <c r="LOE3" s="179"/>
      <c r="LOF3" s="179"/>
      <c r="LOG3" s="179"/>
      <c r="LOH3" s="179"/>
      <c r="LOI3" s="179"/>
      <c r="LOJ3" s="179"/>
      <c r="LOK3" s="179"/>
      <c r="LOL3" s="179"/>
      <c r="LOM3" s="179"/>
      <c r="LON3" s="179"/>
      <c r="LOO3" s="179"/>
      <c r="LOP3" s="179"/>
      <c r="LOQ3" s="179"/>
      <c r="LOR3" s="179"/>
      <c r="LOS3" s="179"/>
      <c r="LOT3" s="179"/>
      <c r="LOU3" s="179"/>
      <c r="LOV3" s="179"/>
      <c r="LOW3" s="179"/>
      <c r="LOX3" s="179"/>
      <c r="LOY3" s="179"/>
      <c r="LOZ3" s="179"/>
      <c r="LPA3" s="179"/>
      <c r="LPB3" s="179"/>
      <c r="LPC3" s="179"/>
      <c r="LPD3" s="179"/>
      <c r="LPE3" s="179"/>
      <c r="LPF3" s="179"/>
      <c r="LPG3" s="179"/>
      <c r="LPH3" s="179"/>
      <c r="LPI3" s="179"/>
      <c r="LPJ3" s="179"/>
      <c r="LPK3" s="179"/>
      <c r="LPL3" s="179"/>
      <c r="LPM3" s="179"/>
      <c r="LPN3" s="179"/>
      <c r="LPO3" s="179"/>
      <c r="LPP3" s="179"/>
      <c r="LPQ3" s="179"/>
      <c r="LPR3" s="179"/>
      <c r="LPS3" s="179"/>
      <c r="LPT3" s="179"/>
      <c r="LPU3" s="179"/>
      <c r="LPV3" s="179"/>
      <c r="LPW3" s="179"/>
      <c r="LPX3" s="179"/>
      <c r="LPY3" s="179"/>
      <c r="LPZ3" s="179"/>
      <c r="LQA3" s="179"/>
      <c r="LQB3" s="179"/>
      <c r="LQC3" s="179"/>
      <c r="LQD3" s="179"/>
      <c r="LQE3" s="179"/>
      <c r="LQF3" s="179"/>
      <c r="LQG3" s="179"/>
      <c r="LQH3" s="179"/>
      <c r="LQI3" s="179"/>
      <c r="LQJ3" s="179"/>
      <c r="LQK3" s="179"/>
      <c r="LQL3" s="179"/>
      <c r="LQM3" s="179"/>
      <c r="LQN3" s="179"/>
      <c r="LQO3" s="179"/>
      <c r="LQP3" s="179"/>
      <c r="LQQ3" s="179"/>
      <c r="LQR3" s="179"/>
      <c r="LQS3" s="179"/>
      <c r="LQT3" s="179"/>
      <c r="LQU3" s="179"/>
      <c r="LQV3" s="179"/>
      <c r="LQW3" s="179"/>
      <c r="LQX3" s="179"/>
      <c r="LQY3" s="179"/>
      <c r="LQZ3" s="179"/>
      <c r="LRA3" s="179"/>
      <c r="LRB3" s="179"/>
      <c r="LRC3" s="179"/>
      <c r="LRD3" s="179"/>
      <c r="LRE3" s="179"/>
      <c r="LRF3" s="179"/>
      <c r="LRG3" s="179"/>
      <c r="LRH3" s="179"/>
      <c r="LRI3" s="179"/>
      <c r="LRJ3" s="179"/>
      <c r="LRK3" s="179"/>
      <c r="LRL3" s="179"/>
      <c r="LRM3" s="179"/>
      <c r="LRN3" s="179"/>
      <c r="LRO3" s="179"/>
      <c r="LRP3" s="179"/>
      <c r="LRQ3" s="179"/>
      <c r="LRR3" s="179"/>
      <c r="LRS3" s="179"/>
      <c r="LRT3" s="179"/>
      <c r="LRU3" s="179"/>
      <c r="LRV3" s="179"/>
      <c r="LRW3" s="179"/>
      <c r="LRX3" s="179"/>
      <c r="LRY3" s="179"/>
      <c r="LRZ3" s="179"/>
      <c r="LSA3" s="179"/>
      <c r="LSB3" s="179"/>
      <c r="LSC3" s="179"/>
      <c r="LSD3" s="179"/>
      <c r="LSE3" s="179"/>
      <c r="LSF3" s="179"/>
      <c r="LSG3" s="179"/>
      <c r="LSH3" s="179"/>
      <c r="LSI3" s="179"/>
      <c r="LSJ3" s="179"/>
      <c r="LSK3" s="179"/>
      <c r="LSL3" s="179"/>
      <c r="LSM3" s="179"/>
      <c r="LSN3" s="179"/>
      <c r="LSO3" s="179"/>
      <c r="LSP3" s="179"/>
      <c r="LSQ3" s="179"/>
      <c r="LSR3" s="179"/>
      <c r="LSS3" s="179"/>
      <c r="LST3" s="179"/>
      <c r="LSU3" s="179"/>
      <c r="LSV3" s="179"/>
      <c r="LSW3" s="179"/>
      <c r="LSX3" s="179"/>
      <c r="LSY3" s="179"/>
      <c r="LSZ3" s="179"/>
      <c r="LTA3" s="179"/>
      <c r="LTB3" s="179"/>
      <c r="LTC3" s="179"/>
      <c r="LTD3" s="179"/>
      <c r="LTE3" s="179"/>
      <c r="LTF3" s="179"/>
      <c r="LTG3" s="179"/>
      <c r="LTH3" s="179"/>
      <c r="LTI3" s="179"/>
      <c r="LTJ3" s="179"/>
      <c r="LTK3" s="179"/>
      <c r="LTL3" s="179"/>
      <c r="LTM3" s="179"/>
      <c r="LTN3" s="179"/>
      <c r="LTO3" s="179"/>
      <c r="LTP3" s="179"/>
      <c r="LTQ3" s="179"/>
      <c r="LTR3" s="179"/>
      <c r="LTS3" s="179"/>
      <c r="LTT3" s="179"/>
      <c r="LTU3" s="179"/>
      <c r="LTV3" s="179"/>
      <c r="LTW3" s="179"/>
      <c r="LTX3" s="179"/>
      <c r="LTY3" s="179"/>
      <c r="LTZ3" s="179"/>
      <c r="LUA3" s="179"/>
      <c r="LUB3" s="179"/>
      <c r="LUC3" s="179"/>
      <c r="LUD3" s="179"/>
      <c r="LUE3" s="179"/>
      <c r="LUF3" s="179"/>
      <c r="LUG3" s="179"/>
      <c r="LUH3" s="179"/>
      <c r="LUI3" s="179"/>
      <c r="LUJ3" s="179"/>
      <c r="LUK3" s="179"/>
      <c r="LUL3" s="179"/>
      <c r="LUM3" s="179"/>
      <c r="LUN3" s="179"/>
      <c r="LUO3" s="179"/>
      <c r="LUP3" s="179"/>
      <c r="LUQ3" s="179"/>
      <c r="LUR3" s="179"/>
      <c r="LUS3" s="179"/>
      <c r="LUT3" s="179"/>
      <c r="LUU3" s="179"/>
      <c r="LUV3" s="179"/>
      <c r="LUW3" s="179"/>
      <c r="LUX3" s="179"/>
      <c r="LUY3" s="179"/>
      <c r="LUZ3" s="179"/>
      <c r="LVA3" s="179"/>
      <c r="LVB3" s="179"/>
      <c r="LVC3" s="179"/>
      <c r="LVD3" s="179"/>
      <c r="LVE3" s="179"/>
      <c r="LVF3" s="179"/>
      <c r="LVG3" s="179"/>
      <c r="LVH3" s="179"/>
      <c r="LVI3" s="179"/>
      <c r="LVJ3" s="179"/>
      <c r="LVK3" s="179"/>
      <c r="LVL3" s="179"/>
      <c r="LVM3" s="179"/>
      <c r="LVN3" s="179"/>
      <c r="LVO3" s="179"/>
      <c r="LVP3" s="179"/>
      <c r="LVQ3" s="179"/>
      <c r="LVR3" s="179"/>
      <c r="LVS3" s="179"/>
      <c r="LVT3" s="179"/>
      <c r="LVU3" s="179"/>
      <c r="LVV3" s="179"/>
      <c r="LVW3" s="179"/>
      <c r="LVX3" s="179"/>
      <c r="LVY3" s="179"/>
      <c r="LVZ3" s="179"/>
      <c r="LWA3" s="179"/>
      <c r="LWB3" s="179"/>
      <c r="LWC3" s="179"/>
      <c r="LWD3" s="179"/>
      <c r="LWE3" s="179"/>
      <c r="LWF3" s="179"/>
      <c r="LWG3" s="179"/>
      <c r="LWH3" s="179"/>
      <c r="LWI3" s="179"/>
      <c r="LWJ3" s="179"/>
      <c r="LWK3" s="179"/>
      <c r="LWL3" s="179"/>
      <c r="LWM3" s="179"/>
      <c r="LWN3" s="179"/>
      <c r="LWO3" s="179"/>
      <c r="LWP3" s="179"/>
      <c r="LWQ3" s="179"/>
      <c r="LWR3" s="179"/>
      <c r="LWS3" s="179"/>
      <c r="LWT3" s="179"/>
      <c r="LWU3" s="179"/>
      <c r="LWV3" s="179"/>
      <c r="LWW3" s="179"/>
      <c r="LWX3" s="179"/>
      <c r="LWY3" s="179"/>
      <c r="LWZ3" s="179"/>
      <c r="LXA3" s="179"/>
      <c r="LXB3" s="179"/>
      <c r="LXC3" s="179"/>
      <c r="LXD3" s="179"/>
      <c r="LXE3" s="179"/>
      <c r="LXF3" s="179"/>
      <c r="LXG3" s="179"/>
      <c r="LXH3" s="179"/>
      <c r="LXI3" s="179"/>
      <c r="LXJ3" s="179"/>
      <c r="LXK3" s="179"/>
      <c r="LXL3" s="179"/>
      <c r="LXM3" s="179"/>
      <c r="LXN3" s="179"/>
      <c r="LXO3" s="179"/>
      <c r="LXP3" s="179"/>
      <c r="LXQ3" s="179"/>
      <c r="LXR3" s="179"/>
      <c r="LXS3" s="179"/>
      <c r="LXT3" s="179"/>
      <c r="LXU3" s="179"/>
      <c r="LXV3" s="179"/>
      <c r="LXW3" s="179"/>
      <c r="LXX3" s="179"/>
      <c r="LXY3" s="179"/>
      <c r="LXZ3" s="179"/>
      <c r="LYA3" s="179"/>
      <c r="LYB3" s="179"/>
      <c r="LYC3" s="179"/>
      <c r="LYD3" s="179"/>
      <c r="LYE3" s="179"/>
      <c r="LYF3" s="179"/>
      <c r="LYG3" s="179"/>
      <c r="LYH3" s="179"/>
      <c r="LYI3" s="179"/>
      <c r="LYJ3" s="179"/>
      <c r="LYK3" s="179"/>
      <c r="LYL3" s="179"/>
      <c r="LYM3" s="179"/>
      <c r="LYN3" s="179"/>
      <c r="LYO3" s="179"/>
      <c r="LYP3" s="179"/>
      <c r="LYQ3" s="179"/>
      <c r="LYR3" s="179"/>
      <c r="LYS3" s="179"/>
      <c r="LYT3" s="179"/>
      <c r="LYU3" s="179"/>
      <c r="LYV3" s="179"/>
      <c r="LYW3" s="179"/>
      <c r="LYX3" s="179"/>
      <c r="LYY3" s="179"/>
      <c r="LYZ3" s="179"/>
      <c r="LZA3" s="179"/>
      <c r="LZB3" s="179"/>
      <c r="LZC3" s="179"/>
      <c r="LZD3" s="179"/>
      <c r="LZE3" s="179"/>
      <c r="LZF3" s="179"/>
      <c r="LZG3" s="179"/>
      <c r="LZH3" s="179"/>
      <c r="LZI3" s="179"/>
      <c r="LZJ3" s="179"/>
      <c r="LZK3" s="179"/>
      <c r="LZL3" s="179"/>
      <c r="LZM3" s="179"/>
      <c r="LZN3" s="179"/>
      <c r="LZO3" s="179"/>
      <c r="LZP3" s="179"/>
      <c r="LZQ3" s="179"/>
      <c r="LZR3" s="179"/>
      <c r="LZS3" s="179"/>
      <c r="LZT3" s="179"/>
      <c r="LZU3" s="179"/>
      <c r="LZV3" s="179"/>
      <c r="LZW3" s="179"/>
      <c r="LZX3" s="179"/>
      <c r="LZY3" s="179"/>
      <c r="LZZ3" s="179"/>
      <c r="MAA3" s="179"/>
      <c r="MAB3" s="179"/>
      <c r="MAC3" s="179"/>
      <c r="MAD3" s="179"/>
      <c r="MAE3" s="179"/>
      <c r="MAF3" s="179"/>
      <c r="MAG3" s="179"/>
      <c r="MAH3" s="179"/>
      <c r="MAI3" s="179"/>
      <c r="MAJ3" s="179"/>
      <c r="MAK3" s="179"/>
      <c r="MAL3" s="179"/>
      <c r="MAM3" s="179"/>
      <c r="MAN3" s="179"/>
      <c r="MAO3" s="179"/>
      <c r="MAP3" s="179"/>
      <c r="MAQ3" s="179"/>
      <c r="MAR3" s="179"/>
      <c r="MAS3" s="179"/>
      <c r="MAT3" s="179"/>
      <c r="MAU3" s="179"/>
      <c r="MAV3" s="179"/>
      <c r="MAW3" s="179"/>
      <c r="MAX3" s="179"/>
      <c r="MAY3" s="179"/>
      <c r="MAZ3" s="179"/>
      <c r="MBA3" s="179"/>
      <c r="MBB3" s="179"/>
      <c r="MBC3" s="179"/>
      <c r="MBD3" s="179"/>
      <c r="MBE3" s="179"/>
      <c r="MBF3" s="179"/>
      <c r="MBG3" s="179"/>
      <c r="MBH3" s="179"/>
      <c r="MBI3" s="179"/>
      <c r="MBJ3" s="179"/>
      <c r="MBK3" s="179"/>
      <c r="MBL3" s="179"/>
      <c r="MBM3" s="179"/>
      <c r="MBN3" s="179"/>
      <c r="MBO3" s="179"/>
      <c r="MBP3" s="179"/>
      <c r="MBQ3" s="179"/>
      <c r="MBR3" s="179"/>
      <c r="MBS3" s="179"/>
      <c r="MBT3" s="179"/>
      <c r="MBU3" s="179"/>
      <c r="MBV3" s="179"/>
      <c r="MBW3" s="179"/>
      <c r="MBX3" s="179"/>
      <c r="MBY3" s="179"/>
      <c r="MBZ3" s="179"/>
      <c r="MCA3" s="179"/>
      <c r="MCB3" s="179"/>
      <c r="MCC3" s="179"/>
      <c r="MCD3" s="179"/>
      <c r="MCE3" s="179"/>
      <c r="MCF3" s="179"/>
      <c r="MCG3" s="179"/>
      <c r="MCH3" s="179"/>
      <c r="MCI3" s="179"/>
      <c r="MCJ3" s="179"/>
      <c r="MCK3" s="179"/>
      <c r="MCL3" s="179"/>
      <c r="MCM3" s="179"/>
      <c r="MCN3" s="179"/>
      <c r="MCO3" s="179"/>
      <c r="MCP3" s="179"/>
      <c r="MCQ3" s="179"/>
      <c r="MCR3" s="179"/>
      <c r="MCS3" s="179"/>
      <c r="MCT3" s="179"/>
      <c r="MCU3" s="179"/>
      <c r="MCV3" s="179"/>
      <c r="MCW3" s="179"/>
      <c r="MCX3" s="179"/>
      <c r="MCY3" s="179"/>
      <c r="MCZ3" s="179"/>
      <c r="MDA3" s="179"/>
      <c r="MDB3" s="179"/>
      <c r="MDC3" s="179"/>
      <c r="MDD3" s="179"/>
      <c r="MDE3" s="179"/>
      <c r="MDF3" s="179"/>
      <c r="MDG3" s="179"/>
      <c r="MDH3" s="179"/>
      <c r="MDI3" s="179"/>
      <c r="MDJ3" s="179"/>
      <c r="MDK3" s="179"/>
      <c r="MDL3" s="179"/>
      <c r="MDM3" s="179"/>
      <c r="MDN3" s="179"/>
      <c r="MDO3" s="179"/>
      <c r="MDP3" s="179"/>
      <c r="MDQ3" s="179"/>
      <c r="MDR3" s="179"/>
      <c r="MDS3" s="179"/>
      <c r="MDT3" s="179"/>
      <c r="MDU3" s="179"/>
      <c r="MDV3" s="179"/>
      <c r="MDW3" s="179"/>
      <c r="MDX3" s="179"/>
      <c r="MDY3" s="179"/>
      <c r="MDZ3" s="179"/>
      <c r="MEA3" s="179"/>
      <c r="MEB3" s="179"/>
      <c r="MEC3" s="179"/>
      <c r="MED3" s="179"/>
      <c r="MEE3" s="179"/>
      <c r="MEF3" s="179"/>
      <c r="MEG3" s="179"/>
      <c r="MEH3" s="179"/>
      <c r="MEI3" s="179"/>
      <c r="MEJ3" s="179"/>
      <c r="MEK3" s="179"/>
      <c r="MEL3" s="179"/>
      <c r="MEM3" s="179"/>
      <c r="MEN3" s="179"/>
      <c r="MEO3" s="179"/>
      <c r="MEP3" s="179"/>
      <c r="MEQ3" s="179"/>
      <c r="MER3" s="179"/>
      <c r="MES3" s="179"/>
      <c r="MET3" s="179"/>
      <c r="MEU3" s="179"/>
      <c r="MEV3" s="179"/>
      <c r="MEW3" s="179"/>
      <c r="MEX3" s="179"/>
      <c r="MEY3" s="179"/>
      <c r="MEZ3" s="179"/>
      <c r="MFA3" s="179"/>
      <c r="MFB3" s="179"/>
      <c r="MFC3" s="179"/>
      <c r="MFD3" s="179"/>
      <c r="MFE3" s="179"/>
      <c r="MFF3" s="179"/>
      <c r="MFG3" s="179"/>
      <c r="MFH3" s="179"/>
      <c r="MFI3" s="179"/>
      <c r="MFJ3" s="179"/>
      <c r="MFK3" s="179"/>
      <c r="MFL3" s="179"/>
      <c r="MFM3" s="179"/>
      <c r="MFN3" s="179"/>
      <c r="MFO3" s="179"/>
      <c r="MFP3" s="179"/>
      <c r="MFQ3" s="179"/>
      <c r="MFR3" s="179"/>
      <c r="MFS3" s="179"/>
      <c r="MFT3" s="179"/>
      <c r="MFU3" s="179"/>
      <c r="MFV3" s="179"/>
      <c r="MFW3" s="179"/>
      <c r="MFX3" s="179"/>
      <c r="MFY3" s="179"/>
      <c r="MFZ3" s="179"/>
      <c r="MGA3" s="179"/>
      <c r="MGB3" s="179"/>
      <c r="MGC3" s="179"/>
      <c r="MGD3" s="179"/>
      <c r="MGE3" s="179"/>
      <c r="MGF3" s="179"/>
      <c r="MGG3" s="179"/>
      <c r="MGH3" s="179"/>
      <c r="MGI3" s="179"/>
      <c r="MGJ3" s="179"/>
      <c r="MGK3" s="179"/>
      <c r="MGL3" s="179"/>
      <c r="MGM3" s="179"/>
      <c r="MGN3" s="179"/>
      <c r="MGO3" s="179"/>
      <c r="MGP3" s="179"/>
      <c r="MGQ3" s="179"/>
      <c r="MGR3" s="179"/>
      <c r="MGS3" s="179"/>
      <c r="MGT3" s="179"/>
      <c r="MGU3" s="179"/>
      <c r="MGV3" s="179"/>
      <c r="MGW3" s="179"/>
      <c r="MGX3" s="179"/>
      <c r="MGY3" s="179"/>
      <c r="MGZ3" s="179"/>
      <c r="MHA3" s="179"/>
      <c r="MHB3" s="179"/>
      <c r="MHC3" s="179"/>
      <c r="MHD3" s="179"/>
      <c r="MHE3" s="179"/>
      <c r="MHF3" s="179"/>
      <c r="MHG3" s="179"/>
      <c r="MHH3" s="179"/>
      <c r="MHI3" s="179"/>
      <c r="MHJ3" s="179"/>
      <c r="MHK3" s="179"/>
      <c r="MHL3" s="179"/>
      <c r="MHM3" s="179"/>
      <c r="MHN3" s="179"/>
      <c r="MHO3" s="179"/>
      <c r="MHP3" s="179"/>
      <c r="MHQ3" s="179"/>
      <c r="MHR3" s="179"/>
      <c r="MHS3" s="179"/>
      <c r="MHT3" s="179"/>
      <c r="MHU3" s="179"/>
      <c r="MHV3" s="179"/>
      <c r="MHW3" s="179"/>
      <c r="MHX3" s="179"/>
      <c r="MHY3" s="179"/>
      <c r="MHZ3" s="179"/>
      <c r="MIA3" s="179"/>
      <c r="MIB3" s="179"/>
      <c r="MIC3" s="179"/>
      <c r="MID3" s="179"/>
      <c r="MIE3" s="179"/>
      <c r="MIF3" s="179"/>
      <c r="MIG3" s="179"/>
      <c r="MIH3" s="179"/>
      <c r="MII3" s="179"/>
      <c r="MIJ3" s="179"/>
      <c r="MIK3" s="179"/>
      <c r="MIL3" s="179"/>
      <c r="MIM3" s="179"/>
      <c r="MIN3" s="179"/>
      <c r="MIO3" s="179"/>
      <c r="MIP3" s="179"/>
      <c r="MIQ3" s="179"/>
      <c r="MIR3" s="179"/>
      <c r="MIS3" s="179"/>
      <c r="MIT3" s="179"/>
      <c r="MIU3" s="179"/>
      <c r="MIV3" s="179"/>
      <c r="MIW3" s="179"/>
      <c r="MIX3" s="179"/>
      <c r="MIY3" s="179"/>
      <c r="MIZ3" s="179"/>
      <c r="MJA3" s="179"/>
      <c r="MJB3" s="179"/>
      <c r="MJC3" s="179"/>
      <c r="MJD3" s="179"/>
      <c r="MJE3" s="179"/>
      <c r="MJF3" s="179"/>
      <c r="MJG3" s="179"/>
      <c r="MJH3" s="179"/>
      <c r="MJI3" s="179"/>
      <c r="MJJ3" s="179"/>
      <c r="MJK3" s="179"/>
      <c r="MJL3" s="179"/>
      <c r="MJM3" s="179"/>
      <c r="MJN3" s="179"/>
      <c r="MJO3" s="179"/>
      <c r="MJP3" s="179"/>
      <c r="MJQ3" s="179"/>
      <c r="MJR3" s="179"/>
      <c r="MJS3" s="179"/>
      <c r="MJT3" s="179"/>
      <c r="MJU3" s="179"/>
      <c r="MJV3" s="179"/>
      <c r="MJW3" s="179"/>
      <c r="MJX3" s="179"/>
      <c r="MJY3" s="179"/>
      <c r="MJZ3" s="179"/>
      <c r="MKA3" s="179"/>
      <c r="MKB3" s="179"/>
      <c r="MKC3" s="179"/>
      <c r="MKD3" s="179"/>
      <c r="MKE3" s="179"/>
      <c r="MKF3" s="179"/>
      <c r="MKG3" s="179"/>
      <c r="MKH3" s="179"/>
      <c r="MKI3" s="179"/>
      <c r="MKJ3" s="179"/>
      <c r="MKK3" s="179"/>
      <c r="MKL3" s="179"/>
      <c r="MKM3" s="179"/>
      <c r="MKN3" s="179"/>
      <c r="MKO3" s="179"/>
      <c r="MKP3" s="179"/>
      <c r="MKQ3" s="179"/>
      <c r="MKR3" s="179"/>
      <c r="MKS3" s="179"/>
      <c r="MKT3" s="179"/>
      <c r="MKU3" s="179"/>
      <c r="MKV3" s="179"/>
      <c r="MKW3" s="179"/>
      <c r="MKX3" s="179"/>
      <c r="MKY3" s="179"/>
      <c r="MKZ3" s="179"/>
      <c r="MLA3" s="179"/>
      <c r="MLB3" s="179"/>
      <c r="MLC3" s="179"/>
      <c r="MLD3" s="179"/>
      <c r="MLE3" s="179"/>
      <c r="MLF3" s="179"/>
      <c r="MLG3" s="179"/>
      <c r="MLH3" s="179"/>
      <c r="MLI3" s="179"/>
      <c r="MLJ3" s="179"/>
      <c r="MLK3" s="179"/>
      <c r="MLL3" s="179"/>
      <c r="MLM3" s="179"/>
      <c r="MLN3" s="179"/>
      <c r="MLO3" s="179"/>
      <c r="MLP3" s="179"/>
      <c r="MLQ3" s="179"/>
      <c r="MLR3" s="179"/>
      <c r="MLS3" s="179"/>
      <c r="MLT3" s="179"/>
      <c r="MLU3" s="179"/>
      <c r="MLV3" s="179"/>
      <c r="MLW3" s="179"/>
      <c r="MLX3" s="179"/>
      <c r="MLY3" s="179"/>
      <c r="MLZ3" s="179"/>
      <c r="MMA3" s="179"/>
      <c r="MMB3" s="179"/>
      <c r="MMC3" s="179"/>
      <c r="MMD3" s="179"/>
      <c r="MME3" s="179"/>
      <c r="MMF3" s="179"/>
      <c r="MMG3" s="179"/>
      <c r="MMH3" s="179"/>
      <c r="MMI3" s="179"/>
      <c r="MMJ3" s="179"/>
      <c r="MMK3" s="179"/>
      <c r="MML3" s="179"/>
      <c r="MMM3" s="179"/>
      <c r="MMN3" s="179"/>
      <c r="MMO3" s="179"/>
      <c r="MMP3" s="179"/>
      <c r="MMQ3" s="179"/>
      <c r="MMR3" s="179"/>
      <c r="MMS3" s="179"/>
      <c r="MMT3" s="179"/>
      <c r="MMU3" s="179"/>
      <c r="MMV3" s="179"/>
      <c r="MMW3" s="179"/>
      <c r="MMX3" s="179"/>
      <c r="MMY3" s="179"/>
      <c r="MMZ3" s="179"/>
      <c r="MNA3" s="179"/>
      <c r="MNB3" s="179"/>
      <c r="MNC3" s="179"/>
      <c r="MND3" s="179"/>
      <c r="MNE3" s="179"/>
      <c r="MNF3" s="179"/>
      <c r="MNG3" s="179"/>
      <c r="MNH3" s="179"/>
      <c r="MNI3" s="179"/>
      <c r="MNJ3" s="179"/>
      <c r="MNK3" s="179"/>
      <c r="MNL3" s="179"/>
      <c r="MNM3" s="179"/>
      <c r="MNN3" s="179"/>
      <c r="MNO3" s="179"/>
      <c r="MNP3" s="179"/>
      <c r="MNQ3" s="179"/>
      <c r="MNR3" s="179"/>
      <c r="MNS3" s="179"/>
      <c r="MNT3" s="179"/>
      <c r="MNU3" s="179"/>
      <c r="MNV3" s="179"/>
      <c r="MNW3" s="179"/>
      <c r="MNX3" s="179"/>
      <c r="MNY3" s="179"/>
      <c r="MNZ3" s="179"/>
      <c r="MOA3" s="179"/>
      <c r="MOB3" s="179"/>
      <c r="MOC3" s="179"/>
      <c r="MOD3" s="179"/>
      <c r="MOE3" s="179"/>
      <c r="MOF3" s="179"/>
      <c r="MOG3" s="179"/>
      <c r="MOH3" s="179"/>
      <c r="MOI3" s="179"/>
      <c r="MOJ3" s="179"/>
      <c r="MOK3" s="179"/>
      <c r="MOL3" s="179"/>
      <c r="MOM3" s="179"/>
      <c r="MON3" s="179"/>
      <c r="MOO3" s="179"/>
      <c r="MOP3" s="179"/>
      <c r="MOQ3" s="179"/>
      <c r="MOR3" s="179"/>
      <c r="MOS3" s="179"/>
      <c r="MOT3" s="179"/>
      <c r="MOU3" s="179"/>
      <c r="MOV3" s="179"/>
      <c r="MOW3" s="179"/>
      <c r="MOX3" s="179"/>
      <c r="MOY3" s="179"/>
      <c r="MOZ3" s="179"/>
      <c r="MPA3" s="179"/>
      <c r="MPB3" s="179"/>
      <c r="MPC3" s="179"/>
      <c r="MPD3" s="179"/>
      <c r="MPE3" s="179"/>
      <c r="MPF3" s="179"/>
      <c r="MPG3" s="179"/>
      <c r="MPH3" s="179"/>
      <c r="MPI3" s="179"/>
      <c r="MPJ3" s="179"/>
      <c r="MPK3" s="179"/>
      <c r="MPL3" s="179"/>
      <c r="MPM3" s="179"/>
      <c r="MPN3" s="179"/>
      <c r="MPO3" s="179"/>
      <c r="MPP3" s="179"/>
      <c r="MPQ3" s="179"/>
      <c r="MPR3" s="179"/>
      <c r="MPS3" s="179"/>
      <c r="MPT3" s="179"/>
      <c r="MPU3" s="179"/>
      <c r="MPV3" s="179"/>
      <c r="MPW3" s="179"/>
      <c r="MPX3" s="179"/>
      <c r="MPY3" s="179"/>
      <c r="MPZ3" s="179"/>
      <c r="MQA3" s="179"/>
      <c r="MQB3" s="179"/>
      <c r="MQC3" s="179"/>
      <c r="MQD3" s="179"/>
      <c r="MQE3" s="179"/>
      <c r="MQF3" s="179"/>
      <c r="MQG3" s="179"/>
      <c r="MQH3" s="179"/>
      <c r="MQI3" s="179"/>
      <c r="MQJ3" s="179"/>
      <c r="MQK3" s="179"/>
      <c r="MQL3" s="179"/>
      <c r="MQM3" s="179"/>
      <c r="MQN3" s="179"/>
      <c r="MQO3" s="179"/>
      <c r="MQP3" s="179"/>
      <c r="MQQ3" s="179"/>
      <c r="MQR3" s="179"/>
      <c r="MQS3" s="179"/>
      <c r="MQT3" s="179"/>
      <c r="MQU3" s="179"/>
      <c r="MQV3" s="179"/>
      <c r="MQW3" s="179"/>
      <c r="MQX3" s="179"/>
      <c r="MQY3" s="179"/>
      <c r="MQZ3" s="179"/>
      <c r="MRA3" s="179"/>
      <c r="MRB3" s="179"/>
      <c r="MRC3" s="179"/>
      <c r="MRD3" s="179"/>
      <c r="MRE3" s="179"/>
      <c r="MRF3" s="179"/>
      <c r="MRG3" s="179"/>
      <c r="MRH3" s="179"/>
      <c r="MRI3" s="179"/>
      <c r="MRJ3" s="179"/>
      <c r="MRK3" s="179"/>
      <c r="MRL3" s="179"/>
      <c r="MRM3" s="179"/>
      <c r="MRN3" s="179"/>
      <c r="MRO3" s="179"/>
      <c r="MRP3" s="179"/>
      <c r="MRQ3" s="179"/>
      <c r="MRR3" s="179"/>
      <c r="MRS3" s="179"/>
      <c r="MRT3" s="179"/>
      <c r="MRU3" s="179"/>
      <c r="MRV3" s="179"/>
      <c r="MRW3" s="179"/>
      <c r="MRX3" s="179"/>
      <c r="MRY3" s="179"/>
      <c r="MRZ3" s="179"/>
      <c r="MSA3" s="179"/>
      <c r="MSB3" s="179"/>
      <c r="MSC3" s="179"/>
      <c r="MSD3" s="179"/>
      <c r="MSE3" s="179"/>
      <c r="MSF3" s="179"/>
      <c r="MSG3" s="179"/>
      <c r="MSH3" s="179"/>
      <c r="MSI3" s="179"/>
      <c r="MSJ3" s="179"/>
      <c r="MSK3" s="179"/>
      <c r="MSL3" s="179"/>
      <c r="MSM3" s="179"/>
      <c r="MSN3" s="179"/>
      <c r="MSO3" s="179"/>
      <c r="MSP3" s="179"/>
      <c r="MSQ3" s="179"/>
      <c r="MSR3" s="179"/>
      <c r="MSS3" s="179"/>
      <c r="MST3" s="179"/>
      <c r="MSU3" s="179"/>
      <c r="MSV3" s="179"/>
      <c r="MSW3" s="179"/>
      <c r="MSX3" s="179"/>
      <c r="MSY3" s="179"/>
      <c r="MSZ3" s="179"/>
      <c r="MTA3" s="179"/>
      <c r="MTB3" s="179"/>
      <c r="MTC3" s="179"/>
      <c r="MTD3" s="179"/>
      <c r="MTE3" s="179"/>
      <c r="MTF3" s="179"/>
      <c r="MTG3" s="179"/>
      <c r="MTH3" s="179"/>
      <c r="MTI3" s="179"/>
      <c r="MTJ3" s="179"/>
      <c r="MTK3" s="179"/>
      <c r="MTL3" s="179"/>
      <c r="MTM3" s="179"/>
      <c r="MTN3" s="179"/>
      <c r="MTO3" s="179"/>
      <c r="MTP3" s="179"/>
      <c r="MTQ3" s="179"/>
      <c r="MTR3" s="179"/>
      <c r="MTS3" s="179"/>
      <c r="MTT3" s="179"/>
      <c r="MTU3" s="179"/>
      <c r="MTV3" s="179"/>
      <c r="MTW3" s="179"/>
      <c r="MTX3" s="179"/>
      <c r="MTY3" s="179"/>
      <c r="MTZ3" s="179"/>
      <c r="MUA3" s="179"/>
      <c r="MUB3" s="179"/>
      <c r="MUC3" s="179"/>
      <c r="MUD3" s="179"/>
      <c r="MUE3" s="179"/>
      <c r="MUF3" s="179"/>
      <c r="MUG3" s="179"/>
      <c r="MUH3" s="179"/>
      <c r="MUI3" s="179"/>
      <c r="MUJ3" s="179"/>
      <c r="MUK3" s="179"/>
      <c r="MUL3" s="179"/>
      <c r="MUM3" s="179"/>
      <c r="MUN3" s="179"/>
      <c r="MUO3" s="179"/>
      <c r="MUP3" s="179"/>
      <c r="MUQ3" s="179"/>
      <c r="MUR3" s="179"/>
      <c r="MUS3" s="179"/>
      <c r="MUT3" s="179"/>
      <c r="MUU3" s="179"/>
      <c r="MUV3" s="179"/>
      <c r="MUW3" s="179"/>
      <c r="MUX3" s="179"/>
      <c r="MUY3" s="179"/>
      <c r="MUZ3" s="179"/>
      <c r="MVA3" s="179"/>
      <c r="MVB3" s="179"/>
      <c r="MVC3" s="179"/>
      <c r="MVD3" s="179"/>
      <c r="MVE3" s="179"/>
      <c r="MVF3" s="179"/>
      <c r="MVG3" s="179"/>
      <c r="MVH3" s="179"/>
      <c r="MVI3" s="179"/>
      <c r="MVJ3" s="179"/>
      <c r="MVK3" s="179"/>
      <c r="MVL3" s="179"/>
      <c r="MVM3" s="179"/>
      <c r="MVN3" s="179"/>
      <c r="MVO3" s="179"/>
      <c r="MVP3" s="179"/>
      <c r="MVQ3" s="179"/>
      <c r="MVR3" s="179"/>
      <c r="MVS3" s="179"/>
      <c r="MVT3" s="179"/>
      <c r="MVU3" s="179"/>
      <c r="MVV3" s="179"/>
      <c r="MVW3" s="179"/>
      <c r="MVX3" s="179"/>
      <c r="MVY3" s="179"/>
      <c r="MVZ3" s="179"/>
      <c r="MWA3" s="179"/>
      <c r="MWB3" s="179"/>
      <c r="MWC3" s="179"/>
      <c r="MWD3" s="179"/>
      <c r="MWE3" s="179"/>
      <c r="MWF3" s="179"/>
      <c r="MWG3" s="179"/>
      <c r="MWH3" s="179"/>
      <c r="MWI3" s="179"/>
      <c r="MWJ3" s="179"/>
      <c r="MWK3" s="179"/>
      <c r="MWL3" s="179"/>
      <c r="MWM3" s="179"/>
      <c r="MWN3" s="179"/>
      <c r="MWO3" s="179"/>
      <c r="MWP3" s="179"/>
      <c r="MWQ3" s="179"/>
      <c r="MWR3" s="179"/>
      <c r="MWS3" s="179"/>
      <c r="MWT3" s="179"/>
      <c r="MWU3" s="179"/>
      <c r="MWV3" s="179"/>
      <c r="MWW3" s="179"/>
      <c r="MWX3" s="179"/>
      <c r="MWY3" s="179"/>
      <c r="MWZ3" s="179"/>
      <c r="MXA3" s="179"/>
      <c r="MXB3" s="179"/>
      <c r="MXC3" s="179"/>
      <c r="MXD3" s="179"/>
      <c r="MXE3" s="179"/>
      <c r="MXF3" s="179"/>
      <c r="MXG3" s="179"/>
      <c r="MXH3" s="179"/>
      <c r="MXI3" s="179"/>
      <c r="MXJ3" s="179"/>
      <c r="MXK3" s="179"/>
      <c r="MXL3" s="179"/>
      <c r="MXM3" s="179"/>
      <c r="MXN3" s="179"/>
      <c r="MXO3" s="179"/>
      <c r="MXP3" s="179"/>
      <c r="MXQ3" s="179"/>
      <c r="MXR3" s="179"/>
      <c r="MXS3" s="179"/>
      <c r="MXT3" s="179"/>
      <c r="MXU3" s="179"/>
      <c r="MXV3" s="179"/>
      <c r="MXW3" s="179"/>
      <c r="MXX3" s="179"/>
      <c r="MXY3" s="179"/>
      <c r="MXZ3" s="179"/>
      <c r="MYA3" s="179"/>
      <c r="MYB3" s="179"/>
      <c r="MYC3" s="179"/>
      <c r="MYD3" s="179"/>
      <c r="MYE3" s="179"/>
      <c r="MYF3" s="179"/>
      <c r="MYG3" s="179"/>
      <c r="MYH3" s="179"/>
      <c r="MYI3" s="179"/>
      <c r="MYJ3" s="179"/>
      <c r="MYK3" s="179"/>
      <c r="MYL3" s="179"/>
      <c r="MYM3" s="179"/>
      <c r="MYN3" s="179"/>
      <c r="MYO3" s="179"/>
      <c r="MYP3" s="179"/>
      <c r="MYQ3" s="179"/>
      <c r="MYR3" s="179"/>
      <c r="MYS3" s="179"/>
      <c r="MYT3" s="179"/>
      <c r="MYU3" s="179"/>
      <c r="MYV3" s="179"/>
      <c r="MYW3" s="179"/>
      <c r="MYX3" s="179"/>
      <c r="MYY3" s="179"/>
      <c r="MYZ3" s="179"/>
      <c r="MZA3" s="179"/>
      <c r="MZB3" s="179"/>
      <c r="MZC3" s="179"/>
      <c r="MZD3" s="179"/>
      <c r="MZE3" s="179"/>
      <c r="MZF3" s="179"/>
      <c r="MZG3" s="179"/>
      <c r="MZH3" s="179"/>
      <c r="MZI3" s="179"/>
      <c r="MZJ3" s="179"/>
      <c r="MZK3" s="179"/>
      <c r="MZL3" s="179"/>
      <c r="MZM3" s="179"/>
      <c r="MZN3" s="179"/>
      <c r="MZO3" s="179"/>
      <c r="MZP3" s="179"/>
      <c r="MZQ3" s="179"/>
      <c r="MZR3" s="179"/>
      <c r="MZS3" s="179"/>
      <c r="MZT3" s="179"/>
      <c r="MZU3" s="179"/>
      <c r="MZV3" s="179"/>
      <c r="MZW3" s="179"/>
      <c r="MZX3" s="179"/>
      <c r="MZY3" s="179"/>
      <c r="MZZ3" s="179"/>
      <c r="NAA3" s="179"/>
      <c r="NAB3" s="179"/>
      <c r="NAC3" s="179"/>
      <c r="NAD3" s="179"/>
      <c r="NAE3" s="179"/>
      <c r="NAF3" s="179"/>
      <c r="NAG3" s="179"/>
      <c r="NAH3" s="179"/>
      <c r="NAI3" s="179"/>
      <c r="NAJ3" s="179"/>
      <c r="NAK3" s="179"/>
      <c r="NAL3" s="179"/>
      <c r="NAM3" s="179"/>
      <c r="NAN3" s="179"/>
      <c r="NAO3" s="179"/>
      <c r="NAP3" s="179"/>
      <c r="NAQ3" s="179"/>
      <c r="NAR3" s="179"/>
      <c r="NAS3" s="179"/>
      <c r="NAT3" s="179"/>
      <c r="NAU3" s="179"/>
      <c r="NAV3" s="179"/>
      <c r="NAW3" s="179"/>
      <c r="NAX3" s="179"/>
      <c r="NAY3" s="179"/>
      <c r="NAZ3" s="179"/>
      <c r="NBA3" s="179"/>
      <c r="NBB3" s="179"/>
      <c r="NBC3" s="179"/>
      <c r="NBD3" s="179"/>
      <c r="NBE3" s="179"/>
      <c r="NBF3" s="179"/>
      <c r="NBG3" s="179"/>
      <c r="NBH3" s="179"/>
      <c r="NBI3" s="179"/>
      <c r="NBJ3" s="179"/>
      <c r="NBK3" s="179"/>
      <c r="NBL3" s="179"/>
      <c r="NBM3" s="179"/>
      <c r="NBN3" s="179"/>
      <c r="NBO3" s="179"/>
      <c r="NBP3" s="179"/>
      <c r="NBQ3" s="179"/>
      <c r="NBR3" s="179"/>
      <c r="NBS3" s="179"/>
      <c r="NBT3" s="179"/>
      <c r="NBU3" s="179"/>
      <c r="NBV3" s="179"/>
      <c r="NBW3" s="179"/>
      <c r="NBX3" s="179"/>
      <c r="NBY3" s="179"/>
      <c r="NBZ3" s="179"/>
      <c r="NCA3" s="179"/>
      <c r="NCB3" s="179"/>
      <c r="NCC3" s="179"/>
      <c r="NCD3" s="179"/>
      <c r="NCE3" s="179"/>
      <c r="NCF3" s="179"/>
      <c r="NCG3" s="179"/>
      <c r="NCH3" s="179"/>
      <c r="NCI3" s="179"/>
      <c r="NCJ3" s="179"/>
      <c r="NCK3" s="179"/>
      <c r="NCL3" s="179"/>
      <c r="NCM3" s="179"/>
      <c r="NCN3" s="179"/>
      <c r="NCO3" s="179"/>
      <c r="NCP3" s="179"/>
      <c r="NCQ3" s="179"/>
      <c r="NCR3" s="179"/>
      <c r="NCS3" s="179"/>
      <c r="NCT3" s="179"/>
      <c r="NCU3" s="179"/>
      <c r="NCV3" s="179"/>
      <c r="NCW3" s="179"/>
      <c r="NCX3" s="179"/>
      <c r="NCY3" s="179"/>
      <c r="NCZ3" s="179"/>
      <c r="NDA3" s="179"/>
      <c r="NDB3" s="179"/>
      <c r="NDC3" s="179"/>
      <c r="NDD3" s="179"/>
      <c r="NDE3" s="179"/>
      <c r="NDF3" s="179"/>
      <c r="NDG3" s="179"/>
      <c r="NDH3" s="179"/>
      <c r="NDI3" s="179"/>
      <c r="NDJ3" s="179"/>
      <c r="NDK3" s="179"/>
      <c r="NDL3" s="179"/>
      <c r="NDM3" s="179"/>
      <c r="NDN3" s="179"/>
      <c r="NDO3" s="179"/>
      <c r="NDP3" s="179"/>
      <c r="NDQ3" s="179"/>
      <c r="NDR3" s="179"/>
      <c r="NDS3" s="179"/>
      <c r="NDT3" s="179"/>
      <c r="NDU3" s="179"/>
      <c r="NDV3" s="179"/>
      <c r="NDW3" s="179"/>
      <c r="NDX3" s="179"/>
      <c r="NDY3" s="179"/>
      <c r="NDZ3" s="179"/>
      <c r="NEA3" s="179"/>
      <c r="NEB3" s="179"/>
      <c r="NEC3" s="179"/>
      <c r="NED3" s="179"/>
      <c r="NEE3" s="179"/>
      <c r="NEF3" s="179"/>
      <c r="NEG3" s="179"/>
      <c r="NEH3" s="179"/>
      <c r="NEI3" s="179"/>
      <c r="NEJ3" s="179"/>
      <c r="NEK3" s="179"/>
      <c r="NEL3" s="179"/>
      <c r="NEM3" s="179"/>
      <c r="NEN3" s="179"/>
      <c r="NEO3" s="179"/>
      <c r="NEP3" s="179"/>
      <c r="NEQ3" s="179"/>
      <c r="NER3" s="179"/>
      <c r="NES3" s="179"/>
      <c r="NET3" s="179"/>
      <c r="NEU3" s="179"/>
      <c r="NEV3" s="179"/>
      <c r="NEW3" s="179"/>
      <c r="NEX3" s="179"/>
      <c r="NEY3" s="179"/>
      <c r="NEZ3" s="179"/>
      <c r="NFA3" s="179"/>
      <c r="NFB3" s="179"/>
      <c r="NFC3" s="179"/>
      <c r="NFD3" s="179"/>
      <c r="NFE3" s="179"/>
      <c r="NFF3" s="179"/>
      <c r="NFG3" s="179"/>
      <c r="NFH3" s="179"/>
      <c r="NFI3" s="179"/>
      <c r="NFJ3" s="179"/>
      <c r="NFK3" s="179"/>
      <c r="NFL3" s="179"/>
      <c r="NFM3" s="179"/>
      <c r="NFN3" s="179"/>
      <c r="NFO3" s="179"/>
      <c r="NFP3" s="179"/>
      <c r="NFQ3" s="179"/>
      <c r="NFR3" s="179"/>
      <c r="NFS3" s="179"/>
      <c r="NFT3" s="179"/>
      <c r="NFU3" s="179"/>
      <c r="NFV3" s="179"/>
      <c r="NFW3" s="179"/>
      <c r="NFX3" s="179"/>
      <c r="NFY3" s="179"/>
      <c r="NFZ3" s="179"/>
      <c r="NGA3" s="179"/>
      <c r="NGB3" s="179"/>
      <c r="NGC3" s="179"/>
      <c r="NGD3" s="179"/>
      <c r="NGE3" s="179"/>
      <c r="NGF3" s="179"/>
      <c r="NGG3" s="179"/>
      <c r="NGH3" s="179"/>
      <c r="NGI3" s="179"/>
      <c r="NGJ3" s="179"/>
      <c r="NGK3" s="179"/>
      <c r="NGL3" s="179"/>
      <c r="NGM3" s="179"/>
      <c r="NGN3" s="179"/>
      <c r="NGO3" s="179"/>
      <c r="NGP3" s="179"/>
      <c r="NGQ3" s="179"/>
      <c r="NGR3" s="179"/>
      <c r="NGS3" s="179"/>
      <c r="NGT3" s="179"/>
      <c r="NGU3" s="179"/>
      <c r="NGV3" s="179"/>
      <c r="NGW3" s="179"/>
      <c r="NGX3" s="179"/>
      <c r="NGY3" s="179"/>
      <c r="NGZ3" s="179"/>
      <c r="NHA3" s="179"/>
      <c r="NHB3" s="179"/>
      <c r="NHC3" s="179"/>
      <c r="NHD3" s="179"/>
      <c r="NHE3" s="179"/>
      <c r="NHF3" s="179"/>
      <c r="NHG3" s="179"/>
      <c r="NHH3" s="179"/>
      <c r="NHI3" s="179"/>
      <c r="NHJ3" s="179"/>
      <c r="NHK3" s="179"/>
      <c r="NHL3" s="179"/>
      <c r="NHM3" s="179"/>
      <c r="NHN3" s="179"/>
      <c r="NHO3" s="179"/>
      <c r="NHP3" s="179"/>
      <c r="NHQ3" s="179"/>
      <c r="NHR3" s="179"/>
      <c r="NHS3" s="179"/>
      <c r="NHT3" s="179"/>
      <c r="NHU3" s="179"/>
      <c r="NHV3" s="179"/>
      <c r="NHW3" s="179"/>
      <c r="NHX3" s="179"/>
      <c r="NHY3" s="179"/>
      <c r="NHZ3" s="179"/>
      <c r="NIA3" s="179"/>
      <c r="NIB3" s="179"/>
      <c r="NIC3" s="179"/>
      <c r="NID3" s="179"/>
      <c r="NIE3" s="179"/>
      <c r="NIF3" s="179"/>
      <c r="NIG3" s="179"/>
      <c r="NIH3" s="179"/>
      <c r="NII3" s="179"/>
      <c r="NIJ3" s="179"/>
      <c r="NIK3" s="179"/>
      <c r="NIL3" s="179"/>
      <c r="NIM3" s="179"/>
      <c r="NIN3" s="179"/>
      <c r="NIO3" s="179"/>
      <c r="NIP3" s="179"/>
      <c r="NIQ3" s="179"/>
      <c r="NIR3" s="179"/>
      <c r="NIS3" s="179"/>
      <c r="NIT3" s="179"/>
      <c r="NIU3" s="179"/>
      <c r="NIV3" s="179"/>
      <c r="NIW3" s="179"/>
      <c r="NIX3" s="179"/>
      <c r="NIY3" s="179"/>
      <c r="NIZ3" s="179"/>
      <c r="NJA3" s="179"/>
      <c r="NJB3" s="179"/>
      <c r="NJC3" s="179"/>
      <c r="NJD3" s="179"/>
      <c r="NJE3" s="179"/>
      <c r="NJF3" s="179"/>
      <c r="NJG3" s="179"/>
      <c r="NJH3" s="179"/>
      <c r="NJI3" s="179"/>
      <c r="NJJ3" s="179"/>
      <c r="NJK3" s="179"/>
      <c r="NJL3" s="179"/>
      <c r="NJM3" s="179"/>
      <c r="NJN3" s="179"/>
      <c r="NJO3" s="179"/>
      <c r="NJP3" s="179"/>
      <c r="NJQ3" s="179"/>
      <c r="NJR3" s="179"/>
      <c r="NJS3" s="179"/>
      <c r="NJT3" s="179"/>
      <c r="NJU3" s="179"/>
      <c r="NJV3" s="179"/>
      <c r="NJW3" s="179"/>
      <c r="NJX3" s="179"/>
      <c r="NJY3" s="179"/>
      <c r="NJZ3" s="179"/>
      <c r="NKA3" s="179"/>
      <c r="NKB3" s="179"/>
      <c r="NKC3" s="179"/>
      <c r="NKD3" s="179"/>
      <c r="NKE3" s="179"/>
      <c r="NKF3" s="179"/>
      <c r="NKG3" s="179"/>
      <c r="NKH3" s="179"/>
      <c r="NKI3" s="179"/>
      <c r="NKJ3" s="179"/>
      <c r="NKK3" s="179"/>
      <c r="NKL3" s="179"/>
      <c r="NKM3" s="179"/>
      <c r="NKN3" s="179"/>
      <c r="NKO3" s="179"/>
      <c r="NKP3" s="179"/>
      <c r="NKQ3" s="179"/>
      <c r="NKR3" s="179"/>
      <c r="NKS3" s="179"/>
      <c r="NKT3" s="179"/>
      <c r="NKU3" s="179"/>
      <c r="NKV3" s="179"/>
      <c r="NKW3" s="179"/>
      <c r="NKX3" s="179"/>
      <c r="NKY3" s="179"/>
      <c r="NKZ3" s="179"/>
      <c r="NLA3" s="179"/>
      <c r="NLB3" s="179"/>
      <c r="NLC3" s="179"/>
      <c r="NLD3" s="179"/>
      <c r="NLE3" s="179"/>
      <c r="NLF3" s="179"/>
      <c r="NLG3" s="179"/>
      <c r="NLH3" s="179"/>
      <c r="NLI3" s="179"/>
      <c r="NLJ3" s="179"/>
      <c r="NLK3" s="179"/>
      <c r="NLL3" s="179"/>
      <c r="NLM3" s="179"/>
      <c r="NLN3" s="179"/>
      <c r="NLO3" s="179"/>
      <c r="NLP3" s="179"/>
      <c r="NLQ3" s="179"/>
      <c r="NLR3" s="179"/>
      <c r="NLS3" s="179"/>
      <c r="NLT3" s="179"/>
      <c r="NLU3" s="179"/>
      <c r="NLV3" s="179"/>
      <c r="NLW3" s="179"/>
      <c r="NLX3" s="179"/>
      <c r="NLY3" s="179"/>
      <c r="NLZ3" s="179"/>
      <c r="NMA3" s="179"/>
      <c r="NMB3" s="179"/>
      <c r="NMC3" s="179"/>
      <c r="NMD3" s="179"/>
      <c r="NME3" s="179"/>
      <c r="NMF3" s="179"/>
      <c r="NMG3" s="179"/>
      <c r="NMH3" s="179"/>
      <c r="NMI3" s="179"/>
      <c r="NMJ3" s="179"/>
      <c r="NMK3" s="179"/>
      <c r="NML3" s="179"/>
      <c r="NMM3" s="179"/>
      <c r="NMN3" s="179"/>
      <c r="NMO3" s="179"/>
      <c r="NMP3" s="179"/>
      <c r="NMQ3" s="179"/>
      <c r="NMR3" s="179"/>
      <c r="NMS3" s="179"/>
      <c r="NMT3" s="179"/>
      <c r="NMU3" s="179"/>
      <c r="NMV3" s="179"/>
      <c r="NMW3" s="179"/>
      <c r="NMX3" s="179"/>
      <c r="NMY3" s="179"/>
      <c r="NMZ3" s="179"/>
      <c r="NNA3" s="179"/>
      <c r="NNB3" s="179"/>
      <c r="NNC3" s="179"/>
      <c r="NND3" s="179"/>
      <c r="NNE3" s="179"/>
      <c r="NNF3" s="179"/>
      <c r="NNG3" s="179"/>
      <c r="NNH3" s="179"/>
      <c r="NNI3" s="179"/>
      <c r="NNJ3" s="179"/>
      <c r="NNK3" s="179"/>
      <c r="NNL3" s="179"/>
      <c r="NNM3" s="179"/>
      <c r="NNN3" s="179"/>
      <c r="NNO3" s="179"/>
      <c r="NNP3" s="179"/>
      <c r="NNQ3" s="179"/>
      <c r="NNR3" s="179"/>
      <c r="NNS3" s="179"/>
      <c r="NNT3" s="179"/>
      <c r="NNU3" s="179"/>
      <c r="NNV3" s="179"/>
      <c r="NNW3" s="179"/>
      <c r="NNX3" s="179"/>
      <c r="NNY3" s="179"/>
      <c r="NNZ3" s="179"/>
      <c r="NOA3" s="179"/>
      <c r="NOB3" s="179"/>
      <c r="NOC3" s="179"/>
      <c r="NOD3" s="179"/>
      <c r="NOE3" s="179"/>
      <c r="NOF3" s="179"/>
      <c r="NOG3" s="179"/>
      <c r="NOH3" s="179"/>
      <c r="NOI3" s="179"/>
      <c r="NOJ3" s="179"/>
      <c r="NOK3" s="179"/>
      <c r="NOL3" s="179"/>
      <c r="NOM3" s="179"/>
      <c r="NON3" s="179"/>
      <c r="NOO3" s="179"/>
      <c r="NOP3" s="179"/>
      <c r="NOQ3" s="179"/>
      <c r="NOR3" s="179"/>
      <c r="NOS3" s="179"/>
      <c r="NOT3" s="179"/>
      <c r="NOU3" s="179"/>
      <c r="NOV3" s="179"/>
      <c r="NOW3" s="179"/>
      <c r="NOX3" s="179"/>
      <c r="NOY3" s="179"/>
      <c r="NOZ3" s="179"/>
      <c r="NPA3" s="179"/>
      <c r="NPB3" s="179"/>
      <c r="NPC3" s="179"/>
      <c r="NPD3" s="179"/>
      <c r="NPE3" s="179"/>
      <c r="NPF3" s="179"/>
      <c r="NPG3" s="179"/>
      <c r="NPH3" s="179"/>
      <c r="NPI3" s="179"/>
      <c r="NPJ3" s="179"/>
      <c r="NPK3" s="179"/>
      <c r="NPL3" s="179"/>
      <c r="NPM3" s="179"/>
      <c r="NPN3" s="179"/>
      <c r="NPO3" s="179"/>
      <c r="NPP3" s="179"/>
      <c r="NPQ3" s="179"/>
      <c r="NPR3" s="179"/>
      <c r="NPS3" s="179"/>
      <c r="NPT3" s="179"/>
      <c r="NPU3" s="179"/>
      <c r="NPV3" s="179"/>
      <c r="NPW3" s="179"/>
      <c r="NPX3" s="179"/>
      <c r="NPY3" s="179"/>
      <c r="NPZ3" s="179"/>
      <c r="NQA3" s="179"/>
      <c r="NQB3" s="179"/>
      <c r="NQC3" s="179"/>
      <c r="NQD3" s="179"/>
      <c r="NQE3" s="179"/>
      <c r="NQF3" s="179"/>
      <c r="NQG3" s="179"/>
      <c r="NQH3" s="179"/>
      <c r="NQI3" s="179"/>
      <c r="NQJ3" s="179"/>
      <c r="NQK3" s="179"/>
      <c r="NQL3" s="179"/>
      <c r="NQM3" s="179"/>
      <c r="NQN3" s="179"/>
      <c r="NQO3" s="179"/>
      <c r="NQP3" s="179"/>
      <c r="NQQ3" s="179"/>
      <c r="NQR3" s="179"/>
      <c r="NQS3" s="179"/>
      <c r="NQT3" s="179"/>
      <c r="NQU3" s="179"/>
      <c r="NQV3" s="179"/>
      <c r="NQW3" s="179"/>
      <c r="NQX3" s="179"/>
      <c r="NQY3" s="179"/>
      <c r="NQZ3" s="179"/>
      <c r="NRA3" s="179"/>
      <c r="NRB3" s="179"/>
      <c r="NRC3" s="179"/>
      <c r="NRD3" s="179"/>
      <c r="NRE3" s="179"/>
      <c r="NRF3" s="179"/>
      <c r="NRG3" s="179"/>
      <c r="NRH3" s="179"/>
      <c r="NRI3" s="179"/>
      <c r="NRJ3" s="179"/>
      <c r="NRK3" s="179"/>
      <c r="NRL3" s="179"/>
      <c r="NRM3" s="179"/>
      <c r="NRN3" s="179"/>
      <c r="NRO3" s="179"/>
      <c r="NRP3" s="179"/>
      <c r="NRQ3" s="179"/>
      <c r="NRR3" s="179"/>
      <c r="NRS3" s="179"/>
      <c r="NRT3" s="179"/>
      <c r="NRU3" s="179"/>
      <c r="NRV3" s="179"/>
      <c r="NRW3" s="179"/>
      <c r="NRX3" s="179"/>
      <c r="NRY3" s="179"/>
      <c r="NRZ3" s="179"/>
      <c r="NSA3" s="179"/>
      <c r="NSB3" s="179"/>
      <c r="NSC3" s="179"/>
      <c r="NSD3" s="179"/>
      <c r="NSE3" s="179"/>
      <c r="NSF3" s="179"/>
      <c r="NSG3" s="179"/>
      <c r="NSH3" s="179"/>
      <c r="NSI3" s="179"/>
      <c r="NSJ3" s="179"/>
      <c r="NSK3" s="179"/>
      <c r="NSL3" s="179"/>
      <c r="NSM3" s="179"/>
      <c r="NSN3" s="179"/>
      <c r="NSO3" s="179"/>
      <c r="NSP3" s="179"/>
      <c r="NSQ3" s="179"/>
      <c r="NSR3" s="179"/>
      <c r="NSS3" s="179"/>
      <c r="NST3" s="179"/>
      <c r="NSU3" s="179"/>
      <c r="NSV3" s="179"/>
      <c r="NSW3" s="179"/>
      <c r="NSX3" s="179"/>
      <c r="NSY3" s="179"/>
      <c r="NSZ3" s="179"/>
      <c r="NTA3" s="179"/>
      <c r="NTB3" s="179"/>
      <c r="NTC3" s="179"/>
      <c r="NTD3" s="179"/>
      <c r="NTE3" s="179"/>
      <c r="NTF3" s="179"/>
      <c r="NTG3" s="179"/>
      <c r="NTH3" s="179"/>
      <c r="NTI3" s="179"/>
      <c r="NTJ3" s="179"/>
      <c r="NTK3" s="179"/>
      <c r="NTL3" s="179"/>
      <c r="NTM3" s="179"/>
      <c r="NTN3" s="179"/>
      <c r="NTO3" s="179"/>
      <c r="NTP3" s="179"/>
      <c r="NTQ3" s="179"/>
      <c r="NTR3" s="179"/>
      <c r="NTS3" s="179"/>
      <c r="NTT3" s="179"/>
      <c r="NTU3" s="179"/>
      <c r="NTV3" s="179"/>
      <c r="NTW3" s="179"/>
      <c r="NTX3" s="179"/>
      <c r="NTY3" s="179"/>
      <c r="NTZ3" s="179"/>
      <c r="NUA3" s="179"/>
      <c r="NUB3" s="179"/>
      <c r="NUC3" s="179"/>
      <c r="NUD3" s="179"/>
      <c r="NUE3" s="179"/>
      <c r="NUF3" s="179"/>
      <c r="NUG3" s="179"/>
      <c r="NUH3" s="179"/>
      <c r="NUI3" s="179"/>
      <c r="NUJ3" s="179"/>
      <c r="NUK3" s="179"/>
      <c r="NUL3" s="179"/>
      <c r="NUM3" s="179"/>
      <c r="NUN3" s="179"/>
      <c r="NUO3" s="179"/>
      <c r="NUP3" s="179"/>
      <c r="NUQ3" s="179"/>
      <c r="NUR3" s="179"/>
      <c r="NUS3" s="179"/>
      <c r="NUT3" s="179"/>
      <c r="NUU3" s="179"/>
      <c r="NUV3" s="179"/>
      <c r="NUW3" s="179"/>
      <c r="NUX3" s="179"/>
      <c r="NUY3" s="179"/>
      <c r="NUZ3" s="179"/>
      <c r="NVA3" s="179"/>
      <c r="NVB3" s="179"/>
      <c r="NVC3" s="179"/>
      <c r="NVD3" s="179"/>
      <c r="NVE3" s="179"/>
      <c r="NVF3" s="179"/>
      <c r="NVG3" s="179"/>
      <c r="NVH3" s="179"/>
      <c r="NVI3" s="179"/>
      <c r="NVJ3" s="179"/>
      <c r="NVK3" s="179"/>
      <c r="NVL3" s="179"/>
      <c r="NVM3" s="179"/>
      <c r="NVN3" s="179"/>
      <c r="NVO3" s="179"/>
      <c r="NVP3" s="179"/>
      <c r="NVQ3" s="179"/>
      <c r="NVR3" s="179"/>
      <c r="NVS3" s="179"/>
      <c r="NVT3" s="179"/>
      <c r="NVU3" s="179"/>
      <c r="NVV3" s="179"/>
      <c r="NVW3" s="179"/>
      <c r="NVX3" s="179"/>
      <c r="NVY3" s="179"/>
      <c r="NVZ3" s="179"/>
      <c r="NWA3" s="179"/>
      <c r="NWB3" s="179"/>
      <c r="NWC3" s="179"/>
      <c r="NWD3" s="179"/>
      <c r="NWE3" s="179"/>
      <c r="NWF3" s="179"/>
      <c r="NWG3" s="179"/>
      <c r="NWH3" s="179"/>
      <c r="NWI3" s="179"/>
      <c r="NWJ3" s="179"/>
      <c r="NWK3" s="179"/>
      <c r="NWL3" s="179"/>
      <c r="NWM3" s="179"/>
      <c r="NWN3" s="179"/>
      <c r="NWO3" s="179"/>
      <c r="NWP3" s="179"/>
      <c r="NWQ3" s="179"/>
      <c r="NWR3" s="179"/>
      <c r="NWS3" s="179"/>
      <c r="NWT3" s="179"/>
      <c r="NWU3" s="179"/>
      <c r="NWV3" s="179"/>
      <c r="NWW3" s="179"/>
      <c r="NWX3" s="179"/>
      <c r="NWY3" s="179"/>
      <c r="NWZ3" s="179"/>
      <c r="NXA3" s="179"/>
      <c r="NXB3" s="179"/>
      <c r="NXC3" s="179"/>
      <c r="NXD3" s="179"/>
      <c r="NXE3" s="179"/>
      <c r="NXF3" s="179"/>
      <c r="NXG3" s="179"/>
      <c r="NXH3" s="179"/>
      <c r="NXI3" s="179"/>
      <c r="NXJ3" s="179"/>
      <c r="NXK3" s="179"/>
      <c r="NXL3" s="179"/>
      <c r="NXM3" s="179"/>
      <c r="NXN3" s="179"/>
      <c r="NXO3" s="179"/>
      <c r="NXP3" s="179"/>
      <c r="NXQ3" s="179"/>
      <c r="NXR3" s="179"/>
      <c r="NXS3" s="179"/>
      <c r="NXT3" s="179"/>
      <c r="NXU3" s="179"/>
      <c r="NXV3" s="179"/>
      <c r="NXW3" s="179"/>
      <c r="NXX3" s="179"/>
      <c r="NXY3" s="179"/>
      <c r="NXZ3" s="179"/>
      <c r="NYA3" s="179"/>
      <c r="NYB3" s="179"/>
      <c r="NYC3" s="179"/>
      <c r="NYD3" s="179"/>
      <c r="NYE3" s="179"/>
      <c r="NYF3" s="179"/>
      <c r="NYG3" s="179"/>
      <c r="NYH3" s="179"/>
      <c r="NYI3" s="179"/>
      <c r="NYJ3" s="179"/>
      <c r="NYK3" s="179"/>
      <c r="NYL3" s="179"/>
      <c r="NYM3" s="179"/>
      <c r="NYN3" s="179"/>
      <c r="NYO3" s="179"/>
      <c r="NYP3" s="179"/>
      <c r="NYQ3" s="179"/>
      <c r="NYR3" s="179"/>
      <c r="NYS3" s="179"/>
      <c r="NYT3" s="179"/>
      <c r="NYU3" s="179"/>
      <c r="NYV3" s="179"/>
      <c r="NYW3" s="179"/>
      <c r="NYX3" s="179"/>
      <c r="NYY3" s="179"/>
      <c r="NYZ3" s="179"/>
      <c r="NZA3" s="179"/>
      <c r="NZB3" s="179"/>
      <c r="NZC3" s="179"/>
      <c r="NZD3" s="179"/>
      <c r="NZE3" s="179"/>
      <c r="NZF3" s="179"/>
      <c r="NZG3" s="179"/>
      <c r="NZH3" s="179"/>
      <c r="NZI3" s="179"/>
      <c r="NZJ3" s="179"/>
      <c r="NZK3" s="179"/>
      <c r="NZL3" s="179"/>
      <c r="NZM3" s="179"/>
      <c r="NZN3" s="179"/>
      <c r="NZO3" s="179"/>
      <c r="NZP3" s="179"/>
      <c r="NZQ3" s="179"/>
      <c r="NZR3" s="179"/>
      <c r="NZS3" s="179"/>
      <c r="NZT3" s="179"/>
      <c r="NZU3" s="179"/>
      <c r="NZV3" s="179"/>
      <c r="NZW3" s="179"/>
      <c r="NZX3" s="179"/>
      <c r="NZY3" s="179"/>
      <c r="NZZ3" s="179"/>
      <c r="OAA3" s="179"/>
      <c r="OAB3" s="179"/>
      <c r="OAC3" s="179"/>
      <c r="OAD3" s="179"/>
      <c r="OAE3" s="179"/>
      <c r="OAF3" s="179"/>
      <c r="OAG3" s="179"/>
      <c r="OAH3" s="179"/>
      <c r="OAI3" s="179"/>
      <c r="OAJ3" s="179"/>
      <c r="OAK3" s="179"/>
      <c r="OAL3" s="179"/>
      <c r="OAM3" s="179"/>
      <c r="OAN3" s="179"/>
      <c r="OAO3" s="179"/>
      <c r="OAP3" s="179"/>
      <c r="OAQ3" s="179"/>
      <c r="OAR3" s="179"/>
      <c r="OAS3" s="179"/>
      <c r="OAT3" s="179"/>
      <c r="OAU3" s="179"/>
      <c r="OAV3" s="179"/>
      <c r="OAW3" s="179"/>
      <c r="OAX3" s="179"/>
      <c r="OAY3" s="179"/>
      <c r="OAZ3" s="179"/>
      <c r="OBA3" s="179"/>
      <c r="OBB3" s="179"/>
      <c r="OBC3" s="179"/>
      <c r="OBD3" s="179"/>
      <c r="OBE3" s="179"/>
      <c r="OBF3" s="179"/>
      <c r="OBG3" s="179"/>
      <c r="OBH3" s="179"/>
      <c r="OBI3" s="179"/>
      <c r="OBJ3" s="179"/>
      <c r="OBK3" s="179"/>
      <c r="OBL3" s="179"/>
      <c r="OBM3" s="179"/>
      <c r="OBN3" s="179"/>
      <c r="OBO3" s="179"/>
      <c r="OBP3" s="179"/>
      <c r="OBQ3" s="179"/>
      <c r="OBR3" s="179"/>
      <c r="OBS3" s="179"/>
      <c r="OBT3" s="179"/>
      <c r="OBU3" s="179"/>
      <c r="OBV3" s="179"/>
      <c r="OBW3" s="179"/>
      <c r="OBX3" s="179"/>
      <c r="OBY3" s="179"/>
      <c r="OBZ3" s="179"/>
      <c r="OCA3" s="179"/>
      <c r="OCB3" s="179"/>
      <c r="OCC3" s="179"/>
      <c r="OCD3" s="179"/>
      <c r="OCE3" s="179"/>
      <c r="OCF3" s="179"/>
      <c r="OCG3" s="179"/>
      <c r="OCH3" s="179"/>
      <c r="OCI3" s="179"/>
      <c r="OCJ3" s="179"/>
      <c r="OCK3" s="179"/>
      <c r="OCL3" s="179"/>
      <c r="OCM3" s="179"/>
      <c r="OCN3" s="179"/>
      <c r="OCO3" s="179"/>
      <c r="OCP3" s="179"/>
      <c r="OCQ3" s="179"/>
      <c r="OCR3" s="179"/>
      <c r="OCS3" s="179"/>
      <c r="OCT3" s="179"/>
      <c r="OCU3" s="179"/>
      <c r="OCV3" s="179"/>
      <c r="OCW3" s="179"/>
      <c r="OCX3" s="179"/>
      <c r="OCY3" s="179"/>
      <c r="OCZ3" s="179"/>
      <c r="ODA3" s="179"/>
      <c r="ODB3" s="179"/>
      <c r="ODC3" s="179"/>
      <c r="ODD3" s="179"/>
      <c r="ODE3" s="179"/>
      <c r="ODF3" s="179"/>
      <c r="ODG3" s="179"/>
      <c r="ODH3" s="179"/>
      <c r="ODI3" s="179"/>
      <c r="ODJ3" s="179"/>
      <c r="ODK3" s="179"/>
      <c r="ODL3" s="179"/>
      <c r="ODM3" s="179"/>
      <c r="ODN3" s="179"/>
      <c r="ODO3" s="179"/>
      <c r="ODP3" s="179"/>
      <c r="ODQ3" s="179"/>
      <c r="ODR3" s="179"/>
      <c r="ODS3" s="179"/>
      <c r="ODT3" s="179"/>
      <c r="ODU3" s="179"/>
      <c r="ODV3" s="179"/>
      <c r="ODW3" s="179"/>
      <c r="ODX3" s="179"/>
      <c r="ODY3" s="179"/>
      <c r="ODZ3" s="179"/>
      <c r="OEA3" s="179"/>
      <c r="OEB3" s="179"/>
      <c r="OEC3" s="179"/>
      <c r="OED3" s="179"/>
      <c r="OEE3" s="179"/>
      <c r="OEF3" s="179"/>
      <c r="OEG3" s="179"/>
      <c r="OEH3" s="179"/>
      <c r="OEI3" s="179"/>
      <c r="OEJ3" s="179"/>
      <c r="OEK3" s="179"/>
      <c r="OEL3" s="179"/>
      <c r="OEM3" s="179"/>
      <c r="OEN3" s="179"/>
      <c r="OEO3" s="179"/>
      <c r="OEP3" s="179"/>
      <c r="OEQ3" s="179"/>
      <c r="OER3" s="179"/>
      <c r="OES3" s="179"/>
      <c r="OET3" s="179"/>
      <c r="OEU3" s="179"/>
      <c r="OEV3" s="179"/>
      <c r="OEW3" s="179"/>
      <c r="OEX3" s="179"/>
      <c r="OEY3" s="179"/>
      <c r="OEZ3" s="179"/>
      <c r="OFA3" s="179"/>
      <c r="OFB3" s="179"/>
      <c r="OFC3" s="179"/>
      <c r="OFD3" s="179"/>
      <c r="OFE3" s="179"/>
      <c r="OFF3" s="179"/>
      <c r="OFG3" s="179"/>
      <c r="OFH3" s="179"/>
      <c r="OFI3" s="179"/>
      <c r="OFJ3" s="179"/>
      <c r="OFK3" s="179"/>
      <c r="OFL3" s="179"/>
      <c r="OFM3" s="179"/>
      <c r="OFN3" s="179"/>
      <c r="OFO3" s="179"/>
      <c r="OFP3" s="179"/>
      <c r="OFQ3" s="179"/>
      <c r="OFR3" s="179"/>
      <c r="OFS3" s="179"/>
      <c r="OFT3" s="179"/>
      <c r="OFU3" s="179"/>
      <c r="OFV3" s="179"/>
      <c r="OFW3" s="179"/>
      <c r="OFX3" s="179"/>
      <c r="OFY3" s="179"/>
      <c r="OFZ3" s="179"/>
      <c r="OGA3" s="179"/>
      <c r="OGB3" s="179"/>
      <c r="OGC3" s="179"/>
      <c r="OGD3" s="179"/>
      <c r="OGE3" s="179"/>
      <c r="OGF3" s="179"/>
      <c r="OGG3" s="179"/>
      <c r="OGH3" s="179"/>
      <c r="OGI3" s="179"/>
      <c r="OGJ3" s="179"/>
      <c r="OGK3" s="179"/>
      <c r="OGL3" s="179"/>
      <c r="OGM3" s="179"/>
      <c r="OGN3" s="179"/>
      <c r="OGO3" s="179"/>
      <c r="OGP3" s="179"/>
      <c r="OGQ3" s="179"/>
      <c r="OGR3" s="179"/>
      <c r="OGS3" s="179"/>
      <c r="OGT3" s="179"/>
      <c r="OGU3" s="179"/>
      <c r="OGV3" s="179"/>
      <c r="OGW3" s="179"/>
      <c r="OGX3" s="179"/>
      <c r="OGY3" s="179"/>
      <c r="OGZ3" s="179"/>
      <c r="OHA3" s="179"/>
      <c r="OHB3" s="179"/>
      <c r="OHC3" s="179"/>
      <c r="OHD3" s="179"/>
      <c r="OHE3" s="179"/>
      <c r="OHF3" s="179"/>
      <c r="OHG3" s="179"/>
      <c r="OHH3" s="179"/>
      <c r="OHI3" s="179"/>
      <c r="OHJ3" s="179"/>
      <c r="OHK3" s="179"/>
      <c r="OHL3" s="179"/>
      <c r="OHM3" s="179"/>
      <c r="OHN3" s="179"/>
      <c r="OHO3" s="179"/>
      <c r="OHP3" s="179"/>
      <c r="OHQ3" s="179"/>
      <c r="OHR3" s="179"/>
      <c r="OHS3" s="179"/>
      <c r="OHT3" s="179"/>
      <c r="OHU3" s="179"/>
      <c r="OHV3" s="179"/>
      <c r="OHW3" s="179"/>
      <c r="OHX3" s="179"/>
      <c r="OHY3" s="179"/>
      <c r="OHZ3" s="179"/>
      <c r="OIA3" s="179"/>
      <c r="OIB3" s="179"/>
      <c r="OIC3" s="179"/>
      <c r="OID3" s="179"/>
      <c r="OIE3" s="179"/>
      <c r="OIF3" s="179"/>
      <c r="OIG3" s="179"/>
      <c r="OIH3" s="179"/>
      <c r="OII3" s="179"/>
      <c r="OIJ3" s="179"/>
      <c r="OIK3" s="179"/>
      <c r="OIL3" s="179"/>
      <c r="OIM3" s="179"/>
      <c r="OIN3" s="179"/>
      <c r="OIO3" s="179"/>
      <c r="OIP3" s="179"/>
      <c r="OIQ3" s="179"/>
      <c r="OIR3" s="179"/>
      <c r="OIS3" s="179"/>
      <c r="OIT3" s="179"/>
      <c r="OIU3" s="179"/>
      <c r="OIV3" s="179"/>
      <c r="OIW3" s="179"/>
      <c r="OIX3" s="179"/>
      <c r="OIY3" s="179"/>
      <c r="OIZ3" s="179"/>
      <c r="OJA3" s="179"/>
      <c r="OJB3" s="179"/>
      <c r="OJC3" s="179"/>
      <c r="OJD3" s="179"/>
      <c r="OJE3" s="179"/>
      <c r="OJF3" s="179"/>
      <c r="OJG3" s="179"/>
      <c r="OJH3" s="179"/>
      <c r="OJI3" s="179"/>
      <c r="OJJ3" s="179"/>
      <c r="OJK3" s="179"/>
      <c r="OJL3" s="179"/>
      <c r="OJM3" s="179"/>
      <c r="OJN3" s="179"/>
      <c r="OJO3" s="179"/>
      <c r="OJP3" s="179"/>
      <c r="OJQ3" s="179"/>
      <c r="OJR3" s="179"/>
      <c r="OJS3" s="179"/>
      <c r="OJT3" s="179"/>
      <c r="OJU3" s="179"/>
      <c r="OJV3" s="179"/>
      <c r="OJW3" s="179"/>
      <c r="OJX3" s="179"/>
      <c r="OJY3" s="179"/>
      <c r="OJZ3" s="179"/>
      <c r="OKA3" s="179"/>
      <c r="OKB3" s="179"/>
      <c r="OKC3" s="179"/>
      <c r="OKD3" s="179"/>
      <c r="OKE3" s="179"/>
      <c r="OKF3" s="179"/>
      <c r="OKG3" s="179"/>
      <c r="OKH3" s="179"/>
      <c r="OKI3" s="179"/>
      <c r="OKJ3" s="179"/>
      <c r="OKK3" s="179"/>
      <c r="OKL3" s="179"/>
      <c r="OKM3" s="179"/>
      <c r="OKN3" s="179"/>
      <c r="OKO3" s="179"/>
      <c r="OKP3" s="179"/>
      <c r="OKQ3" s="179"/>
      <c r="OKR3" s="179"/>
      <c r="OKS3" s="179"/>
      <c r="OKT3" s="179"/>
      <c r="OKU3" s="179"/>
      <c r="OKV3" s="179"/>
      <c r="OKW3" s="179"/>
      <c r="OKX3" s="179"/>
      <c r="OKY3" s="179"/>
      <c r="OKZ3" s="179"/>
      <c r="OLA3" s="179"/>
      <c r="OLB3" s="179"/>
      <c r="OLC3" s="179"/>
      <c r="OLD3" s="179"/>
      <c r="OLE3" s="179"/>
      <c r="OLF3" s="179"/>
      <c r="OLG3" s="179"/>
      <c r="OLH3" s="179"/>
      <c r="OLI3" s="179"/>
      <c r="OLJ3" s="179"/>
      <c r="OLK3" s="179"/>
      <c r="OLL3" s="179"/>
      <c r="OLM3" s="179"/>
      <c r="OLN3" s="179"/>
      <c r="OLO3" s="179"/>
      <c r="OLP3" s="179"/>
      <c r="OLQ3" s="179"/>
      <c r="OLR3" s="179"/>
      <c r="OLS3" s="179"/>
      <c r="OLT3" s="179"/>
      <c r="OLU3" s="179"/>
      <c r="OLV3" s="179"/>
      <c r="OLW3" s="179"/>
      <c r="OLX3" s="179"/>
      <c r="OLY3" s="179"/>
      <c r="OLZ3" s="179"/>
      <c r="OMA3" s="179"/>
      <c r="OMB3" s="179"/>
      <c r="OMC3" s="179"/>
      <c r="OMD3" s="179"/>
      <c r="OME3" s="179"/>
      <c r="OMF3" s="179"/>
      <c r="OMG3" s="179"/>
      <c r="OMH3" s="179"/>
      <c r="OMI3" s="179"/>
      <c r="OMJ3" s="179"/>
      <c r="OMK3" s="179"/>
      <c r="OML3" s="179"/>
      <c r="OMM3" s="179"/>
      <c r="OMN3" s="179"/>
      <c r="OMO3" s="179"/>
      <c r="OMP3" s="179"/>
      <c r="OMQ3" s="179"/>
      <c r="OMR3" s="179"/>
      <c r="OMS3" s="179"/>
      <c r="OMT3" s="179"/>
      <c r="OMU3" s="179"/>
      <c r="OMV3" s="179"/>
      <c r="OMW3" s="179"/>
      <c r="OMX3" s="179"/>
      <c r="OMY3" s="179"/>
      <c r="OMZ3" s="179"/>
      <c r="ONA3" s="179"/>
      <c r="ONB3" s="179"/>
      <c r="ONC3" s="179"/>
      <c r="OND3" s="179"/>
      <c r="ONE3" s="179"/>
      <c r="ONF3" s="179"/>
      <c r="ONG3" s="179"/>
      <c r="ONH3" s="179"/>
      <c r="ONI3" s="179"/>
      <c r="ONJ3" s="179"/>
      <c r="ONK3" s="179"/>
      <c r="ONL3" s="179"/>
      <c r="ONM3" s="179"/>
      <c r="ONN3" s="179"/>
      <c r="ONO3" s="179"/>
      <c r="ONP3" s="179"/>
      <c r="ONQ3" s="179"/>
      <c r="ONR3" s="179"/>
      <c r="ONS3" s="179"/>
      <c r="ONT3" s="179"/>
      <c r="ONU3" s="179"/>
      <c r="ONV3" s="179"/>
      <c r="ONW3" s="179"/>
      <c r="ONX3" s="179"/>
      <c r="ONY3" s="179"/>
      <c r="ONZ3" s="179"/>
      <c r="OOA3" s="179"/>
      <c r="OOB3" s="179"/>
      <c r="OOC3" s="179"/>
      <c r="OOD3" s="179"/>
      <c r="OOE3" s="179"/>
      <c r="OOF3" s="179"/>
      <c r="OOG3" s="179"/>
      <c r="OOH3" s="179"/>
      <c r="OOI3" s="179"/>
      <c r="OOJ3" s="179"/>
      <c r="OOK3" s="179"/>
      <c r="OOL3" s="179"/>
      <c r="OOM3" s="179"/>
      <c r="OON3" s="179"/>
      <c r="OOO3" s="179"/>
      <c r="OOP3" s="179"/>
      <c r="OOQ3" s="179"/>
      <c r="OOR3" s="179"/>
      <c r="OOS3" s="179"/>
      <c r="OOT3" s="179"/>
      <c r="OOU3" s="179"/>
      <c r="OOV3" s="179"/>
      <c r="OOW3" s="179"/>
      <c r="OOX3" s="179"/>
      <c r="OOY3" s="179"/>
      <c r="OOZ3" s="179"/>
      <c r="OPA3" s="179"/>
      <c r="OPB3" s="179"/>
      <c r="OPC3" s="179"/>
      <c r="OPD3" s="179"/>
      <c r="OPE3" s="179"/>
      <c r="OPF3" s="179"/>
      <c r="OPG3" s="179"/>
      <c r="OPH3" s="179"/>
      <c r="OPI3" s="179"/>
      <c r="OPJ3" s="179"/>
      <c r="OPK3" s="179"/>
      <c r="OPL3" s="179"/>
      <c r="OPM3" s="179"/>
      <c r="OPN3" s="179"/>
      <c r="OPO3" s="179"/>
      <c r="OPP3" s="179"/>
      <c r="OPQ3" s="179"/>
      <c r="OPR3" s="179"/>
      <c r="OPS3" s="179"/>
      <c r="OPT3" s="179"/>
      <c r="OPU3" s="179"/>
      <c r="OPV3" s="179"/>
      <c r="OPW3" s="179"/>
      <c r="OPX3" s="179"/>
      <c r="OPY3" s="179"/>
      <c r="OPZ3" s="179"/>
      <c r="OQA3" s="179"/>
      <c r="OQB3" s="179"/>
      <c r="OQC3" s="179"/>
      <c r="OQD3" s="179"/>
      <c r="OQE3" s="179"/>
      <c r="OQF3" s="179"/>
      <c r="OQG3" s="179"/>
      <c r="OQH3" s="179"/>
      <c r="OQI3" s="179"/>
      <c r="OQJ3" s="179"/>
      <c r="OQK3" s="179"/>
      <c r="OQL3" s="179"/>
      <c r="OQM3" s="179"/>
      <c r="OQN3" s="179"/>
      <c r="OQO3" s="179"/>
      <c r="OQP3" s="179"/>
      <c r="OQQ3" s="179"/>
      <c r="OQR3" s="179"/>
      <c r="OQS3" s="179"/>
      <c r="OQT3" s="179"/>
      <c r="OQU3" s="179"/>
      <c r="OQV3" s="179"/>
      <c r="OQW3" s="179"/>
      <c r="OQX3" s="179"/>
      <c r="OQY3" s="179"/>
      <c r="OQZ3" s="179"/>
      <c r="ORA3" s="179"/>
      <c r="ORB3" s="179"/>
      <c r="ORC3" s="179"/>
      <c r="ORD3" s="179"/>
      <c r="ORE3" s="179"/>
      <c r="ORF3" s="179"/>
      <c r="ORG3" s="179"/>
      <c r="ORH3" s="179"/>
      <c r="ORI3" s="179"/>
      <c r="ORJ3" s="179"/>
      <c r="ORK3" s="179"/>
      <c r="ORL3" s="179"/>
      <c r="ORM3" s="179"/>
      <c r="ORN3" s="179"/>
      <c r="ORO3" s="179"/>
      <c r="ORP3" s="179"/>
      <c r="ORQ3" s="179"/>
      <c r="ORR3" s="179"/>
      <c r="ORS3" s="179"/>
      <c r="ORT3" s="179"/>
      <c r="ORU3" s="179"/>
      <c r="ORV3" s="179"/>
      <c r="ORW3" s="179"/>
      <c r="ORX3" s="179"/>
      <c r="ORY3" s="179"/>
      <c r="ORZ3" s="179"/>
      <c r="OSA3" s="179"/>
      <c r="OSB3" s="179"/>
      <c r="OSC3" s="179"/>
      <c r="OSD3" s="179"/>
      <c r="OSE3" s="179"/>
      <c r="OSF3" s="179"/>
      <c r="OSG3" s="179"/>
      <c r="OSH3" s="179"/>
      <c r="OSI3" s="179"/>
      <c r="OSJ3" s="179"/>
      <c r="OSK3" s="179"/>
      <c r="OSL3" s="179"/>
      <c r="OSM3" s="179"/>
      <c r="OSN3" s="179"/>
      <c r="OSO3" s="179"/>
      <c r="OSP3" s="179"/>
      <c r="OSQ3" s="179"/>
      <c r="OSR3" s="179"/>
      <c r="OSS3" s="179"/>
      <c r="OST3" s="179"/>
      <c r="OSU3" s="179"/>
      <c r="OSV3" s="179"/>
      <c r="OSW3" s="179"/>
      <c r="OSX3" s="179"/>
      <c r="OSY3" s="179"/>
      <c r="OSZ3" s="179"/>
      <c r="OTA3" s="179"/>
      <c r="OTB3" s="179"/>
      <c r="OTC3" s="179"/>
      <c r="OTD3" s="179"/>
      <c r="OTE3" s="179"/>
      <c r="OTF3" s="179"/>
      <c r="OTG3" s="179"/>
      <c r="OTH3" s="179"/>
      <c r="OTI3" s="179"/>
      <c r="OTJ3" s="179"/>
      <c r="OTK3" s="179"/>
      <c r="OTL3" s="179"/>
      <c r="OTM3" s="179"/>
      <c r="OTN3" s="179"/>
      <c r="OTO3" s="179"/>
      <c r="OTP3" s="179"/>
      <c r="OTQ3" s="179"/>
      <c r="OTR3" s="179"/>
      <c r="OTS3" s="179"/>
      <c r="OTT3" s="179"/>
      <c r="OTU3" s="179"/>
      <c r="OTV3" s="179"/>
      <c r="OTW3" s="179"/>
      <c r="OTX3" s="179"/>
      <c r="OTY3" s="179"/>
      <c r="OTZ3" s="179"/>
      <c r="OUA3" s="179"/>
      <c r="OUB3" s="179"/>
      <c r="OUC3" s="179"/>
      <c r="OUD3" s="179"/>
      <c r="OUE3" s="179"/>
      <c r="OUF3" s="179"/>
      <c r="OUG3" s="179"/>
      <c r="OUH3" s="179"/>
      <c r="OUI3" s="179"/>
      <c r="OUJ3" s="179"/>
      <c r="OUK3" s="179"/>
      <c r="OUL3" s="179"/>
      <c r="OUM3" s="179"/>
      <c r="OUN3" s="179"/>
      <c r="OUO3" s="179"/>
      <c r="OUP3" s="179"/>
      <c r="OUQ3" s="179"/>
      <c r="OUR3" s="179"/>
      <c r="OUS3" s="179"/>
      <c r="OUT3" s="179"/>
      <c r="OUU3" s="179"/>
      <c r="OUV3" s="179"/>
      <c r="OUW3" s="179"/>
      <c r="OUX3" s="179"/>
      <c r="OUY3" s="179"/>
      <c r="OUZ3" s="179"/>
      <c r="OVA3" s="179"/>
      <c r="OVB3" s="179"/>
      <c r="OVC3" s="179"/>
      <c r="OVD3" s="179"/>
      <c r="OVE3" s="179"/>
      <c r="OVF3" s="179"/>
      <c r="OVG3" s="179"/>
      <c r="OVH3" s="179"/>
      <c r="OVI3" s="179"/>
      <c r="OVJ3" s="179"/>
      <c r="OVK3" s="179"/>
      <c r="OVL3" s="179"/>
      <c r="OVM3" s="179"/>
      <c r="OVN3" s="179"/>
      <c r="OVO3" s="179"/>
      <c r="OVP3" s="179"/>
      <c r="OVQ3" s="179"/>
      <c r="OVR3" s="179"/>
      <c r="OVS3" s="179"/>
      <c r="OVT3" s="179"/>
      <c r="OVU3" s="179"/>
      <c r="OVV3" s="179"/>
      <c r="OVW3" s="179"/>
      <c r="OVX3" s="179"/>
      <c r="OVY3" s="179"/>
      <c r="OVZ3" s="179"/>
      <c r="OWA3" s="179"/>
      <c r="OWB3" s="179"/>
      <c r="OWC3" s="179"/>
      <c r="OWD3" s="179"/>
      <c r="OWE3" s="179"/>
      <c r="OWF3" s="179"/>
      <c r="OWG3" s="179"/>
      <c r="OWH3" s="179"/>
      <c r="OWI3" s="179"/>
      <c r="OWJ3" s="179"/>
      <c r="OWK3" s="179"/>
      <c r="OWL3" s="179"/>
      <c r="OWM3" s="179"/>
      <c r="OWN3" s="179"/>
      <c r="OWO3" s="179"/>
      <c r="OWP3" s="179"/>
      <c r="OWQ3" s="179"/>
      <c r="OWR3" s="179"/>
      <c r="OWS3" s="179"/>
      <c r="OWT3" s="179"/>
      <c r="OWU3" s="179"/>
      <c r="OWV3" s="179"/>
      <c r="OWW3" s="179"/>
      <c r="OWX3" s="179"/>
      <c r="OWY3" s="179"/>
      <c r="OWZ3" s="179"/>
      <c r="OXA3" s="179"/>
      <c r="OXB3" s="179"/>
      <c r="OXC3" s="179"/>
      <c r="OXD3" s="179"/>
      <c r="OXE3" s="179"/>
      <c r="OXF3" s="179"/>
      <c r="OXG3" s="179"/>
      <c r="OXH3" s="179"/>
      <c r="OXI3" s="179"/>
      <c r="OXJ3" s="179"/>
      <c r="OXK3" s="179"/>
      <c r="OXL3" s="179"/>
      <c r="OXM3" s="179"/>
      <c r="OXN3" s="179"/>
      <c r="OXO3" s="179"/>
      <c r="OXP3" s="179"/>
      <c r="OXQ3" s="179"/>
      <c r="OXR3" s="179"/>
      <c r="OXS3" s="179"/>
      <c r="OXT3" s="179"/>
      <c r="OXU3" s="179"/>
      <c r="OXV3" s="179"/>
      <c r="OXW3" s="179"/>
      <c r="OXX3" s="179"/>
      <c r="OXY3" s="179"/>
      <c r="OXZ3" s="179"/>
      <c r="OYA3" s="179"/>
      <c r="OYB3" s="179"/>
      <c r="OYC3" s="179"/>
      <c r="OYD3" s="179"/>
      <c r="OYE3" s="179"/>
      <c r="OYF3" s="179"/>
      <c r="OYG3" s="179"/>
      <c r="OYH3" s="179"/>
      <c r="OYI3" s="179"/>
      <c r="OYJ3" s="179"/>
      <c r="OYK3" s="179"/>
      <c r="OYL3" s="179"/>
      <c r="OYM3" s="179"/>
      <c r="OYN3" s="179"/>
      <c r="OYO3" s="179"/>
      <c r="OYP3" s="179"/>
      <c r="OYQ3" s="179"/>
      <c r="OYR3" s="179"/>
      <c r="OYS3" s="179"/>
      <c r="OYT3" s="179"/>
      <c r="OYU3" s="179"/>
      <c r="OYV3" s="179"/>
      <c r="OYW3" s="179"/>
      <c r="OYX3" s="179"/>
      <c r="OYY3" s="179"/>
      <c r="OYZ3" s="179"/>
      <c r="OZA3" s="179"/>
      <c r="OZB3" s="179"/>
      <c r="OZC3" s="179"/>
      <c r="OZD3" s="179"/>
      <c r="OZE3" s="179"/>
      <c r="OZF3" s="179"/>
      <c r="OZG3" s="179"/>
      <c r="OZH3" s="179"/>
      <c r="OZI3" s="179"/>
      <c r="OZJ3" s="179"/>
      <c r="OZK3" s="179"/>
      <c r="OZL3" s="179"/>
      <c r="OZM3" s="179"/>
      <c r="OZN3" s="179"/>
      <c r="OZO3" s="179"/>
      <c r="OZP3" s="179"/>
      <c r="OZQ3" s="179"/>
      <c r="OZR3" s="179"/>
      <c r="OZS3" s="179"/>
      <c r="OZT3" s="179"/>
      <c r="OZU3" s="179"/>
      <c r="OZV3" s="179"/>
      <c r="OZW3" s="179"/>
      <c r="OZX3" s="179"/>
      <c r="OZY3" s="179"/>
      <c r="OZZ3" s="179"/>
      <c r="PAA3" s="179"/>
      <c r="PAB3" s="179"/>
      <c r="PAC3" s="179"/>
      <c r="PAD3" s="179"/>
      <c r="PAE3" s="179"/>
      <c r="PAF3" s="179"/>
      <c r="PAG3" s="179"/>
      <c r="PAH3" s="179"/>
      <c r="PAI3" s="179"/>
      <c r="PAJ3" s="179"/>
      <c r="PAK3" s="179"/>
      <c r="PAL3" s="179"/>
      <c r="PAM3" s="179"/>
      <c r="PAN3" s="179"/>
      <c r="PAO3" s="179"/>
      <c r="PAP3" s="179"/>
      <c r="PAQ3" s="179"/>
      <c r="PAR3" s="179"/>
      <c r="PAS3" s="179"/>
      <c r="PAT3" s="179"/>
      <c r="PAU3" s="179"/>
      <c r="PAV3" s="179"/>
      <c r="PAW3" s="179"/>
      <c r="PAX3" s="179"/>
      <c r="PAY3" s="179"/>
      <c r="PAZ3" s="179"/>
      <c r="PBA3" s="179"/>
      <c r="PBB3" s="179"/>
      <c r="PBC3" s="179"/>
      <c r="PBD3" s="179"/>
      <c r="PBE3" s="179"/>
      <c r="PBF3" s="179"/>
      <c r="PBG3" s="179"/>
      <c r="PBH3" s="179"/>
      <c r="PBI3" s="179"/>
      <c r="PBJ3" s="179"/>
      <c r="PBK3" s="179"/>
      <c r="PBL3" s="179"/>
      <c r="PBM3" s="179"/>
      <c r="PBN3" s="179"/>
      <c r="PBO3" s="179"/>
      <c r="PBP3" s="179"/>
      <c r="PBQ3" s="179"/>
      <c r="PBR3" s="179"/>
      <c r="PBS3" s="179"/>
      <c r="PBT3" s="179"/>
      <c r="PBU3" s="179"/>
      <c r="PBV3" s="179"/>
      <c r="PBW3" s="179"/>
      <c r="PBX3" s="179"/>
      <c r="PBY3" s="179"/>
      <c r="PBZ3" s="179"/>
      <c r="PCA3" s="179"/>
      <c r="PCB3" s="179"/>
      <c r="PCC3" s="179"/>
      <c r="PCD3" s="179"/>
      <c r="PCE3" s="179"/>
      <c r="PCF3" s="179"/>
      <c r="PCG3" s="179"/>
      <c r="PCH3" s="179"/>
      <c r="PCI3" s="179"/>
      <c r="PCJ3" s="179"/>
      <c r="PCK3" s="179"/>
      <c r="PCL3" s="179"/>
      <c r="PCM3" s="179"/>
      <c r="PCN3" s="179"/>
      <c r="PCO3" s="179"/>
      <c r="PCP3" s="179"/>
      <c r="PCQ3" s="179"/>
      <c r="PCR3" s="179"/>
      <c r="PCS3" s="179"/>
      <c r="PCT3" s="179"/>
      <c r="PCU3" s="179"/>
      <c r="PCV3" s="179"/>
      <c r="PCW3" s="179"/>
      <c r="PCX3" s="179"/>
      <c r="PCY3" s="179"/>
      <c r="PCZ3" s="179"/>
      <c r="PDA3" s="179"/>
      <c r="PDB3" s="179"/>
      <c r="PDC3" s="179"/>
      <c r="PDD3" s="179"/>
      <c r="PDE3" s="179"/>
      <c r="PDF3" s="179"/>
      <c r="PDG3" s="179"/>
      <c r="PDH3" s="179"/>
      <c r="PDI3" s="179"/>
      <c r="PDJ3" s="179"/>
      <c r="PDK3" s="179"/>
      <c r="PDL3" s="179"/>
      <c r="PDM3" s="179"/>
      <c r="PDN3" s="179"/>
      <c r="PDO3" s="179"/>
      <c r="PDP3" s="179"/>
      <c r="PDQ3" s="179"/>
      <c r="PDR3" s="179"/>
      <c r="PDS3" s="179"/>
      <c r="PDT3" s="179"/>
      <c r="PDU3" s="179"/>
      <c r="PDV3" s="179"/>
      <c r="PDW3" s="179"/>
      <c r="PDX3" s="179"/>
      <c r="PDY3" s="179"/>
      <c r="PDZ3" s="179"/>
      <c r="PEA3" s="179"/>
      <c r="PEB3" s="179"/>
      <c r="PEC3" s="179"/>
      <c r="PED3" s="179"/>
      <c r="PEE3" s="179"/>
      <c r="PEF3" s="179"/>
      <c r="PEG3" s="179"/>
      <c r="PEH3" s="179"/>
      <c r="PEI3" s="179"/>
      <c r="PEJ3" s="179"/>
      <c r="PEK3" s="179"/>
      <c r="PEL3" s="179"/>
      <c r="PEM3" s="179"/>
      <c r="PEN3" s="179"/>
      <c r="PEO3" s="179"/>
      <c r="PEP3" s="179"/>
      <c r="PEQ3" s="179"/>
      <c r="PER3" s="179"/>
      <c r="PES3" s="179"/>
      <c r="PET3" s="179"/>
      <c r="PEU3" s="179"/>
      <c r="PEV3" s="179"/>
      <c r="PEW3" s="179"/>
      <c r="PEX3" s="179"/>
      <c r="PEY3" s="179"/>
      <c r="PEZ3" s="179"/>
      <c r="PFA3" s="179"/>
      <c r="PFB3" s="179"/>
      <c r="PFC3" s="179"/>
      <c r="PFD3" s="179"/>
      <c r="PFE3" s="179"/>
      <c r="PFF3" s="179"/>
      <c r="PFG3" s="179"/>
      <c r="PFH3" s="179"/>
      <c r="PFI3" s="179"/>
      <c r="PFJ3" s="179"/>
      <c r="PFK3" s="179"/>
      <c r="PFL3" s="179"/>
      <c r="PFM3" s="179"/>
      <c r="PFN3" s="179"/>
      <c r="PFO3" s="179"/>
      <c r="PFP3" s="179"/>
      <c r="PFQ3" s="179"/>
      <c r="PFR3" s="179"/>
      <c r="PFS3" s="179"/>
      <c r="PFT3" s="179"/>
      <c r="PFU3" s="179"/>
      <c r="PFV3" s="179"/>
      <c r="PFW3" s="179"/>
      <c r="PFX3" s="179"/>
      <c r="PFY3" s="179"/>
      <c r="PFZ3" s="179"/>
      <c r="PGA3" s="179"/>
      <c r="PGB3" s="179"/>
      <c r="PGC3" s="179"/>
      <c r="PGD3" s="179"/>
      <c r="PGE3" s="179"/>
      <c r="PGF3" s="179"/>
      <c r="PGG3" s="179"/>
      <c r="PGH3" s="179"/>
      <c r="PGI3" s="179"/>
      <c r="PGJ3" s="179"/>
      <c r="PGK3" s="179"/>
      <c r="PGL3" s="179"/>
      <c r="PGM3" s="179"/>
      <c r="PGN3" s="179"/>
      <c r="PGO3" s="179"/>
      <c r="PGP3" s="179"/>
      <c r="PGQ3" s="179"/>
      <c r="PGR3" s="179"/>
      <c r="PGS3" s="179"/>
      <c r="PGT3" s="179"/>
      <c r="PGU3" s="179"/>
      <c r="PGV3" s="179"/>
      <c r="PGW3" s="179"/>
      <c r="PGX3" s="179"/>
      <c r="PGY3" s="179"/>
      <c r="PGZ3" s="179"/>
      <c r="PHA3" s="179"/>
      <c r="PHB3" s="179"/>
      <c r="PHC3" s="179"/>
      <c r="PHD3" s="179"/>
      <c r="PHE3" s="179"/>
      <c r="PHF3" s="179"/>
      <c r="PHG3" s="179"/>
      <c r="PHH3" s="179"/>
      <c r="PHI3" s="179"/>
      <c r="PHJ3" s="179"/>
      <c r="PHK3" s="179"/>
      <c r="PHL3" s="179"/>
      <c r="PHM3" s="179"/>
      <c r="PHN3" s="179"/>
      <c r="PHO3" s="179"/>
      <c r="PHP3" s="179"/>
      <c r="PHQ3" s="179"/>
      <c r="PHR3" s="179"/>
      <c r="PHS3" s="179"/>
      <c r="PHT3" s="179"/>
      <c r="PHU3" s="179"/>
      <c r="PHV3" s="179"/>
      <c r="PHW3" s="179"/>
      <c r="PHX3" s="179"/>
      <c r="PHY3" s="179"/>
      <c r="PHZ3" s="179"/>
      <c r="PIA3" s="179"/>
      <c r="PIB3" s="179"/>
      <c r="PIC3" s="179"/>
      <c r="PID3" s="179"/>
      <c r="PIE3" s="179"/>
      <c r="PIF3" s="179"/>
      <c r="PIG3" s="179"/>
      <c r="PIH3" s="179"/>
      <c r="PII3" s="179"/>
      <c r="PIJ3" s="179"/>
      <c r="PIK3" s="179"/>
      <c r="PIL3" s="179"/>
      <c r="PIM3" s="179"/>
      <c r="PIN3" s="179"/>
      <c r="PIO3" s="179"/>
      <c r="PIP3" s="179"/>
      <c r="PIQ3" s="179"/>
      <c r="PIR3" s="179"/>
      <c r="PIS3" s="179"/>
      <c r="PIT3" s="179"/>
      <c r="PIU3" s="179"/>
      <c r="PIV3" s="179"/>
      <c r="PIW3" s="179"/>
      <c r="PIX3" s="179"/>
      <c r="PIY3" s="179"/>
      <c r="PIZ3" s="179"/>
      <c r="PJA3" s="179"/>
      <c r="PJB3" s="179"/>
      <c r="PJC3" s="179"/>
      <c r="PJD3" s="179"/>
      <c r="PJE3" s="179"/>
      <c r="PJF3" s="179"/>
      <c r="PJG3" s="179"/>
      <c r="PJH3" s="179"/>
      <c r="PJI3" s="179"/>
      <c r="PJJ3" s="179"/>
      <c r="PJK3" s="179"/>
      <c r="PJL3" s="179"/>
      <c r="PJM3" s="179"/>
      <c r="PJN3" s="179"/>
      <c r="PJO3" s="179"/>
      <c r="PJP3" s="179"/>
      <c r="PJQ3" s="179"/>
      <c r="PJR3" s="179"/>
      <c r="PJS3" s="179"/>
      <c r="PJT3" s="179"/>
      <c r="PJU3" s="179"/>
      <c r="PJV3" s="179"/>
      <c r="PJW3" s="179"/>
      <c r="PJX3" s="179"/>
      <c r="PJY3" s="179"/>
      <c r="PJZ3" s="179"/>
      <c r="PKA3" s="179"/>
      <c r="PKB3" s="179"/>
      <c r="PKC3" s="179"/>
      <c r="PKD3" s="179"/>
      <c r="PKE3" s="179"/>
      <c r="PKF3" s="179"/>
      <c r="PKG3" s="179"/>
      <c r="PKH3" s="179"/>
      <c r="PKI3" s="179"/>
      <c r="PKJ3" s="179"/>
      <c r="PKK3" s="179"/>
      <c r="PKL3" s="179"/>
      <c r="PKM3" s="179"/>
      <c r="PKN3" s="179"/>
      <c r="PKO3" s="179"/>
      <c r="PKP3" s="179"/>
      <c r="PKQ3" s="179"/>
      <c r="PKR3" s="179"/>
      <c r="PKS3" s="179"/>
      <c r="PKT3" s="179"/>
      <c r="PKU3" s="179"/>
      <c r="PKV3" s="179"/>
      <c r="PKW3" s="179"/>
      <c r="PKX3" s="179"/>
      <c r="PKY3" s="179"/>
      <c r="PKZ3" s="179"/>
      <c r="PLA3" s="179"/>
      <c r="PLB3" s="179"/>
      <c r="PLC3" s="179"/>
      <c r="PLD3" s="179"/>
      <c r="PLE3" s="179"/>
      <c r="PLF3" s="179"/>
      <c r="PLG3" s="179"/>
      <c r="PLH3" s="179"/>
      <c r="PLI3" s="179"/>
      <c r="PLJ3" s="179"/>
      <c r="PLK3" s="179"/>
      <c r="PLL3" s="179"/>
      <c r="PLM3" s="179"/>
      <c r="PLN3" s="179"/>
      <c r="PLO3" s="179"/>
      <c r="PLP3" s="179"/>
      <c r="PLQ3" s="179"/>
      <c r="PLR3" s="179"/>
      <c r="PLS3" s="179"/>
      <c r="PLT3" s="179"/>
      <c r="PLU3" s="179"/>
      <c r="PLV3" s="179"/>
      <c r="PLW3" s="179"/>
      <c r="PLX3" s="179"/>
      <c r="PLY3" s="179"/>
      <c r="PLZ3" s="179"/>
      <c r="PMA3" s="179"/>
      <c r="PMB3" s="179"/>
      <c r="PMC3" s="179"/>
      <c r="PMD3" s="179"/>
      <c r="PME3" s="179"/>
      <c r="PMF3" s="179"/>
      <c r="PMG3" s="179"/>
      <c r="PMH3" s="179"/>
      <c r="PMI3" s="179"/>
      <c r="PMJ3" s="179"/>
      <c r="PMK3" s="179"/>
      <c r="PML3" s="179"/>
      <c r="PMM3" s="179"/>
      <c r="PMN3" s="179"/>
      <c r="PMO3" s="179"/>
      <c r="PMP3" s="179"/>
      <c r="PMQ3" s="179"/>
      <c r="PMR3" s="179"/>
      <c r="PMS3" s="179"/>
      <c r="PMT3" s="179"/>
      <c r="PMU3" s="179"/>
      <c r="PMV3" s="179"/>
      <c r="PMW3" s="179"/>
      <c r="PMX3" s="179"/>
      <c r="PMY3" s="179"/>
      <c r="PMZ3" s="179"/>
      <c r="PNA3" s="179"/>
      <c r="PNB3" s="179"/>
      <c r="PNC3" s="179"/>
      <c r="PND3" s="179"/>
      <c r="PNE3" s="179"/>
      <c r="PNF3" s="179"/>
      <c r="PNG3" s="179"/>
      <c r="PNH3" s="179"/>
      <c r="PNI3" s="179"/>
      <c r="PNJ3" s="179"/>
      <c r="PNK3" s="179"/>
      <c r="PNL3" s="179"/>
      <c r="PNM3" s="179"/>
      <c r="PNN3" s="179"/>
      <c r="PNO3" s="179"/>
      <c r="PNP3" s="179"/>
      <c r="PNQ3" s="179"/>
      <c r="PNR3" s="179"/>
      <c r="PNS3" s="179"/>
      <c r="PNT3" s="179"/>
      <c r="PNU3" s="179"/>
      <c r="PNV3" s="179"/>
      <c r="PNW3" s="179"/>
      <c r="PNX3" s="179"/>
      <c r="PNY3" s="179"/>
      <c r="PNZ3" s="179"/>
      <c r="POA3" s="179"/>
      <c r="POB3" s="179"/>
      <c r="POC3" s="179"/>
      <c r="POD3" s="179"/>
      <c r="POE3" s="179"/>
      <c r="POF3" s="179"/>
      <c r="POG3" s="179"/>
      <c r="POH3" s="179"/>
      <c r="POI3" s="179"/>
      <c r="POJ3" s="179"/>
      <c r="POK3" s="179"/>
      <c r="POL3" s="179"/>
      <c r="POM3" s="179"/>
      <c r="PON3" s="179"/>
      <c r="POO3" s="179"/>
      <c r="POP3" s="179"/>
      <c r="POQ3" s="179"/>
      <c r="POR3" s="179"/>
      <c r="POS3" s="179"/>
      <c r="POT3" s="179"/>
      <c r="POU3" s="179"/>
      <c r="POV3" s="179"/>
      <c r="POW3" s="179"/>
      <c r="POX3" s="179"/>
      <c r="POY3" s="179"/>
      <c r="POZ3" s="179"/>
      <c r="PPA3" s="179"/>
      <c r="PPB3" s="179"/>
      <c r="PPC3" s="179"/>
      <c r="PPD3" s="179"/>
      <c r="PPE3" s="179"/>
      <c r="PPF3" s="179"/>
      <c r="PPG3" s="179"/>
      <c r="PPH3" s="179"/>
      <c r="PPI3" s="179"/>
      <c r="PPJ3" s="179"/>
      <c r="PPK3" s="179"/>
      <c r="PPL3" s="179"/>
      <c r="PPM3" s="179"/>
      <c r="PPN3" s="179"/>
      <c r="PPO3" s="179"/>
      <c r="PPP3" s="179"/>
      <c r="PPQ3" s="179"/>
      <c r="PPR3" s="179"/>
      <c r="PPS3" s="179"/>
      <c r="PPT3" s="179"/>
      <c r="PPU3" s="179"/>
      <c r="PPV3" s="179"/>
      <c r="PPW3" s="179"/>
      <c r="PPX3" s="179"/>
      <c r="PPY3" s="179"/>
      <c r="PPZ3" s="179"/>
      <c r="PQA3" s="179"/>
      <c r="PQB3" s="179"/>
      <c r="PQC3" s="179"/>
      <c r="PQD3" s="179"/>
      <c r="PQE3" s="179"/>
      <c r="PQF3" s="179"/>
      <c r="PQG3" s="179"/>
      <c r="PQH3" s="179"/>
      <c r="PQI3" s="179"/>
      <c r="PQJ3" s="179"/>
      <c r="PQK3" s="179"/>
      <c r="PQL3" s="179"/>
      <c r="PQM3" s="179"/>
      <c r="PQN3" s="179"/>
      <c r="PQO3" s="179"/>
      <c r="PQP3" s="179"/>
      <c r="PQQ3" s="179"/>
      <c r="PQR3" s="179"/>
      <c r="PQS3" s="179"/>
      <c r="PQT3" s="179"/>
      <c r="PQU3" s="179"/>
      <c r="PQV3" s="179"/>
      <c r="PQW3" s="179"/>
      <c r="PQX3" s="179"/>
      <c r="PQY3" s="179"/>
      <c r="PQZ3" s="179"/>
      <c r="PRA3" s="179"/>
      <c r="PRB3" s="179"/>
      <c r="PRC3" s="179"/>
      <c r="PRD3" s="179"/>
      <c r="PRE3" s="179"/>
      <c r="PRF3" s="179"/>
      <c r="PRG3" s="179"/>
      <c r="PRH3" s="179"/>
      <c r="PRI3" s="179"/>
      <c r="PRJ3" s="179"/>
      <c r="PRK3" s="179"/>
      <c r="PRL3" s="179"/>
      <c r="PRM3" s="179"/>
      <c r="PRN3" s="179"/>
      <c r="PRO3" s="179"/>
      <c r="PRP3" s="179"/>
      <c r="PRQ3" s="179"/>
      <c r="PRR3" s="179"/>
      <c r="PRS3" s="179"/>
      <c r="PRT3" s="179"/>
      <c r="PRU3" s="179"/>
      <c r="PRV3" s="179"/>
      <c r="PRW3" s="179"/>
      <c r="PRX3" s="179"/>
      <c r="PRY3" s="179"/>
      <c r="PRZ3" s="179"/>
      <c r="PSA3" s="179"/>
      <c r="PSB3" s="179"/>
      <c r="PSC3" s="179"/>
      <c r="PSD3" s="179"/>
      <c r="PSE3" s="179"/>
      <c r="PSF3" s="179"/>
      <c r="PSG3" s="179"/>
      <c r="PSH3" s="179"/>
      <c r="PSI3" s="179"/>
      <c r="PSJ3" s="179"/>
      <c r="PSK3" s="179"/>
      <c r="PSL3" s="179"/>
      <c r="PSM3" s="179"/>
      <c r="PSN3" s="179"/>
      <c r="PSO3" s="179"/>
      <c r="PSP3" s="179"/>
      <c r="PSQ3" s="179"/>
      <c r="PSR3" s="179"/>
      <c r="PSS3" s="179"/>
      <c r="PST3" s="179"/>
      <c r="PSU3" s="179"/>
      <c r="PSV3" s="179"/>
      <c r="PSW3" s="179"/>
      <c r="PSX3" s="179"/>
      <c r="PSY3" s="179"/>
      <c r="PSZ3" s="179"/>
      <c r="PTA3" s="179"/>
      <c r="PTB3" s="179"/>
      <c r="PTC3" s="179"/>
      <c r="PTD3" s="179"/>
      <c r="PTE3" s="179"/>
      <c r="PTF3" s="179"/>
      <c r="PTG3" s="179"/>
      <c r="PTH3" s="179"/>
      <c r="PTI3" s="179"/>
      <c r="PTJ3" s="179"/>
      <c r="PTK3" s="179"/>
      <c r="PTL3" s="179"/>
      <c r="PTM3" s="179"/>
      <c r="PTN3" s="179"/>
      <c r="PTO3" s="179"/>
      <c r="PTP3" s="179"/>
      <c r="PTQ3" s="179"/>
      <c r="PTR3" s="179"/>
      <c r="PTS3" s="179"/>
      <c r="PTT3" s="179"/>
      <c r="PTU3" s="179"/>
      <c r="PTV3" s="179"/>
      <c r="PTW3" s="179"/>
      <c r="PTX3" s="179"/>
      <c r="PTY3" s="179"/>
      <c r="PTZ3" s="179"/>
      <c r="PUA3" s="179"/>
      <c r="PUB3" s="179"/>
      <c r="PUC3" s="179"/>
      <c r="PUD3" s="179"/>
      <c r="PUE3" s="179"/>
      <c r="PUF3" s="179"/>
      <c r="PUG3" s="179"/>
      <c r="PUH3" s="179"/>
      <c r="PUI3" s="179"/>
      <c r="PUJ3" s="179"/>
      <c r="PUK3" s="179"/>
      <c r="PUL3" s="179"/>
      <c r="PUM3" s="179"/>
      <c r="PUN3" s="179"/>
      <c r="PUO3" s="179"/>
      <c r="PUP3" s="179"/>
      <c r="PUQ3" s="179"/>
      <c r="PUR3" s="179"/>
      <c r="PUS3" s="179"/>
      <c r="PUT3" s="179"/>
      <c r="PUU3" s="179"/>
      <c r="PUV3" s="179"/>
      <c r="PUW3" s="179"/>
      <c r="PUX3" s="179"/>
      <c r="PUY3" s="179"/>
      <c r="PUZ3" s="179"/>
      <c r="PVA3" s="179"/>
      <c r="PVB3" s="179"/>
      <c r="PVC3" s="179"/>
      <c r="PVD3" s="179"/>
      <c r="PVE3" s="179"/>
      <c r="PVF3" s="179"/>
      <c r="PVG3" s="179"/>
      <c r="PVH3" s="179"/>
      <c r="PVI3" s="179"/>
      <c r="PVJ3" s="179"/>
      <c r="PVK3" s="179"/>
      <c r="PVL3" s="179"/>
      <c r="PVM3" s="179"/>
      <c r="PVN3" s="179"/>
      <c r="PVO3" s="179"/>
      <c r="PVP3" s="179"/>
      <c r="PVQ3" s="179"/>
      <c r="PVR3" s="179"/>
      <c r="PVS3" s="179"/>
      <c r="PVT3" s="179"/>
      <c r="PVU3" s="179"/>
      <c r="PVV3" s="179"/>
      <c r="PVW3" s="179"/>
      <c r="PVX3" s="179"/>
      <c r="PVY3" s="179"/>
      <c r="PVZ3" s="179"/>
      <c r="PWA3" s="179"/>
      <c r="PWB3" s="179"/>
      <c r="PWC3" s="179"/>
      <c r="PWD3" s="179"/>
      <c r="PWE3" s="179"/>
      <c r="PWF3" s="179"/>
      <c r="PWG3" s="179"/>
      <c r="PWH3" s="179"/>
      <c r="PWI3" s="179"/>
      <c r="PWJ3" s="179"/>
      <c r="PWK3" s="179"/>
      <c r="PWL3" s="179"/>
      <c r="PWM3" s="179"/>
      <c r="PWN3" s="179"/>
      <c r="PWO3" s="179"/>
      <c r="PWP3" s="179"/>
      <c r="PWQ3" s="179"/>
      <c r="PWR3" s="179"/>
      <c r="PWS3" s="179"/>
      <c r="PWT3" s="179"/>
      <c r="PWU3" s="179"/>
      <c r="PWV3" s="179"/>
      <c r="PWW3" s="179"/>
      <c r="PWX3" s="179"/>
      <c r="PWY3" s="179"/>
      <c r="PWZ3" s="179"/>
      <c r="PXA3" s="179"/>
      <c r="PXB3" s="179"/>
      <c r="PXC3" s="179"/>
      <c r="PXD3" s="179"/>
      <c r="PXE3" s="179"/>
      <c r="PXF3" s="179"/>
      <c r="PXG3" s="179"/>
      <c r="PXH3" s="179"/>
      <c r="PXI3" s="179"/>
      <c r="PXJ3" s="179"/>
      <c r="PXK3" s="179"/>
      <c r="PXL3" s="179"/>
      <c r="PXM3" s="179"/>
      <c r="PXN3" s="179"/>
      <c r="PXO3" s="179"/>
      <c r="PXP3" s="179"/>
      <c r="PXQ3" s="179"/>
      <c r="PXR3" s="179"/>
      <c r="PXS3" s="179"/>
      <c r="PXT3" s="179"/>
      <c r="PXU3" s="179"/>
      <c r="PXV3" s="179"/>
      <c r="PXW3" s="179"/>
      <c r="PXX3" s="179"/>
      <c r="PXY3" s="179"/>
      <c r="PXZ3" s="179"/>
      <c r="PYA3" s="179"/>
      <c r="PYB3" s="179"/>
      <c r="PYC3" s="179"/>
      <c r="PYD3" s="179"/>
      <c r="PYE3" s="179"/>
      <c r="PYF3" s="179"/>
      <c r="PYG3" s="179"/>
      <c r="PYH3" s="179"/>
      <c r="PYI3" s="179"/>
      <c r="PYJ3" s="179"/>
      <c r="PYK3" s="179"/>
      <c r="PYL3" s="179"/>
      <c r="PYM3" s="179"/>
      <c r="PYN3" s="179"/>
      <c r="PYO3" s="179"/>
      <c r="PYP3" s="179"/>
      <c r="PYQ3" s="179"/>
      <c r="PYR3" s="179"/>
      <c r="PYS3" s="179"/>
      <c r="PYT3" s="179"/>
      <c r="PYU3" s="179"/>
      <c r="PYV3" s="179"/>
      <c r="PYW3" s="179"/>
      <c r="PYX3" s="179"/>
      <c r="PYY3" s="179"/>
      <c r="PYZ3" s="179"/>
      <c r="PZA3" s="179"/>
      <c r="PZB3" s="179"/>
      <c r="PZC3" s="179"/>
      <c r="PZD3" s="179"/>
      <c r="PZE3" s="179"/>
      <c r="PZF3" s="179"/>
      <c r="PZG3" s="179"/>
      <c r="PZH3" s="179"/>
      <c r="PZI3" s="179"/>
      <c r="PZJ3" s="179"/>
      <c r="PZK3" s="179"/>
      <c r="PZL3" s="179"/>
      <c r="PZM3" s="179"/>
      <c r="PZN3" s="179"/>
      <c r="PZO3" s="179"/>
      <c r="PZP3" s="179"/>
      <c r="PZQ3" s="179"/>
      <c r="PZR3" s="179"/>
      <c r="PZS3" s="179"/>
      <c r="PZT3" s="179"/>
      <c r="PZU3" s="179"/>
      <c r="PZV3" s="179"/>
      <c r="PZW3" s="179"/>
      <c r="PZX3" s="179"/>
      <c r="PZY3" s="179"/>
      <c r="PZZ3" s="179"/>
      <c r="QAA3" s="179"/>
      <c r="QAB3" s="179"/>
      <c r="QAC3" s="179"/>
      <c r="QAD3" s="179"/>
      <c r="QAE3" s="179"/>
      <c r="QAF3" s="179"/>
      <c r="QAG3" s="179"/>
      <c r="QAH3" s="179"/>
      <c r="QAI3" s="179"/>
      <c r="QAJ3" s="179"/>
      <c r="QAK3" s="179"/>
      <c r="QAL3" s="179"/>
      <c r="QAM3" s="179"/>
      <c r="QAN3" s="179"/>
      <c r="QAO3" s="179"/>
      <c r="QAP3" s="179"/>
      <c r="QAQ3" s="179"/>
      <c r="QAR3" s="179"/>
      <c r="QAS3" s="179"/>
      <c r="QAT3" s="179"/>
      <c r="QAU3" s="179"/>
      <c r="QAV3" s="179"/>
      <c r="QAW3" s="179"/>
      <c r="QAX3" s="179"/>
      <c r="QAY3" s="179"/>
      <c r="QAZ3" s="179"/>
      <c r="QBA3" s="179"/>
      <c r="QBB3" s="179"/>
      <c r="QBC3" s="179"/>
      <c r="QBD3" s="179"/>
      <c r="QBE3" s="179"/>
      <c r="QBF3" s="179"/>
      <c r="QBG3" s="179"/>
      <c r="QBH3" s="179"/>
      <c r="QBI3" s="179"/>
      <c r="QBJ3" s="179"/>
      <c r="QBK3" s="179"/>
      <c r="QBL3" s="179"/>
      <c r="QBM3" s="179"/>
      <c r="QBN3" s="179"/>
      <c r="QBO3" s="179"/>
      <c r="QBP3" s="179"/>
      <c r="QBQ3" s="179"/>
      <c r="QBR3" s="179"/>
      <c r="QBS3" s="179"/>
      <c r="QBT3" s="179"/>
      <c r="QBU3" s="179"/>
      <c r="QBV3" s="179"/>
      <c r="QBW3" s="179"/>
      <c r="QBX3" s="179"/>
      <c r="QBY3" s="179"/>
      <c r="QBZ3" s="179"/>
      <c r="QCA3" s="179"/>
      <c r="QCB3" s="179"/>
      <c r="QCC3" s="179"/>
      <c r="QCD3" s="179"/>
      <c r="QCE3" s="179"/>
      <c r="QCF3" s="179"/>
      <c r="QCG3" s="179"/>
      <c r="QCH3" s="179"/>
      <c r="QCI3" s="179"/>
      <c r="QCJ3" s="179"/>
      <c r="QCK3" s="179"/>
      <c r="QCL3" s="179"/>
      <c r="QCM3" s="179"/>
      <c r="QCN3" s="179"/>
      <c r="QCO3" s="179"/>
      <c r="QCP3" s="179"/>
      <c r="QCQ3" s="179"/>
      <c r="QCR3" s="179"/>
      <c r="QCS3" s="179"/>
      <c r="QCT3" s="179"/>
      <c r="QCU3" s="179"/>
      <c r="QCV3" s="179"/>
      <c r="QCW3" s="179"/>
      <c r="QCX3" s="179"/>
      <c r="QCY3" s="179"/>
      <c r="QCZ3" s="179"/>
      <c r="QDA3" s="179"/>
      <c r="QDB3" s="179"/>
      <c r="QDC3" s="179"/>
      <c r="QDD3" s="179"/>
      <c r="QDE3" s="179"/>
      <c r="QDF3" s="179"/>
      <c r="QDG3" s="179"/>
      <c r="QDH3" s="179"/>
      <c r="QDI3" s="179"/>
      <c r="QDJ3" s="179"/>
      <c r="QDK3" s="179"/>
      <c r="QDL3" s="179"/>
      <c r="QDM3" s="179"/>
      <c r="QDN3" s="179"/>
      <c r="QDO3" s="179"/>
      <c r="QDP3" s="179"/>
      <c r="QDQ3" s="179"/>
      <c r="QDR3" s="179"/>
      <c r="QDS3" s="179"/>
      <c r="QDT3" s="179"/>
      <c r="QDU3" s="179"/>
      <c r="QDV3" s="179"/>
      <c r="QDW3" s="179"/>
      <c r="QDX3" s="179"/>
      <c r="QDY3" s="179"/>
      <c r="QDZ3" s="179"/>
      <c r="QEA3" s="179"/>
      <c r="QEB3" s="179"/>
      <c r="QEC3" s="179"/>
      <c r="QED3" s="179"/>
      <c r="QEE3" s="179"/>
      <c r="QEF3" s="179"/>
      <c r="QEG3" s="179"/>
      <c r="QEH3" s="179"/>
      <c r="QEI3" s="179"/>
      <c r="QEJ3" s="179"/>
      <c r="QEK3" s="179"/>
      <c r="QEL3" s="179"/>
      <c r="QEM3" s="179"/>
      <c r="QEN3" s="179"/>
      <c r="QEO3" s="179"/>
      <c r="QEP3" s="179"/>
      <c r="QEQ3" s="179"/>
      <c r="QER3" s="179"/>
      <c r="QES3" s="179"/>
      <c r="QET3" s="179"/>
      <c r="QEU3" s="179"/>
      <c r="QEV3" s="179"/>
      <c r="QEW3" s="179"/>
      <c r="QEX3" s="179"/>
      <c r="QEY3" s="179"/>
      <c r="QEZ3" s="179"/>
      <c r="QFA3" s="179"/>
      <c r="QFB3" s="179"/>
      <c r="QFC3" s="179"/>
      <c r="QFD3" s="179"/>
      <c r="QFE3" s="179"/>
      <c r="QFF3" s="179"/>
      <c r="QFG3" s="179"/>
      <c r="QFH3" s="179"/>
      <c r="QFI3" s="179"/>
      <c r="QFJ3" s="179"/>
      <c r="QFK3" s="179"/>
      <c r="QFL3" s="179"/>
      <c r="QFM3" s="179"/>
      <c r="QFN3" s="179"/>
      <c r="QFO3" s="179"/>
      <c r="QFP3" s="179"/>
      <c r="QFQ3" s="179"/>
      <c r="QFR3" s="179"/>
      <c r="QFS3" s="179"/>
      <c r="QFT3" s="179"/>
      <c r="QFU3" s="179"/>
      <c r="QFV3" s="179"/>
      <c r="QFW3" s="179"/>
      <c r="QFX3" s="179"/>
      <c r="QFY3" s="179"/>
      <c r="QFZ3" s="179"/>
      <c r="QGA3" s="179"/>
      <c r="QGB3" s="179"/>
      <c r="QGC3" s="179"/>
      <c r="QGD3" s="179"/>
      <c r="QGE3" s="179"/>
      <c r="QGF3" s="179"/>
      <c r="QGG3" s="179"/>
      <c r="QGH3" s="179"/>
      <c r="QGI3" s="179"/>
      <c r="QGJ3" s="179"/>
      <c r="QGK3" s="179"/>
      <c r="QGL3" s="179"/>
      <c r="QGM3" s="179"/>
      <c r="QGN3" s="179"/>
      <c r="QGO3" s="179"/>
      <c r="QGP3" s="179"/>
      <c r="QGQ3" s="179"/>
      <c r="QGR3" s="179"/>
      <c r="QGS3" s="179"/>
      <c r="QGT3" s="179"/>
      <c r="QGU3" s="179"/>
      <c r="QGV3" s="179"/>
      <c r="QGW3" s="179"/>
      <c r="QGX3" s="179"/>
      <c r="QGY3" s="179"/>
      <c r="QGZ3" s="179"/>
      <c r="QHA3" s="179"/>
      <c r="QHB3" s="179"/>
      <c r="QHC3" s="179"/>
      <c r="QHD3" s="179"/>
      <c r="QHE3" s="179"/>
      <c r="QHF3" s="179"/>
      <c r="QHG3" s="179"/>
      <c r="QHH3" s="179"/>
      <c r="QHI3" s="179"/>
      <c r="QHJ3" s="179"/>
      <c r="QHK3" s="179"/>
      <c r="QHL3" s="179"/>
      <c r="QHM3" s="179"/>
      <c r="QHN3" s="179"/>
      <c r="QHO3" s="179"/>
      <c r="QHP3" s="179"/>
      <c r="QHQ3" s="179"/>
      <c r="QHR3" s="179"/>
      <c r="QHS3" s="179"/>
      <c r="QHT3" s="179"/>
      <c r="QHU3" s="179"/>
      <c r="QHV3" s="179"/>
      <c r="QHW3" s="179"/>
      <c r="QHX3" s="179"/>
      <c r="QHY3" s="179"/>
      <c r="QHZ3" s="179"/>
      <c r="QIA3" s="179"/>
      <c r="QIB3" s="179"/>
      <c r="QIC3" s="179"/>
      <c r="QID3" s="179"/>
      <c r="QIE3" s="179"/>
      <c r="QIF3" s="179"/>
      <c r="QIG3" s="179"/>
      <c r="QIH3" s="179"/>
      <c r="QII3" s="179"/>
      <c r="QIJ3" s="179"/>
      <c r="QIK3" s="179"/>
      <c r="QIL3" s="179"/>
      <c r="QIM3" s="179"/>
      <c r="QIN3" s="179"/>
      <c r="QIO3" s="179"/>
      <c r="QIP3" s="179"/>
      <c r="QIQ3" s="179"/>
      <c r="QIR3" s="179"/>
      <c r="QIS3" s="179"/>
      <c r="QIT3" s="179"/>
      <c r="QIU3" s="179"/>
      <c r="QIV3" s="179"/>
      <c r="QIW3" s="179"/>
      <c r="QIX3" s="179"/>
      <c r="QIY3" s="179"/>
      <c r="QIZ3" s="179"/>
      <c r="QJA3" s="179"/>
      <c r="QJB3" s="179"/>
      <c r="QJC3" s="179"/>
      <c r="QJD3" s="179"/>
      <c r="QJE3" s="179"/>
      <c r="QJF3" s="179"/>
      <c r="QJG3" s="179"/>
      <c r="QJH3" s="179"/>
      <c r="QJI3" s="179"/>
      <c r="QJJ3" s="179"/>
      <c r="QJK3" s="179"/>
      <c r="QJL3" s="179"/>
      <c r="QJM3" s="179"/>
      <c r="QJN3" s="179"/>
      <c r="QJO3" s="179"/>
      <c r="QJP3" s="179"/>
      <c r="QJQ3" s="179"/>
      <c r="QJR3" s="179"/>
      <c r="QJS3" s="179"/>
      <c r="QJT3" s="179"/>
      <c r="QJU3" s="179"/>
      <c r="QJV3" s="179"/>
      <c r="QJW3" s="179"/>
      <c r="QJX3" s="179"/>
      <c r="QJY3" s="179"/>
      <c r="QJZ3" s="179"/>
      <c r="QKA3" s="179"/>
      <c r="QKB3" s="179"/>
      <c r="QKC3" s="179"/>
      <c r="QKD3" s="179"/>
      <c r="QKE3" s="179"/>
      <c r="QKF3" s="179"/>
      <c r="QKG3" s="179"/>
      <c r="QKH3" s="179"/>
      <c r="QKI3" s="179"/>
      <c r="QKJ3" s="179"/>
      <c r="QKK3" s="179"/>
      <c r="QKL3" s="179"/>
      <c r="QKM3" s="179"/>
      <c r="QKN3" s="179"/>
      <c r="QKO3" s="179"/>
      <c r="QKP3" s="179"/>
      <c r="QKQ3" s="179"/>
      <c r="QKR3" s="179"/>
      <c r="QKS3" s="179"/>
      <c r="QKT3" s="179"/>
      <c r="QKU3" s="179"/>
      <c r="QKV3" s="179"/>
      <c r="QKW3" s="179"/>
      <c r="QKX3" s="179"/>
      <c r="QKY3" s="179"/>
      <c r="QKZ3" s="179"/>
      <c r="QLA3" s="179"/>
      <c r="QLB3" s="179"/>
      <c r="QLC3" s="179"/>
      <c r="QLD3" s="179"/>
      <c r="QLE3" s="179"/>
      <c r="QLF3" s="179"/>
      <c r="QLG3" s="179"/>
      <c r="QLH3" s="179"/>
      <c r="QLI3" s="179"/>
      <c r="QLJ3" s="179"/>
      <c r="QLK3" s="179"/>
      <c r="QLL3" s="179"/>
      <c r="QLM3" s="179"/>
      <c r="QLN3" s="179"/>
      <c r="QLO3" s="179"/>
      <c r="QLP3" s="179"/>
      <c r="QLQ3" s="179"/>
      <c r="QLR3" s="179"/>
      <c r="QLS3" s="179"/>
      <c r="QLT3" s="179"/>
      <c r="QLU3" s="179"/>
      <c r="QLV3" s="179"/>
      <c r="QLW3" s="179"/>
      <c r="QLX3" s="179"/>
      <c r="QLY3" s="179"/>
      <c r="QLZ3" s="179"/>
      <c r="QMA3" s="179"/>
      <c r="QMB3" s="179"/>
      <c r="QMC3" s="179"/>
      <c r="QMD3" s="179"/>
      <c r="QME3" s="179"/>
      <c r="QMF3" s="179"/>
      <c r="QMG3" s="179"/>
      <c r="QMH3" s="179"/>
      <c r="QMI3" s="179"/>
      <c r="QMJ3" s="179"/>
      <c r="QMK3" s="179"/>
      <c r="QML3" s="179"/>
      <c r="QMM3" s="179"/>
      <c r="QMN3" s="179"/>
      <c r="QMO3" s="179"/>
      <c r="QMP3" s="179"/>
      <c r="QMQ3" s="179"/>
      <c r="QMR3" s="179"/>
      <c r="QMS3" s="179"/>
      <c r="QMT3" s="179"/>
      <c r="QMU3" s="179"/>
      <c r="QMV3" s="179"/>
      <c r="QMW3" s="179"/>
      <c r="QMX3" s="179"/>
      <c r="QMY3" s="179"/>
      <c r="QMZ3" s="179"/>
      <c r="QNA3" s="179"/>
      <c r="QNB3" s="179"/>
      <c r="QNC3" s="179"/>
      <c r="QND3" s="179"/>
      <c r="QNE3" s="179"/>
      <c r="QNF3" s="179"/>
      <c r="QNG3" s="179"/>
      <c r="QNH3" s="179"/>
      <c r="QNI3" s="179"/>
      <c r="QNJ3" s="179"/>
      <c r="QNK3" s="179"/>
      <c r="QNL3" s="179"/>
      <c r="QNM3" s="179"/>
      <c r="QNN3" s="179"/>
      <c r="QNO3" s="179"/>
      <c r="QNP3" s="179"/>
      <c r="QNQ3" s="179"/>
      <c r="QNR3" s="179"/>
      <c r="QNS3" s="179"/>
      <c r="QNT3" s="179"/>
      <c r="QNU3" s="179"/>
      <c r="QNV3" s="179"/>
      <c r="QNW3" s="179"/>
      <c r="QNX3" s="179"/>
      <c r="QNY3" s="179"/>
      <c r="QNZ3" s="179"/>
      <c r="QOA3" s="179"/>
      <c r="QOB3" s="179"/>
      <c r="QOC3" s="179"/>
      <c r="QOD3" s="179"/>
      <c r="QOE3" s="179"/>
      <c r="QOF3" s="179"/>
      <c r="QOG3" s="179"/>
      <c r="QOH3" s="179"/>
      <c r="QOI3" s="179"/>
      <c r="QOJ3" s="179"/>
      <c r="QOK3" s="179"/>
      <c r="QOL3" s="179"/>
      <c r="QOM3" s="179"/>
      <c r="QON3" s="179"/>
      <c r="QOO3" s="179"/>
      <c r="QOP3" s="179"/>
      <c r="QOQ3" s="179"/>
      <c r="QOR3" s="179"/>
      <c r="QOS3" s="179"/>
      <c r="QOT3" s="179"/>
      <c r="QOU3" s="179"/>
      <c r="QOV3" s="179"/>
      <c r="QOW3" s="179"/>
      <c r="QOX3" s="179"/>
      <c r="QOY3" s="179"/>
      <c r="QOZ3" s="179"/>
      <c r="QPA3" s="179"/>
      <c r="QPB3" s="179"/>
      <c r="QPC3" s="179"/>
      <c r="QPD3" s="179"/>
      <c r="QPE3" s="179"/>
      <c r="QPF3" s="179"/>
      <c r="QPG3" s="179"/>
      <c r="QPH3" s="179"/>
      <c r="QPI3" s="179"/>
      <c r="QPJ3" s="179"/>
      <c r="QPK3" s="179"/>
      <c r="QPL3" s="179"/>
      <c r="QPM3" s="179"/>
      <c r="QPN3" s="179"/>
      <c r="QPO3" s="179"/>
      <c r="QPP3" s="179"/>
      <c r="QPQ3" s="179"/>
      <c r="QPR3" s="179"/>
      <c r="QPS3" s="179"/>
      <c r="QPT3" s="179"/>
      <c r="QPU3" s="179"/>
      <c r="QPV3" s="179"/>
      <c r="QPW3" s="179"/>
      <c r="QPX3" s="179"/>
      <c r="QPY3" s="179"/>
      <c r="QPZ3" s="179"/>
      <c r="QQA3" s="179"/>
      <c r="QQB3" s="179"/>
      <c r="QQC3" s="179"/>
      <c r="QQD3" s="179"/>
      <c r="QQE3" s="179"/>
      <c r="QQF3" s="179"/>
      <c r="QQG3" s="179"/>
      <c r="QQH3" s="179"/>
      <c r="QQI3" s="179"/>
      <c r="QQJ3" s="179"/>
      <c r="QQK3" s="179"/>
      <c r="QQL3" s="179"/>
      <c r="QQM3" s="179"/>
      <c r="QQN3" s="179"/>
      <c r="QQO3" s="179"/>
      <c r="QQP3" s="179"/>
      <c r="QQQ3" s="179"/>
      <c r="QQR3" s="179"/>
      <c r="QQS3" s="179"/>
      <c r="QQT3" s="179"/>
      <c r="QQU3" s="179"/>
      <c r="QQV3" s="179"/>
      <c r="QQW3" s="179"/>
      <c r="QQX3" s="179"/>
      <c r="QQY3" s="179"/>
      <c r="QQZ3" s="179"/>
      <c r="QRA3" s="179"/>
      <c r="QRB3" s="179"/>
      <c r="QRC3" s="179"/>
      <c r="QRD3" s="179"/>
      <c r="QRE3" s="179"/>
      <c r="QRF3" s="179"/>
      <c r="QRG3" s="179"/>
      <c r="QRH3" s="179"/>
      <c r="QRI3" s="179"/>
      <c r="QRJ3" s="179"/>
      <c r="QRK3" s="179"/>
      <c r="QRL3" s="179"/>
      <c r="QRM3" s="179"/>
      <c r="QRN3" s="179"/>
      <c r="QRO3" s="179"/>
      <c r="QRP3" s="179"/>
      <c r="QRQ3" s="179"/>
      <c r="QRR3" s="179"/>
      <c r="QRS3" s="179"/>
      <c r="QRT3" s="179"/>
      <c r="QRU3" s="179"/>
      <c r="QRV3" s="179"/>
      <c r="QRW3" s="179"/>
      <c r="QRX3" s="179"/>
      <c r="QRY3" s="179"/>
      <c r="QRZ3" s="179"/>
      <c r="QSA3" s="179"/>
      <c r="QSB3" s="179"/>
      <c r="QSC3" s="179"/>
      <c r="QSD3" s="179"/>
      <c r="QSE3" s="179"/>
      <c r="QSF3" s="179"/>
      <c r="QSG3" s="179"/>
      <c r="QSH3" s="179"/>
      <c r="QSI3" s="179"/>
      <c r="QSJ3" s="179"/>
      <c r="QSK3" s="179"/>
      <c r="QSL3" s="179"/>
      <c r="QSM3" s="179"/>
      <c r="QSN3" s="179"/>
      <c r="QSO3" s="179"/>
      <c r="QSP3" s="179"/>
      <c r="QSQ3" s="179"/>
      <c r="QSR3" s="179"/>
      <c r="QSS3" s="179"/>
      <c r="QST3" s="179"/>
      <c r="QSU3" s="179"/>
      <c r="QSV3" s="179"/>
      <c r="QSW3" s="179"/>
      <c r="QSX3" s="179"/>
      <c r="QSY3" s="179"/>
      <c r="QSZ3" s="179"/>
      <c r="QTA3" s="179"/>
      <c r="QTB3" s="179"/>
      <c r="QTC3" s="179"/>
      <c r="QTD3" s="179"/>
      <c r="QTE3" s="179"/>
      <c r="QTF3" s="179"/>
      <c r="QTG3" s="179"/>
      <c r="QTH3" s="179"/>
      <c r="QTI3" s="179"/>
      <c r="QTJ3" s="179"/>
      <c r="QTK3" s="179"/>
      <c r="QTL3" s="179"/>
      <c r="QTM3" s="179"/>
      <c r="QTN3" s="179"/>
      <c r="QTO3" s="179"/>
      <c r="QTP3" s="179"/>
      <c r="QTQ3" s="179"/>
      <c r="QTR3" s="179"/>
      <c r="QTS3" s="179"/>
      <c r="QTT3" s="179"/>
      <c r="QTU3" s="179"/>
      <c r="QTV3" s="179"/>
      <c r="QTW3" s="179"/>
      <c r="QTX3" s="179"/>
      <c r="QTY3" s="179"/>
      <c r="QTZ3" s="179"/>
      <c r="QUA3" s="179"/>
      <c r="QUB3" s="179"/>
      <c r="QUC3" s="179"/>
      <c r="QUD3" s="179"/>
      <c r="QUE3" s="179"/>
      <c r="QUF3" s="179"/>
      <c r="QUG3" s="179"/>
      <c r="QUH3" s="179"/>
      <c r="QUI3" s="179"/>
      <c r="QUJ3" s="179"/>
      <c r="QUK3" s="179"/>
      <c r="QUL3" s="179"/>
      <c r="QUM3" s="179"/>
      <c r="QUN3" s="179"/>
      <c r="QUO3" s="179"/>
      <c r="QUP3" s="179"/>
      <c r="QUQ3" s="179"/>
      <c r="QUR3" s="179"/>
      <c r="QUS3" s="179"/>
      <c r="QUT3" s="179"/>
      <c r="QUU3" s="179"/>
      <c r="QUV3" s="179"/>
      <c r="QUW3" s="179"/>
      <c r="QUX3" s="179"/>
      <c r="QUY3" s="179"/>
      <c r="QUZ3" s="179"/>
      <c r="QVA3" s="179"/>
      <c r="QVB3" s="179"/>
      <c r="QVC3" s="179"/>
      <c r="QVD3" s="179"/>
      <c r="QVE3" s="179"/>
      <c r="QVF3" s="179"/>
      <c r="QVG3" s="179"/>
      <c r="QVH3" s="179"/>
      <c r="QVI3" s="179"/>
      <c r="QVJ3" s="179"/>
      <c r="QVK3" s="179"/>
      <c r="QVL3" s="179"/>
      <c r="QVM3" s="179"/>
      <c r="QVN3" s="179"/>
      <c r="QVO3" s="179"/>
      <c r="QVP3" s="179"/>
      <c r="QVQ3" s="179"/>
      <c r="QVR3" s="179"/>
      <c r="QVS3" s="179"/>
      <c r="QVT3" s="179"/>
      <c r="QVU3" s="179"/>
      <c r="QVV3" s="179"/>
      <c r="QVW3" s="179"/>
      <c r="QVX3" s="179"/>
      <c r="QVY3" s="179"/>
      <c r="QVZ3" s="179"/>
      <c r="QWA3" s="179"/>
      <c r="QWB3" s="179"/>
      <c r="QWC3" s="179"/>
      <c r="QWD3" s="179"/>
      <c r="QWE3" s="179"/>
      <c r="QWF3" s="179"/>
      <c r="QWG3" s="179"/>
      <c r="QWH3" s="179"/>
      <c r="QWI3" s="179"/>
      <c r="QWJ3" s="179"/>
      <c r="QWK3" s="179"/>
      <c r="QWL3" s="179"/>
      <c r="QWM3" s="179"/>
      <c r="QWN3" s="179"/>
      <c r="QWO3" s="179"/>
      <c r="QWP3" s="179"/>
      <c r="QWQ3" s="179"/>
      <c r="QWR3" s="179"/>
      <c r="QWS3" s="179"/>
      <c r="QWT3" s="179"/>
      <c r="QWU3" s="179"/>
      <c r="QWV3" s="179"/>
      <c r="QWW3" s="179"/>
      <c r="QWX3" s="179"/>
      <c r="QWY3" s="179"/>
      <c r="QWZ3" s="179"/>
      <c r="QXA3" s="179"/>
      <c r="QXB3" s="179"/>
      <c r="QXC3" s="179"/>
      <c r="QXD3" s="179"/>
      <c r="QXE3" s="179"/>
      <c r="QXF3" s="179"/>
      <c r="QXG3" s="179"/>
      <c r="QXH3" s="179"/>
      <c r="QXI3" s="179"/>
      <c r="QXJ3" s="179"/>
      <c r="QXK3" s="179"/>
      <c r="QXL3" s="179"/>
      <c r="QXM3" s="179"/>
      <c r="QXN3" s="179"/>
      <c r="QXO3" s="179"/>
      <c r="QXP3" s="179"/>
      <c r="QXQ3" s="179"/>
      <c r="QXR3" s="179"/>
      <c r="QXS3" s="179"/>
      <c r="QXT3" s="179"/>
      <c r="QXU3" s="179"/>
      <c r="QXV3" s="179"/>
      <c r="QXW3" s="179"/>
      <c r="QXX3" s="179"/>
      <c r="QXY3" s="179"/>
      <c r="QXZ3" s="179"/>
      <c r="QYA3" s="179"/>
      <c r="QYB3" s="179"/>
      <c r="QYC3" s="179"/>
      <c r="QYD3" s="179"/>
      <c r="QYE3" s="179"/>
      <c r="QYF3" s="179"/>
      <c r="QYG3" s="179"/>
      <c r="QYH3" s="179"/>
      <c r="QYI3" s="179"/>
      <c r="QYJ3" s="179"/>
      <c r="QYK3" s="179"/>
      <c r="QYL3" s="179"/>
      <c r="QYM3" s="179"/>
      <c r="QYN3" s="179"/>
      <c r="QYO3" s="179"/>
      <c r="QYP3" s="179"/>
      <c r="QYQ3" s="179"/>
      <c r="QYR3" s="179"/>
      <c r="QYS3" s="179"/>
      <c r="QYT3" s="179"/>
      <c r="QYU3" s="179"/>
      <c r="QYV3" s="179"/>
      <c r="QYW3" s="179"/>
      <c r="QYX3" s="179"/>
      <c r="QYY3" s="179"/>
      <c r="QYZ3" s="179"/>
      <c r="QZA3" s="179"/>
      <c r="QZB3" s="179"/>
      <c r="QZC3" s="179"/>
      <c r="QZD3" s="179"/>
      <c r="QZE3" s="179"/>
      <c r="QZF3" s="179"/>
      <c r="QZG3" s="179"/>
      <c r="QZH3" s="179"/>
      <c r="QZI3" s="179"/>
      <c r="QZJ3" s="179"/>
      <c r="QZK3" s="179"/>
      <c r="QZL3" s="179"/>
      <c r="QZM3" s="179"/>
      <c r="QZN3" s="179"/>
      <c r="QZO3" s="179"/>
      <c r="QZP3" s="179"/>
      <c r="QZQ3" s="179"/>
      <c r="QZR3" s="179"/>
      <c r="QZS3" s="179"/>
      <c r="QZT3" s="179"/>
      <c r="QZU3" s="179"/>
      <c r="QZV3" s="179"/>
      <c r="QZW3" s="179"/>
      <c r="QZX3" s="179"/>
      <c r="QZY3" s="179"/>
      <c r="QZZ3" s="179"/>
      <c r="RAA3" s="179"/>
      <c r="RAB3" s="179"/>
      <c r="RAC3" s="179"/>
      <c r="RAD3" s="179"/>
      <c r="RAE3" s="179"/>
      <c r="RAF3" s="179"/>
      <c r="RAG3" s="179"/>
      <c r="RAH3" s="179"/>
      <c r="RAI3" s="179"/>
      <c r="RAJ3" s="179"/>
      <c r="RAK3" s="179"/>
      <c r="RAL3" s="179"/>
      <c r="RAM3" s="179"/>
      <c r="RAN3" s="179"/>
      <c r="RAO3" s="179"/>
      <c r="RAP3" s="179"/>
      <c r="RAQ3" s="179"/>
      <c r="RAR3" s="179"/>
      <c r="RAS3" s="179"/>
      <c r="RAT3" s="179"/>
      <c r="RAU3" s="179"/>
      <c r="RAV3" s="179"/>
      <c r="RAW3" s="179"/>
      <c r="RAX3" s="179"/>
      <c r="RAY3" s="179"/>
      <c r="RAZ3" s="179"/>
      <c r="RBA3" s="179"/>
      <c r="RBB3" s="179"/>
      <c r="RBC3" s="179"/>
      <c r="RBD3" s="179"/>
      <c r="RBE3" s="179"/>
      <c r="RBF3" s="179"/>
      <c r="RBG3" s="179"/>
      <c r="RBH3" s="179"/>
      <c r="RBI3" s="179"/>
      <c r="RBJ3" s="179"/>
      <c r="RBK3" s="179"/>
      <c r="RBL3" s="179"/>
      <c r="RBM3" s="179"/>
      <c r="RBN3" s="179"/>
      <c r="RBO3" s="179"/>
      <c r="RBP3" s="179"/>
      <c r="RBQ3" s="179"/>
      <c r="RBR3" s="179"/>
      <c r="RBS3" s="179"/>
      <c r="RBT3" s="179"/>
      <c r="RBU3" s="179"/>
      <c r="RBV3" s="179"/>
      <c r="RBW3" s="179"/>
      <c r="RBX3" s="179"/>
      <c r="RBY3" s="179"/>
      <c r="RBZ3" s="179"/>
      <c r="RCA3" s="179"/>
      <c r="RCB3" s="179"/>
      <c r="RCC3" s="179"/>
      <c r="RCD3" s="179"/>
      <c r="RCE3" s="179"/>
      <c r="RCF3" s="179"/>
      <c r="RCG3" s="179"/>
      <c r="RCH3" s="179"/>
      <c r="RCI3" s="179"/>
      <c r="RCJ3" s="179"/>
      <c r="RCK3" s="179"/>
      <c r="RCL3" s="179"/>
      <c r="RCM3" s="179"/>
      <c r="RCN3" s="179"/>
      <c r="RCO3" s="179"/>
      <c r="RCP3" s="179"/>
      <c r="RCQ3" s="179"/>
      <c r="RCR3" s="179"/>
      <c r="RCS3" s="179"/>
      <c r="RCT3" s="179"/>
      <c r="RCU3" s="179"/>
      <c r="RCV3" s="179"/>
      <c r="RCW3" s="179"/>
      <c r="RCX3" s="179"/>
      <c r="RCY3" s="179"/>
      <c r="RCZ3" s="179"/>
      <c r="RDA3" s="179"/>
      <c r="RDB3" s="179"/>
      <c r="RDC3" s="179"/>
      <c r="RDD3" s="179"/>
      <c r="RDE3" s="179"/>
      <c r="RDF3" s="179"/>
      <c r="RDG3" s="179"/>
      <c r="RDH3" s="179"/>
      <c r="RDI3" s="179"/>
      <c r="RDJ3" s="179"/>
      <c r="RDK3" s="179"/>
      <c r="RDL3" s="179"/>
      <c r="RDM3" s="179"/>
      <c r="RDN3" s="179"/>
      <c r="RDO3" s="179"/>
      <c r="RDP3" s="179"/>
      <c r="RDQ3" s="179"/>
      <c r="RDR3" s="179"/>
      <c r="RDS3" s="179"/>
      <c r="RDT3" s="179"/>
      <c r="RDU3" s="179"/>
      <c r="RDV3" s="179"/>
      <c r="RDW3" s="179"/>
      <c r="RDX3" s="179"/>
      <c r="RDY3" s="179"/>
      <c r="RDZ3" s="179"/>
      <c r="REA3" s="179"/>
      <c r="REB3" s="179"/>
      <c r="REC3" s="179"/>
      <c r="RED3" s="179"/>
      <c r="REE3" s="179"/>
      <c r="REF3" s="179"/>
      <c r="REG3" s="179"/>
      <c r="REH3" s="179"/>
      <c r="REI3" s="179"/>
      <c r="REJ3" s="179"/>
      <c r="REK3" s="179"/>
      <c r="REL3" s="179"/>
      <c r="REM3" s="179"/>
      <c r="REN3" s="179"/>
      <c r="REO3" s="179"/>
      <c r="REP3" s="179"/>
      <c r="REQ3" s="179"/>
      <c r="RER3" s="179"/>
      <c r="RES3" s="179"/>
      <c r="RET3" s="179"/>
      <c r="REU3" s="179"/>
      <c r="REV3" s="179"/>
      <c r="REW3" s="179"/>
      <c r="REX3" s="179"/>
      <c r="REY3" s="179"/>
      <c r="REZ3" s="179"/>
      <c r="RFA3" s="179"/>
      <c r="RFB3" s="179"/>
      <c r="RFC3" s="179"/>
      <c r="RFD3" s="179"/>
      <c r="RFE3" s="179"/>
      <c r="RFF3" s="179"/>
      <c r="RFG3" s="179"/>
      <c r="RFH3" s="179"/>
      <c r="RFI3" s="179"/>
      <c r="RFJ3" s="179"/>
      <c r="RFK3" s="179"/>
      <c r="RFL3" s="179"/>
      <c r="RFM3" s="179"/>
      <c r="RFN3" s="179"/>
      <c r="RFO3" s="179"/>
      <c r="RFP3" s="179"/>
      <c r="RFQ3" s="179"/>
      <c r="RFR3" s="179"/>
      <c r="RFS3" s="179"/>
      <c r="RFT3" s="179"/>
      <c r="RFU3" s="179"/>
      <c r="RFV3" s="179"/>
      <c r="RFW3" s="179"/>
      <c r="RFX3" s="179"/>
      <c r="RFY3" s="179"/>
      <c r="RFZ3" s="179"/>
      <c r="RGA3" s="179"/>
      <c r="RGB3" s="179"/>
      <c r="RGC3" s="179"/>
      <c r="RGD3" s="179"/>
      <c r="RGE3" s="179"/>
      <c r="RGF3" s="179"/>
      <c r="RGG3" s="179"/>
      <c r="RGH3" s="179"/>
      <c r="RGI3" s="179"/>
      <c r="RGJ3" s="179"/>
      <c r="RGK3" s="179"/>
      <c r="RGL3" s="179"/>
      <c r="RGM3" s="179"/>
      <c r="RGN3" s="179"/>
      <c r="RGO3" s="179"/>
      <c r="RGP3" s="179"/>
      <c r="RGQ3" s="179"/>
      <c r="RGR3" s="179"/>
      <c r="RGS3" s="179"/>
      <c r="RGT3" s="179"/>
      <c r="RGU3" s="179"/>
      <c r="RGV3" s="179"/>
      <c r="RGW3" s="179"/>
      <c r="RGX3" s="179"/>
      <c r="RGY3" s="179"/>
      <c r="RGZ3" s="179"/>
      <c r="RHA3" s="179"/>
      <c r="RHB3" s="179"/>
      <c r="RHC3" s="179"/>
      <c r="RHD3" s="179"/>
      <c r="RHE3" s="179"/>
      <c r="RHF3" s="179"/>
      <c r="RHG3" s="179"/>
      <c r="RHH3" s="179"/>
      <c r="RHI3" s="179"/>
      <c r="RHJ3" s="179"/>
      <c r="RHK3" s="179"/>
      <c r="RHL3" s="179"/>
      <c r="RHM3" s="179"/>
      <c r="RHN3" s="179"/>
      <c r="RHO3" s="179"/>
      <c r="RHP3" s="179"/>
      <c r="RHQ3" s="179"/>
      <c r="RHR3" s="179"/>
      <c r="RHS3" s="179"/>
      <c r="RHT3" s="179"/>
      <c r="RHU3" s="179"/>
      <c r="RHV3" s="179"/>
      <c r="RHW3" s="179"/>
      <c r="RHX3" s="179"/>
      <c r="RHY3" s="179"/>
      <c r="RHZ3" s="179"/>
      <c r="RIA3" s="179"/>
      <c r="RIB3" s="179"/>
      <c r="RIC3" s="179"/>
      <c r="RID3" s="179"/>
      <c r="RIE3" s="179"/>
      <c r="RIF3" s="179"/>
      <c r="RIG3" s="179"/>
      <c r="RIH3" s="179"/>
      <c r="RII3" s="179"/>
      <c r="RIJ3" s="179"/>
      <c r="RIK3" s="179"/>
      <c r="RIL3" s="179"/>
      <c r="RIM3" s="179"/>
      <c r="RIN3" s="179"/>
      <c r="RIO3" s="179"/>
      <c r="RIP3" s="179"/>
      <c r="RIQ3" s="179"/>
      <c r="RIR3" s="179"/>
      <c r="RIS3" s="179"/>
      <c r="RIT3" s="179"/>
      <c r="RIU3" s="179"/>
      <c r="RIV3" s="179"/>
      <c r="RIW3" s="179"/>
      <c r="RIX3" s="179"/>
      <c r="RIY3" s="179"/>
      <c r="RIZ3" s="179"/>
      <c r="RJA3" s="179"/>
      <c r="RJB3" s="179"/>
      <c r="RJC3" s="179"/>
      <c r="RJD3" s="179"/>
      <c r="RJE3" s="179"/>
      <c r="RJF3" s="179"/>
      <c r="RJG3" s="179"/>
      <c r="RJH3" s="179"/>
      <c r="RJI3" s="179"/>
      <c r="RJJ3" s="179"/>
      <c r="RJK3" s="179"/>
      <c r="RJL3" s="179"/>
      <c r="RJM3" s="179"/>
      <c r="RJN3" s="179"/>
      <c r="RJO3" s="179"/>
      <c r="RJP3" s="179"/>
      <c r="RJQ3" s="179"/>
      <c r="RJR3" s="179"/>
      <c r="RJS3" s="179"/>
      <c r="RJT3" s="179"/>
      <c r="RJU3" s="179"/>
      <c r="RJV3" s="179"/>
      <c r="RJW3" s="179"/>
      <c r="RJX3" s="179"/>
      <c r="RJY3" s="179"/>
      <c r="RJZ3" s="179"/>
      <c r="RKA3" s="179"/>
      <c r="RKB3" s="179"/>
      <c r="RKC3" s="179"/>
      <c r="RKD3" s="179"/>
      <c r="RKE3" s="179"/>
      <c r="RKF3" s="179"/>
      <c r="RKG3" s="179"/>
      <c r="RKH3" s="179"/>
      <c r="RKI3" s="179"/>
      <c r="RKJ3" s="179"/>
      <c r="RKK3" s="179"/>
      <c r="RKL3" s="179"/>
      <c r="RKM3" s="179"/>
      <c r="RKN3" s="179"/>
      <c r="RKO3" s="179"/>
      <c r="RKP3" s="179"/>
      <c r="RKQ3" s="179"/>
      <c r="RKR3" s="179"/>
      <c r="RKS3" s="179"/>
      <c r="RKT3" s="179"/>
      <c r="RKU3" s="179"/>
      <c r="RKV3" s="179"/>
      <c r="RKW3" s="179"/>
      <c r="RKX3" s="179"/>
      <c r="RKY3" s="179"/>
      <c r="RKZ3" s="179"/>
      <c r="RLA3" s="179"/>
      <c r="RLB3" s="179"/>
      <c r="RLC3" s="179"/>
      <c r="RLD3" s="179"/>
      <c r="RLE3" s="179"/>
      <c r="RLF3" s="179"/>
      <c r="RLG3" s="179"/>
      <c r="RLH3" s="179"/>
      <c r="RLI3" s="179"/>
      <c r="RLJ3" s="179"/>
      <c r="RLK3" s="179"/>
      <c r="RLL3" s="179"/>
      <c r="RLM3" s="179"/>
      <c r="RLN3" s="179"/>
      <c r="RLO3" s="179"/>
      <c r="RLP3" s="179"/>
      <c r="RLQ3" s="179"/>
      <c r="RLR3" s="179"/>
      <c r="RLS3" s="179"/>
      <c r="RLT3" s="179"/>
      <c r="RLU3" s="179"/>
      <c r="RLV3" s="179"/>
      <c r="RLW3" s="179"/>
      <c r="RLX3" s="179"/>
      <c r="RLY3" s="179"/>
      <c r="RLZ3" s="179"/>
      <c r="RMA3" s="179"/>
      <c r="RMB3" s="179"/>
      <c r="RMC3" s="179"/>
      <c r="RMD3" s="179"/>
      <c r="RME3" s="179"/>
      <c r="RMF3" s="179"/>
      <c r="RMG3" s="179"/>
      <c r="RMH3" s="179"/>
      <c r="RMI3" s="179"/>
      <c r="RMJ3" s="179"/>
      <c r="RMK3" s="179"/>
      <c r="RML3" s="179"/>
      <c r="RMM3" s="179"/>
      <c r="RMN3" s="179"/>
      <c r="RMO3" s="179"/>
      <c r="RMP3" s="179"/>
      <c r="RMQ3" s="179"/>
      <c r="RMR3" s="179"/>
      <c r="RMS3" s="179"/>
      <c r="RMT3" s="179"/>
      <c r="RMU3" s="179"/>
      <c r="RMV3" s="179"/>
      <c r="RMW3" s="179"/>
      <c r="RMX3" s="179"/>
      <c r="RMY3" s="179"/>
      <c r="RMZ3" s="179"/>
      <c r="RNA3" s="179"/>
      <c r="RNB3" s="179"/>
      <c r="RNC3" s="179"/>
      <c r="RND3" s="179"/>
      <c r="RNE3" s="179"/>
      <c r="RNF3" s="179"/>
      <c r="RNG3" s="179"/>
      <c r="RNH3" s="179"/>
      <c r="RNI3" s="179"/>
      <c r="RNJ3" s="179"/>
      <c r="RNK3" s="179"/>
      <c r="RNL3" s="179"/>
      <c r="RNM3" s="179"/>
      <c r="RNN3" s="179"/>
      <c r="RNO3" s="179"/>
      <c r="RNP3" s="179"/>
      <c r="RNQ3" s="179"/>
      <c r="RNR3" s="179"/>
      <c r="RNS3" s="179"/>
      <c r="RNT3" s="179"/>
      <c r="RNU3" s="179"/>
      <c r="RNV3" s="179"/>
      <c r="RNW3" s="179"/>
      <c r="RNX3" s="179"/>
      <c r="RNY3" s="179"/>
      <c r="RNZ3" s="179"/>
      <c r="ROA3" s="179"/>
      <c r="ROB3" s="179"/>
      <c r="ROC3" s="179"/>
      <c r="ROD3" s="179"/>
      <c r="ROE3" s="179"/>
      <c r="ROF3" s="179"/>
      <c r="ROG3" s="179"/>
      <c r="ROH3" s="179"/>
      <c r="ROI3" s="179"/>
      <c r="ROJ3" s="179"/>
      <c r="ROK3" s="179"/>
      <c r="ROL3" s="179"/>
      <c r="ROM3" s="179"/>
      <c r="RON3" s="179"/>
      <c r="ROO3" s="179"/>
      <c r="ROP3" s="179"/>
      <c r="ROQ3" s="179"/>
      <c r="ROR3" s="179"/>
      <c r="ROS3" s="179"/>
      <c r="ROT3" s="179"/>
      <c r="ROU3" s="179"/>
      <c r="ROV3" s="179"/>
      <c r="ROW3" s="179"/>
      <c r="ROX3" s="179"/>
      <c r="ROY3" s="179"/>
      <c r="ROZ3" s="179"/>
      <c r="RPA3" s="179"/>
      <c r="RPB3" s="179"/>
      <c r="RPC3" s="179"/>
      <c r="RPD3" s="179"/>
      <c r="RPE3" s="179"/>
      <c r="RPF3" s="179"/>
      <c r="RPG3" s="179"/>
      <c r="RPH3" s="179"/>
      <c r="RPI3" s="179"/>
      <c r="RPJ3" s="179"/>
      <c r="RPK3" s="179"/>
      <c r="RPL3" s="179"/>
      <c r="RPM3" s="179"/>
      <c r="RPN3" s="179"/>
      <c r="RPO3" s="179"/>
      <c r="RPP3" s="179"/>
      <c r="RPQ3" s="179"/>
      <c r="RPR3" s="179"/>
      <c r="RPS3" s="179"/>
      <c r="RPT3" s="179"/>
      <c r="RPU3" s="179"/>
      <c r="RPV3" s="179"/>
      <c r="RPW3" s="179"/>
      <c r="RPX3" s="179"/>
      <c r="RPY3" s="179"/>
      <c r="RPZ3" s="179"/>
      <c r="RQA3" s="179"/>
      <c r="RQB3" s="179"/>
      <c r="RQC3" s="179"/>
      <c r="RQD3" s="179"/>
      <c r="RQE3" s="179"/>
      <c r="RQF3" s="179"/>
      <c r="RQG3" s="179"/>
      <c r="RQH3" s="179"/>
      <c r="RQI3" s="179"/>
      <c r="RQJ3" s="179"/>
      <c r="RQK3" s="179"/>
      <c r="RQL3" s="179"/>
      <c r="RQM3" s="179"/>
      <c r="RQN3" s="179"/>
      <c r="RQO3" s="179"/>
      <c r="RQP3" s="179"/>
      <c r="RQQ3" s="179"/>
      <c r="RQR3" s="179"/>
      <c r="RQS3" s="179"/>
      <c r="RQT3" s="179"/>
      <c r="RQU3" s="179"/>
      <c r="RQV3" s="179"/>
      <c r="RQW3" s="179"/>
      <c r="RQX3" s="179"/>
      <c r="RQY3" s="179"/>
      <c r="RQZ3" s="179"/>
      <c r="RRA3" s="179"/>
      <c r="RRB3" s="179"/>
      <c r="RRC3" s="179"/>
      <c r="RRD3" s="179"/>
      <c r="RRE3" s="179"/>
      <c r="RRF3" s="179"/>
      <c r="RRG3" s="179"/>
      <c r="RRH3" s="179"/>
      <c r="RRI3" s="179"/>
      <c r="RRJ3" s="179"/>
      <c r="RRK3" s="179"/>
      <c r="RRL3" s="179"/>
      <c r="RRM3" s="179"/>
      <c r="RRN3" s="179"/>
      <c r="RRO3" s="179"/>
      <c r="RRP3" s="179"/>
      <c r="RRQ3" s="179"/>
      <c r="RRR3" s="179"/>
      <c r="RRS3" s="179"/>
      <c r="RRT3" s="179"/>
      <c r="RRU3" s="179"/>
      <c r="RRV3" s="179"/>
      <c r="RRW3" s="179"/>
      <c r="RRX3" s="179"/>
      <c r="RRY3" s="179"/>
      <c r="RRZ3" s="179"/>
      <c r="RSA3" s="179"/>
      <c r="RSB3" s="179"/>
      <c r="RSC3" s="179"/>
      <c r="RSD3" s="179"/>
      <c r="RSE3" s="179"/>
      <c r="RSF3" s="179"/>
      <c r="RSG3" s="179"/>
      <c r="RSH3" s="179"/>
      <c r="RSI3" s="179"/>
      <c r="RSJ3" s="179"/>
      <c r="RSK3" s="179"/>
      <c r="RSL3" s="179"/>
      <c r="RSM3" s="179"/>
      <c r="RSN3" s="179"/>
      <c r="RSO3" s="179"/>
      <c r="RSP3" s="179"/>
      <c r="RSQ3" s="179"/>
      <c r="RSR3" s="179"/>
      <c r="RSS3" s="179"/>
      <c r="RST3" s="179"/>
      <c r="RSU3" s="179"/>
      <c r="RSV3" s="179"/>
      <c r="RSW3" s="179"/>
      <c r="RSX3" s="179"/>
      <c r="RSY3" s="179"/>
      <c r="RSZ3" s="179"/>
      <c r="RTA3" s="179"/>
      <c r="RTB3" s="179"/>
      <c r="RTC3" s="179"/>
      <c r="RTD3" s="179"/>
      <c r="RTE3" s="179"/>
      <c r="RTF3" s="179"/>
      <c r="RTG3" s="179"/>
      <c r="RTH3" s="179"/>
      <c r="RTI3" s="179"/>
      <c r="RTJ3" s="179"/>
      <c r="RTK3" s="179"/>
      <c r="RTL3" s="179"/>
      <c r="RTM3" s="179"/>
      <c r="RTN3" s="179"/>
      <c r="RTO3" s="179"/>
      <c r="RTP3" s="179"/>
      <c r="RTQ3" s="179"/>
      <c r="RTR3" s="179"/>
      <c r="RTS3" s="179"/>
      <c r="RTT3" s="179"/>
      <c r="RTU3" s="179"/>
      <c r="RTV3" s="179"/>
      <c r="RTW3" s="179"/>
      <c r="RTX3" s="179"/>
      <c r="RTY3" s="179"/>
      <c r="RTZ3" s="179"/>
      <c r="RUA3" s="179"/>
      <c r="RUB3" s="179"/>
      <c r="RUC3" s="179"/>
      <c r="RUD3" s="179"/>
      <c r="RUE3" s="179"/>
      <c r="RUF3" s="179"/>
      <c r="RUG3" s="179"/>
      <c r="RUH3" s="179"/>
      <c r="RUI3" s="179"/>
      <c r="RUJ3" s="179"/>
      <c r="RUK3" s="179"/>
      <c r="RUL3" s="179"/>
      <c r="RUM3" s="179"/>
      <c r="RUN3" s="179"/>
      <c r="RUO3" s="179"/>
      <c r="RUP3" s="179"/>
      <c r="RUQ3" s="179"/>
      <c r="RUR3" s="179"/>
      <c r="RUS3" s="179"/>
      <c r="RUT3" s="179"/>
      <c r="RUU3" s="179"/>
      <c r="RUV3" s="179"/>
      <c r="RUW3" s="179"/>
      <c r="RUX3" s="179"/>
      <c r="RUY3" s="179"/>
      <c r="RUZ3" s="179"/>
      <c r="RVA3" s="179"/>
      <c r="RVB3" s="179"/>
      <c r="RVC3" s="179"/>
      <c r="RVD3" s="179"/>
      <c r="RVE3" s="179"/>
      <c r="RVF3" s="179"/>
      <c r="RVG3" s="179"/>
      <c r="RVH3" s="179"/>
      <c r="RVI3" s="179"/>
      <c r="RVJ3" s="179"/>
      <c r="RVK3" s="179"/>
      <c r="RVL3" s="179"/>
      <c r="RVM3" s="179"/>
      <c r="RVN3" s="179"/>
      <c r="RVO3" s="179"/>
      <c r="RVP3" s="179"/>
      <c r="RVQ3" s="179"/>
      <c r="RVR3" s="179"/>
      <c r="RVS3" s="179"/>
      <c r="RVT3" s="179"/>
      <c r="RVU3" s="179"/>
      <c r="RVV3" s="179"/>
      <c r="RVW3" s="179"/>
      <c r="RVX3" s="179"/>
      <c r="RVY3" s="179"/>
      <c r="RVZ3" s="179"/>
      <c r="RWA3" s="179"/>
      <c r="RWB3" s="179"/>
      <c r="RWC3" s="179"/>
      <c r="RWD3" s="179"/>
      <c r="RWE3" s="179"/>
      <c r="RWF3" s="179"/>
      <c r="RWG3" s="179"/>
      <c r="RWH3" s="179"/>
      <c r="RWI3" s="179"/>
      <c r="RWJ3" s="179"/>
      <c r="RWK3" s="179"/>
      <c r="RWL3" s="179"/>
      <c r="RWM3" s="179"/>
      <c r="RWN3" s="179"/>
      <c r="RWO3" s="179"/>
      <c r="RWP3" s="179"/>
      <c r="RWQ3" s="179"/>
      <c r="RWR3" s="179"/>
      <c r="RWS3" s="179"/>
      <c r="RWT3" s="179"/>
      <c r="RWU3" s="179"/>
      <c r="RWV3" s="179"/>
      <c r="RWW3" s="179"/>
      <c r="RWX3" s="179"/>
      <c r="RWY3" s="179"/>
      <c r="RWZ3" s="179"/>
      <c r="RXA3" s="179"/>
      <c r="RXB3" s="179"/>
      <c r="RXC3" s="179"/>
      <c r="RXD3" s="179"/>
      <c r="RXE3" s="179"/>
      <c r="RXF3" s="179"/>
      <c r="RXG3" s="179"/>
      <c r="RXH3" s="179"/>
      <c r="RXI3" s="179"/>
      <c r="RXJ3" s="179"/>
      <c r="RXK3" s="179"/>
      <c r="RXL3" s="179"/>
      <c r="RXM3" s="179"/>
      <c r="RXN3" s="179"/>
      <c r="RXO3" s="179"/>
      <c r="RXP3" s="179"/>
      <c r="RXQ3" s="179"/>
      <c r="RXR3" s="179"/>
      <c r="RXS3" s="179"/>
      <c r="RXT3" s="179"/>
      <c r="RXU3" s="179"/>
      <c r="RXV3" s="179"/>
      <c r="RXW3" s="179"/>
      <c r="RXX3" s="179"/>
      <c r="RXY3" s="179"/>
      <c r="RXZ3" s="179"/>
      <c r="RYA3" s="179"/>
      <c r="RYB3" s="179"/>
      <c r="RYC3" s="179"/>
      <c r="RYD3" s="179"/>
      <c r="RYE3" s="179"/>
      <c r="RYF3" s="179"/>
      <c r="RYG3" s="179"/>
      <c r="RYH3" s="179"/>
      <c r="RYI3" s="179"/>
      <c r="RYJ3" s="179"/>
      <c r="RYK3" s="179"/>
      <c r="RYL3" s="179"/>
      <c r="RYM3" s="179"/>
      <c r="RYN3" s="179"/>
      <c r="RYO3" s="179"/>
      <c r="RYP3" s="179"/>
      <c r="RYQ3" s="179"/>
      <c r="RYR3" s="179"/>
      <c r="RYS3" s="179"/>
      <c r="RYT3" s="179"/>
      <c r="RYU3" s="179"/>
      <c r="RYV3" s="179"/>
      <c r="RYW3" s="179"/>
      <c r="RYX3" s="179"/>
      <c r="RYY3" s="179"/>
      <c r="RYZ3" s="179"/>
      <c r="RZA3" s="179"/>
      <c r="RZB3" s="179"/>
      <c r="RZC3" s="179"/>
      <c r="RZD3" s="179"/>
      <c r="RZE3" s="179"/>
      <c r="RZF3" s="179"/>
      <c r="RZG3" s="179"/>
      <c r="RZH3" s="179"/>
      <c r="RZI3" s="179"/>
      <c r="RZJ3" s="179"/>
      <c r="RZK3" s="179"/>
      <c r="RZL3" s="179"/>
      <c r="RZM3" s="179"/>
      <c r="RZN3" s="179"/>
      <c r="RZO3" s="179"/>
      <c r="RZP3" s="179"/>
      <c r="RZQ3" s="179"/>
      <c r="RZR3" s="179"/>
      <c r="RZS3" s="179"/>
      <c r="RZT3" s="179"/>
      <c r="RZU3" s="179"/>
      <c r="RZV3" s="179"/>
      <c r="RZW3" s="179"/>
      <c r="RZX3" s="179"/>
      <c r="RZY3" s="179"/>
      <c r="RZZ3" s="179"/>
      <c r="SAA3" s="179"/>
      <c r="SAB3" s="179"/>
      <c r="SAC3" s="179"/>
      <c r="SAD3" s="179"/>
      <c r="SAE3" s="179"/>
      <c r="SAF3" s="179"/>
      <c r="SAG3" s="179"/>
      <c r="SAH3" s="179"/>
      <c r="SAI3" s="179"/>
      <c r="SAJ3" s="179"/>
      <c r="SAK3" s="179"/>
      <c r="SAL3" s="179"/>
      <c r="SAM3" s="179"/>
      <c r="SAN3" s="179"/>
      <c r="SAO3" s="179"/>
      <c r="SAP3" s="179"/>
      <c r="SAQ3" s="179"/>
      <c r="SAR3" s="179"/>
      <c r="SAS3" s="179"/>
      <c r="SAT3" s="179"/>
      <c r="SAU3" s="179"/>
      <c r="SAV3" s="179"/>
      <c r="SAW3" s="179"/>
      <c r="SAX3" s="179"/>
      <c r="SAY3" s="179"/>
      <c r="SAZ3" s="179"/>
      <c r="SBA3" s="179"/>
      <c r="SBB3" s="179"/>
      <c r="SBC3" s="179"/>
      <c r="SBD3" s="179"/>
      <c r="SBE3" s="179"/>
      <c r="SBF3" s="179"/>
      <c r="SBG3" s="179"/>
      <c r="SBH3" s="179"/>
      <c r="SBI3" s="179"/>
      <c r="SBJ3" s="179"/>
      <c r="SBK3" s="179"/>
      <c r="SBL3" s="179"/>
      <c r="SBM3" s="179"/>
      <c r="SBN3" s="179"/>
      <c r="SBO3" s="179"/>
      <c r="SBP3" s="179"/>
      <c r="SBQ3" s="179"/>
      <c r="SBR3" s="179"/>
      <c r="SBS3" s="179"/>
      <c r="SBT3" s="179"/>
      <c r="SBU3" s="179"/>
      <c r="SBV3" s="179"/>
      <c r="SBW3" s="179"/>
      <c r="SBX3" s="179"/>
      <c r="SBY3" s="179"/>
      <c r="SBZ3" s="179"/>
      <c r="SCA3" s="179"/>
      <c r="SCB3" s="179"/>
      <c r="SCC3" s="179"/>
      <c r="SCD3" s="179"/>
      <c r="SCE3" s="179"/>
      <c r="SCF3" s="179"/>
      <c r="SCG3" s="179"/>
      <c r="SCH3" s="179"/>
      <c r="SCI3" s="179"/>
      <c r="SCJ3" s="179"/>
      <c r="SCK3" s="179"/>
      <c r="SCL3" s="179"/>
      <c r="SCM3" s="179"/>
      <c r="SCN3" s="179"/>
      <c r="SCO3" s="179"/>
      <c r="SCP3" s="179"/>
      <c r="SCQ3" s="179"/>
      <c r="SCR3" s="179"/>
      <c r="SCS3" s="179"/>
      <c r="SCT3" s="179"/>
      <c r="SCU3" s="179"/>
      <c r="SCV3" s="179"/>
      <c r="SCW3" s="179"/>
      <c r="SCX3" s="179"/>
      <c r="SCY3" s="179"/>
      <c r="SCZ3" s="179"/>
      <c r="SDA3" s="179"/>
      <c r="SDB3" s="179"/>
      <c r="SDC3" s="179"/>
      <c r="SDD3" s="179"/>
      <c r="SDE3" s="179"/>
      <c r="SDF3" s="179"/>
      <c r="SDG3" s="179"/>
      <c r="SDH3" s="179"/>
      <c r="SDI3" s="179"/>
      <c r="SDJ3" s="179"/>
      <c r="SDK3" s="179"/>
      <c r="SDL3" s="179"/>
      <c r="SDM3" s="179"/>
      <c r="SDN3" s="179"/>
      <c r="SDO3" s="179"/>
      <c r="SDP3" s="179"/>
      <c r="SDQ3" s="179"/>
      <c r="SDR3" s="179"/>
      <c r="SDS3" s="179"/>
      <c r="SDT3" s="179"/>
      <c r="SDU3" s="179"/>
      <c r="SDV3" s="179"/>
      <c r="SDW3" s="179"/>
      <c r="SDX3" s="179"/>
      <c r="SDY3" s="179"/>
      <c r="SDZ3" s="179"/>
      <c r="SEA3" s="179"/>
      <c r="SEB3" s="179"/>
      <c r="SEC3" s="179"/>
      <c r="SED3" s="179"/>
      <c r="SEE3" s="179"/>
      <c r="SEF3" s="179"/>
      <c r="SEG3" s="179"/>
      <c r="SEH3" s="179"/>
      <c r="SEI3" s="179"/>
      <c r="SEJ3" s="179"/>
      <c r="SEK3" s="179"/>
      <c r="SEL3" s="179"/>
      <c r="SEM3" s="179"/>
      <c r="SEN3" s="179"/>
      <c r="SEO3" s="179"/>
      <c r="SEP3" s="179"/>
      <c r="SEQ3" s="179"/>
      <c r="SER3" s="179"/>
      <c r="SES3" s="179"/>
      <c r="SET3" s="179"/>
      <c r="SEU3" s="179"/>
      <c r="SEV3" s="179"/>
      <c r="SEW3" s="179"/>
      <c r="SEX3" s="179"/>
      <c r="SEY3" s="179"/>
      <c r="SEZ3" s="179"/>
      <c r="SFA3" s="179"/>
      <c r="SFB3" s="179"/>
      <c r="SFC3" s="179"/>
      <c r="SFD3" s="179"/>
      <c r="SFE3" s="179"/>
      <c r="SFF3" s="179"/>
      <c r="SFG3" s="179"/>
      <c r="SFH3" s="179"/>
      <c r="SFI3" s="179"/>
      <c r="SFJ3" s="179"/>
      <c r="SFK3" s="179"/>
      <c r="SFL3" s="179"/>
      <c r="SFM3" s="179"/>
      <c r="SFN3" s="179"/>
      <c r="SFO3" s="179"/>
      <c r="SFP3" s="179"/>
      <c r="SFQ3" s="179"/>
      <c r="SFR3" s="179"/>
      <c r="SFS3" s="179"/>
      <c r="SFT3" s="179"/>
      <c r="SFU3" s="179"/>
      <c r="SFV3" s="179"/>
      <c r="SFW3" s="179"/>
      <c r="SFX3" s="179"/>
      <c r="SFY3" s="179"/>
      <c r="SFZ3" s="179"/>
      <c r="SGA3" s="179"/>
      <c r="SGB3" s="179"/>
      <c r="SGC3" s="179"/>
      <c r="SGD3" s="179"/>
      <c r="SGE3" s="179"/>
      <c r="SGF3" s="179"/>
      <c r="SGG3" s="179"/>
      <c r="SGH3" s="179"/>
      <c r="SGI3" s="179"/>
      <c r="SGJ3" s="179"/>
      <c r="SGK3" s="179"/>
      <c r="SGL3" s="179"/>
      <c r="SGM3" s="179"/>
      <c r="SGN3" s="179"/>
      <c r="SGO3" s="179"/>
      <c r="SGP3" s="179"/>
      <c r="SGQ3" s="179"/>
      <c r="SGR3" s="179"/>
      <c r="SGS3" s="179"/>
      <c r="SGT3" s="179"/>
      <c r="SGU3" s="179"/>
      <c r="SGV3" s="179"/>
      <c r="SGW3" s="179"/>
      <c r="SGX3" s="179"/>
      <c r="SGY3" s="179"/>
      <c r="SGZ3" s="179"/>
      <c r="SHA3" s="179"/>
      <c r="SHB3" s="179"/>
      <c r="SHC3" s="179"/>
      <c r="SHD3" s="179"/>
      <c r="SHE3" s="179"/>
      <c r="SHF3" s="179"/>
      <c r="SHG3" s="179"/>
      <c r="SHH3" s="179"/>
      <c r="SHI3" s="179"/>
      <c r="SHJ3" s="179"/>
      <c r="SHK3" s="179"/>
      <c r="SHL3" s="179"/>
      <c r="SHM3" s="179"/>
      <c r="SHN3" s="179"/>
      <c r="SHO3" s="179"/>
      <c r="SHP3" s="179"/>
      <c r="SHQ3" s="179"/>
      <c r="SHR3" s="179"/>
      <c r="SHS3" s="179"/>
      <c r="SHT3" s="179"/>
      <c r="SHU3" s="179"/>
      <c r="SHV3" s="179"/>
      <c r="SHW3" s="179"/>
      <c r="SHX3" s="179"/>
      <c r="SHY3" s="179"/>
      <c r="SHZ3" s="179"/>
      <c r="SIA3" s="179"/>
      <c r="SIB3" s="179"/>
      <c r="SIC3" s="179"/>
      <c r="SID3" s="179"/>
      <c r="SIE3" s="179"/>
      <c r="SIF3" s="179"/>
      <c r="SIG3" s="179"/>
      <c r="SIH3" s="179"/>
      <c r="SII3" s="179"/>
      <c r="SIJ3" s="179"/>
      <c r="SIK3" s="179"/>
      <c r="SIL3" s="179"/>
      <c r="SIM3" s="179"/>
      <c r="SIN3" s="179"/>
      <c r="SIO3" s="179"/>
      <c r="SIP3" s="179"/>
      <c r="SIQ3" s="179"/>
      <c r="SIR3" s="179"/>
      <c r="SIS3" s="179"/>
      <c r="SIT3" s="179"/>
      <c r="SIU3" s="179"/>
      <c r="SIV3" s="179"/>
      <c r="SIW3" s="179"/>
      <c r="SIX3" s="179"/>
      <c r="SIY3" s="179"/>
      <c r="SIZ3" s="179"/>
      <c r="SJA3" s="179"/>
      <c r="SJB3" s="179"/>
      <c r="SJC3" s="179"/>
      <c r="SJD3" s="179"/>
      <c r="SJE3" s="179"/>
      <c r="SJF3" s="179"/>
      <c r="SJG3" s="179"/>
      <c r="SJH3" s="179"/>
      <c r="SJI3" s="179"/>
      <c r="SJJ3" s="179"/>
      <c r="SJK3" s="179"/>
      <c r="SJL3" s="179"/>
      <c r="SJM3" s="179"/>
      <c r="SJN3" s="179"/>
      <c r="SJO3" s="179"/>
      <c r="SJP3" s="179"/>
      <c r="SJQ3" s="179"/>
      <c r="SJR3" s="179"/>
      <c r="SJS3" s="179"/>
      <c r="SJT3" s="179"/>
      <c r="SJU3" s="179"/>
      <c r="SJV3" s="179"/>
      <c r="SJW3" s="179"/>
      <c r="SJX3" s="179"/>
      <c r="SJY3" s="179"/>
      <c r="SJZ3" s="179"/>
      <c r="SKA3" s="179"/>
      <c r="SKB3" s="179"/>
      <c r="SKC3" s="179"/>
      <c r="SKD3" s="179"/>
      <c r="SKE3" s="179"/>
      <c r="SKF3" s="179"/>
      <c r="SKG3" s="179"/>
      <c r="SKH3" s="179"/>
      <c r="SKI3" s="179"/>
      <c r="SKJ3" s="179"/>
      <c r="SKK3" s="179"/>
      <c r="SKL3" s="179"/>
      <c r="SKM3" s="179"/>
      <c r="SKN3" s="179"/>
      <c r="SKO3" s="179"/>
      <c r="SKP3" s="179"/>
      <c r="SKQ3" s="179"/>
      <c r="SKR3" s="179"/>
      <c r="SKS3" s="179"/>
      <c r="SKT3" s="179"/>
      <c r="SKU3" s="179"/>
      <c r="SKV3" s="179"/>
      <c r="SKW3" s="179"/>
      <c r="SKX3" s="179"/>
      <c r="SKY3" s="179"/>
      <c r="SKZ3" s="179"/>
      <c r="SLA3" s="179"/>
      <c r="SLB3" s="179"/>
      <c r="SLC3" s="179"/>
      <c r="SLD3" s="179"/>
      <c r="SLE3" s="179"/>
      <c r="SLF3" s="179"/>
      <c r="SLG3" s="179"/>
      <c r="SLH3" s="179"/>
      <c r="SLI3" s="179"/>
      <c r="SLJ3" s="179"/>
      <c r="SLK3" s="179"/>
      <c r="SLL3" s="179"/>
      <c r="SLM3" s="179"/>
      <c r="SLN3" s="179"/>
      <c r="SLO3" s="179"/>
      <c r="SLP3" s="179"/>
      <c r="SLQ3" s="179"/>
      <c r="SLR3" s="179"/>
      <c r="SLS3" s="179"/>
      <c r="SLT3" s="179"/>
      <c r="SLU3" s="179"/>
      <c r="SLV3" s="179"/>
      <c r="SLW3" s="179"/>
      <c r="SLX3" s="179"/>
      <c r="SLY3" s="179"/>
      <c r="SLZ3" s="179"/>
      <c r="SMA3" s="179"/>
      <c r="SMB3" s="179"/>
      <c r="SMC3" s="179"/>
      <c r="SMD3" s="179"/>
      <c r="SME3" s="179"/>
      <c r="SMF3" s="179"/>
      <c r="SMG3" s="179"/>
      <c r="SMH3" s="179"/>
      <c r="SMI3" s="179"/>
      <c r="SMJ3" s="179"/>
      <c r="SMK3" s="179"/>
      <c r="SML3" s="179"/>
      <c r="SMM3" s="179"/>
      <c r="SMN3" s="179"/>
      <c r="SMO3" s="179"/>
      <c r="SMP3" s="179"/>
      <c r="SMQ3" s="179"/>
      <c r="SMR3" s="179"/>
      <c r="SMS3" s="179"/>
      <c r="SMT3" s="179"/>
      <c r="SMU3" s="179"/>
      <c r="SMV3" s="179"/>
      <c r="SMW3" s="179"/>
      <c r="SMX3" s="179"/>
      <c r="SMY3" s="179"/>
      <c r="SMZ3" s="179"/>
      <c r="SNA3" s="179"/>
      <c r="SNB3" s="179"/>
      <c r="SNC3" s="179"/>
      <c r="SND3" s="179"/>
      <c r="SNE3" s="179"/>
      <c r="SNF3" s="179"/>
      <c r="SNG3" s="179"/>
      <c r="SNH3" s="179"/>
      <c r="SNI3" s="179"/>
      <c r="SNJ3" s="179"/>
      <c r="SNK3" s="179"/>
      <c r="SNL3" s="179"/>
      <c r="SNM3" s="179"/>
      <c r="SNN3" s="179"/>
      <c r="SNO3" s="179"/>
      <c r="SNP3" s="179"/>
      <c r="SNQ3" s="179"/>
      <c r="SNR3" s="179"/>
      <c r="SNS3" s="179"/>
      <c r="SNT3" s="179"/>
      <c r="SNU3" s="179"/>
      <c r="SNV3" s="179"/>
      <c r="SNW3" s="179"/>
      <c r="SNX3" s="179"/>
      <c r="SNY3" s="179"/>
      <c r="SNZ3" s="179"/>
      <c r="SOA3" s="179"/>
      <c r="SOB3" s="179"/>
      <c r="SOC3" s="179"/>
      <c r="SOD3" s="179"/>
      <c r="SOE3" s="179"/>
      <c r="SOF3" s="179"/>
      <c r="SOG3" s="179"/>
      <c r="SOH3" s="179"/>
      <c r="SOI3" s="179"/>
      <c r="SOJ3" s="179"/>
      <c r="SOK3" s="179"/>
      <c r="SOL3" s="179"/>
      <c r="SOM3" s="179"/>
      <c r="SON3" s="179"/>
      <c r="SOO3" s="179"/>
      <c r="SOP3" s="179"/>
      <c r="SOQ3" s="179"/>
      <c r="SOR3" s="179"/>
      <c r="SOS3" s="179"/>
      <c r="SOT3" s="179"/>
      <c r="SOU3" s="179"/>
      <c r="SOV3" s="179"/>
      <c r="SOW3" s="179"/>
      <c r="SOX3" s="179"/>
      <c r="SOY3" s="179"/>
      <c r="SOZ3" s="179"/>
      <c r="SPA3" s="179"/>
      <c r="SPB3" s="179"/>
      <c r="SPC3" s="179"/>
      <c r="SPD3" s="179"/>
      <c r="SPE3" s="179"/>
      <c r="SPF3" s="179"/>
      <c r="SPG3" s="179"/>
      <c r="SPH3" s="179"/>
      <c r="SPI3" s="179"/>
      <c r="SPJ3" s="179"/>
      <c r="SPK3" s="179"/>
      <c r="SPL3" s="179"/>
      <c r="SPM3" s="179"/>
      <c r="SPN3" s="179"/>
      <c r="SPO3" s="179"/>
      <c r="SPP3" s="179"/>
      <c r="SPQ3" s="179"/>
      <c r="SPR3" s="179"/>
      <c r="SPS3" s="179"/>
      <c r="SPT3" s="179"/>
      <c r="SPU3" s="179"/>
      <c r="SPV3" s="179"/>
      <c r="SPW3" s="179"/>
      <c r="SPX3" s="179"/>
      <c r="SPY3" s="179"/>
      <c r="SPZ3" s="179"/>
      <c r="SQA3" s="179"/>
      <c r="SQB3" s="179"/>
      <c r="SQC3" s="179"/>
      <c r="SQD3" s="179"/>
      <c r="SQE3" s="179"/>
      <c r="SQF3" s="179"/>
      <c r="SQG3" s="179"/>
      <c r="SQH3" s="179"/>
      <c r="SQI3" s="179"/>
      <c r="SQJ3" s="179"/>
      <c r="SQK3" s="179"/>
      <c r="SQL3" s="179"/>
      <c r="SQM3" s="179"/>
      <c r="SQN3" s="179"/>
      <c r="SQO3" s="179"/>
      <c r="SQP3" s="179"/>
      <c r="SQQ3" s="179"/>
      <c r="SQR3" s="179"/>
      <c r="SQS3" s="179"/>
      <c r="SQT3" s="179"/>
      <c r="SQU3" s="179"/>
      <c r="SQV3" s="179"/>
      <c r="SQW3" s="179"/>
      <c r="SQX3" s="179"/>
      <c r="SQY3" s="179"/>
      <c r="SQZ3" s="179"/>
      <c r="SRA3" s="179"/>
      <c r="SRB3" s="179"/>
      <c r="SRC3" s="179"/>
      <c r="SRD3" s="179"/>
      <c r="SRE3" s="179"/>
      <c r="SRF3" s="179"/>
      <c r="SRG3" s="179"/>
      <c r="SRH3" s="179"/>
      <c r="SRI3" s="179"/>
      <c r="SRJ3" s="179"/>
      <c r="SRK3" s="179"/>
      <c r="SRL3" s="179"/>
      <c r="SRM3" s="179"/>
      <c r="SRN3" s="179"/>
      <c r="SRO3" s="179"/>
      <c r="SRP3" s="179"/>
      <c r="SRQ3" s="179"/>
      <c r="SRR3" s="179"/>
      <c r="SRS3" s="179"/>
      <c r="SRT3" s="179"/>
      <c r="SRU3" s="179"/>
      <c r="SRV3" s="179"/>
      <c r="SRW3" s="179"/>
      <c r="SRX3" s="179"/>
      <c r="SRY3" s="179"/>
      <c r="SRZ3" s="179"/>
      <c r="SSA3" s="179"/>
      <c r="SSB3" s="179"/>
      <c r="SSC3" s="179"/>
      <c r="SSD3" s="179"/>
      <c r="SSE3" s="179"/>
      <c r="SSF3" s="179"/>
      <c r="SSG3" s="179"/>
      <c r="SSH3" s="179"/>
      <c r="SSI3" s="179"/>
      <c r="SSJ3" s="179"/>
      <c r="SSK3" s="179"/>
      <c r="SSL3" s="179"/>
      <c r="SSM3" s="179"/>
      <c r="SSN3" s="179"/>
      <c r="SSO3" s="179"/>
      <c r="SSP3" s="179"/>
      <c r="SSQ3" s="179"/>
      <c r="SSR3" s="179"/>
      <c r="SSS3" s="179"/>
      <c r="SST3" s="179"/>
      <c r="SSU3" s="179"/>
      <c r="SSV3" s="179"/>
      <c r="SSW3" s="179"/>
      <c r="SSX3" s="179"/>
      <c r="SSY3" s="179"/>
      <c r="SSZ3" s="179"/>
      <c r="STA3" s="179"/>
      <c r="STB3" s="179"/>
      <c r="STC3" s="179"/>
      <c r="STD3" s="179"/>
      <c r="STE3" s="179"/>
      <c r="STF3" s="179"/>
      <c r="STG3" s="179"/>
      <c r="STH3" s="179"/>
      <c r="STI3" s="179"/>
      <c r="STJ3" s="179"/>
      <c r="STK3" s="179"/>
      <c r="STL3" s="179"/>
      <c r="STM3" s="179"/>
      <c r="STN3" s="179"/>
      <c r="STO3" s="179"/>
      <c r="STP3" s="179"/>
      <c r="STQ3" s="179"/>
      <c r="STR3" s="179"/>
      <c r="STS3" s="179"/>
      <c r="STT3" s="179"/>
      <c r="STU3" s="179"/>
      <c r="STV3" s="179"/>
      <c r="STW3" s="179"/>
      <c r="STX3" s="179"/>
      <c r="STY3" s="179"/>
      <c r="STZ3" s="179"/>
      <c r="SUA3" s="179"/>
      <c r="SUB3" s="179"/>
      <c r="SUC3" s="179"/>
      <c r="SUD3" s="179"/>
      <c r="SUE3" s="179"/>
      <c r="SUF3" s="179"/>
      <c r="SUG3" s="179"/>
      <c r="SUH3" s="179"/>
      <c r="SUI3" s="179"/>
      <c r="SUJ3" s="179"/>
      <c r="SUK3" s="179"/>
      <c r="SUL3" s="179"/>
      <c r="SUM3" s="179"/>
      <c r="SUN3" s="179"/>
      <c r="SUO3" s="179"/>
      <c r="SUP3" s="179"/>
      <c r="SUQ3" s="179"/>
      <c r="SUR3" s="179"/>
      <c r="SUS3" s="179"/>
      <c r="SUT3" s="179"/>
      <c r="SUU3" s="179"/>
      <c r="SUV3" s="179"/>
      <c r="SUW3" s="179"/>
      <c r="SUX3" s="179"/>
      <c r="SUY3" s="179"/>
      <c r="SUZ3" s="179"/>
      <c r="SVA3" s="179"/>
      <c r="SVB3" s="179"/>
      <c r="SVC3" s="179"/>
      <c r="SVD3" s="179"/>
      <c r="SVE3" s="179"/>
      <c r="SVF3" s="179"/>
      <c r="SVG3" s="179"/>
      <c r="SVH3" s="179"/>
      <c r="SVI3" s="179"/>
      <c r="SVJ3" s="179"/>
      <c r="SVK3" s="179"/>
      <c r="SVL3" s="179"/>
      <c r="SVM3" s="179"/>
      <c r="SVN3" s="179"/>
      <c r="SVO3" s="179"/>
      <c r="SVP3" s="179"/>
      <c r="SVQ3" s="179"/>
      <c r="SVR3" s="179"/>
      <c r="SVS3" s="179"/>
      <c r="SVT3" s="179"/>
      <c r="SVU3" s="179"/>
      <c r="SVV3" s="179"/>
      <c r="SVW3" s="179"/>
      <c r="SVX3" s="179"/>
      <c r="SVY3" s="179"/>
      <c r="SVZ3" s="179"/>
      <c r="SWA3" s="179"/>
      <c r="SWB3" s="179"/>
      <c r="SWC3" s="179"/>
      <c r="SWD3" s="179"/>
      <c r="SWE3" s="179"/>
      <c r="SWF3" s="179"/>
      <c r="SWG3" s="179"/>
      <c r="SWH3" s="179"/>
      <c r="SWI3" s="179"/>
      <c r="SWJ3" s="179"/>
      <c r="SWK3" s="179"/>
      <c r="SWL3" s="179"/>
      <c r="SWM3" s="179"/>
      <c r="SWN3" s="179"/>
      <c r="SWO3" s="179"/>
      <c r="SWP3" s="179"/>
      <c r="SWQ3" s="179"/>
      <c r="SWR3" s="179"/>
      <c r="SWS3" s="179"/>
      <c r="SWT3" s="179"/>
      <c r="SWU3" s="179"/>
      <c r="SWV3" s="179"/>
      <c r="SWW3" s="179"/>
      <c r="SWX3" s="179"/>
      <c r="SWY3" s="179"/>
      <c r="SWZ3" s="179"/>
      <c r="SXA3" s="179"/>
      <c r="SXB3" s="179"/>
      <c r="SXC3" s="179"/>
      <c r="SXD3" s="179"/>
      <c r="SXE3" s="179"/>
      <c r="SXF3" s="179"/>
      <c r="SXG3" s="179"/>
      <c r="SXH3" s="179"/>
      <c r="SXI3" s="179"/>
      <c r="SXJ3" s="179"/>
      <c r="SXK3" s="179"/>
      <c r="SXL3" s="179"/>
      <c r="SXM3" s="179"/>
      <c r="SXN3" s="179"/>
      <c r="SXO3" s="179"/>
      <c r="SXP3" s="179"/>
      <c r="SXQ3" s="179"/>
      <c r="SXR3" s="179"/>
      <c r="SXS3" s="179"/>
      <c r="SXT3" s="179"/>
      <c r="SXU3" s="179"/>
      <c r="SXV3" s="179"/>
      <c r="SXW3" s="179"/>
      <c r="SXX3" s="179"/>
      <c r="SXY3" s="179"/>
      <c r="SXZ3" s="179"/>
      <c r="SYA3" s="179"/>
      <c r="SYB3" s="179"/>
      <c r="SYC3" s="179"/>
      <c r="SYD3" s="179"/>
      <c r="SYE3" s="179"/>
      <c r="SYF3" s="179"/>
      <c r="SYG3" s="179"/>
      <c r="SYH3" s="179"/>
      <c r="SYI3" s="179"/>
      <c r="SYJ3" s="179"/>
      <c r="SYK3" s="179"/>
      <c r="SYL3" s="179"/>
      <c r="SYM3" s="179"/>
      <c r="SYN3" s="179"/>
      <c r="SYO3" s="179"/>
      <c r="SYP3" s="179"/>
      <c r="SYQ3" s="179"/>
      <c r="SYR3" s="179"/>
      <c r="SYS3" s="179"/>
      <c r="SYT3" s="179"/>
      <c r="SYU3" s="179"/>
      <c r="SYV3" s="179"/>
      <c r="SYW3" s="179"/>
      <c r="SYX3" s="179"/>
      <c r="SYY3" s="179"/>
      <c r="SYZ3" s="179"/>
      <c r="SZA3" s="179"/>
      <c r="SZB3" s="179"/>
      <c r="SZC3" s="179"/>
      <c r="SZD3" s="179"/>
      <c r="SZE3" s="179"/>
      <c r="SZF3" s="179"/>
      <c r="SZG3" s="179"/>
      <c r="SZH3" s="179"/>
      <c r="SZI3" s="179"/>
      <c r="SZJ3" s="179"/>
      <c r="SZK3" s="179"/>
      <c r="SZL3" s="179"/>
      <c r="SZM3" s="179"/>
      <c r="SZN3" s="179"/>
      <c r="SZO3" s="179"/>
      <c r="SZP3" s="179"/>
      <c r="SZQ3" s="179"/>
      <c r="SZR3" s="179"/>
      <c r="SZS3" s="179"/>
      <c r="SZT3" s="179"/>
      <c r="SZU3" s="179"/>
      <c r="SZV3" s="179"/>
      <c r="SZW3" s="179"/>
      <c r="SZX3" s="179"/>
      <c r="SZY3" s="179"/>
      <c r="SZZ3" s="179"/>
      <c r="TAA3" s="179"/>
      <c r="TAB3" s="179"/>
      <c r="TAC3" s="179"/>
      <c r="TAD3" s="179"/>
      <c r="TAE3" s="179"/>
      <c r="TAF3" s="179"/>
      <c r="TAG3" s="179"/>
      <c r="TAH3" s="179"/>
      <c r="TAI3" s="179"/>
      <c r="TAJ3" s="179"/>
      <c r="TAK3" s="179"/>
      <c r="TAL3" s="179"/>
      <c r="TAM3" s="179"/>
      <c r="TAN3" s="179"/>
      <c r="TAO3" s="179"/>
      <c r="TAP3" s="179"/>
      <c r="TAQ3" s="179"/>
      <c r="TAR3" s="179"/>
      <c r="TAS3" s="179"/>
      <c r="TAT3" s="179"/>
      <c r="TAU3" s="179"/>
      <c r="TAV3" s="179"/>
      <c r="TAW3" s="179"/>
      <c r="TAX3" s="179"/>
      <c r="TAY3" s="179"/>
      <c r="TAZ3" s="179"/>
      <c r="TBA3" s="179"/>
      <c r="TBB3" s="179"/>
      <c r="TBC3" s="179"/>
      <c r="TBD3" s="179"/>
      <c r="TBE3" s="179"/>
      <c r="TBF3" s="179"/>
      <c r="TBG3" s="179"/>
      <c r="TBH3" s="179"/>
      <c r="TBI3" s="179"/>
      <c r="TBJ3" s="179"/>
      <c r="TBK3" s="179"/>
      <c r="TBL3" s="179"/>
      <c r="TBM3" s="179"/>
      <c r="TBN3" s="179"/>
      <c r="TBO3" s="179"/>
      <c r="TBP3" s="179"/>
      <c r="TBQ3" s="179"/>
      <c r="TBR3" s="179"/>
      <c r="TBS3" s="179"/>
      <c r="TBT3" s="179"/>
      <c r="TBU3" s="179"/>
      <c r="TBV3" s="179"/>
      <c r="TBW3" s="179"/>
      <c r="TBX3" s="179"/>
      <c r="TBY3" s="179"/>
      <c r="TBZ3" s="179"/>
      <c r="TCA3" s="179"/>
      <c r="TCB3" s="179"/>
      <c r="TCC3" s="179"/>
      <c r="TCD3" s="179"/>
      <c r="TCE3" s="179"/>
      <c r="TCF3" s="179"/>
      <c r="TCG3" s="179"/>
      <c r="TCH3" s="179"/>
      <c r="TCI3" s="179"/>
      <c r="TCJ3" s="179"/>
      <c r="TCK3" s="179"/>
      <c r="TCL3" s="179"/>
      <c r="TCM3" s="179"/>
      <c r="TCN3" s="179"/>
      <c r="TCO3" s="179"/>
      <c r="TCP3" s="179"/>
      <c r="TCQ3" s="179"/>
      <c r="TCR3" s="179"/>
      <c r="TCS3" s="179"/>
      <c r="TCT3" s="179"/>
      <c r="TCU3" s="179"/>
      <c r="TCV3" s="179"/>
      <c r="TCW3" s="179"/>
      <c r="TCX3" s="179"/>
      <c r="TCY3" s="179"/>
      <c r="TCZ3" s="179"/>
      <c r="TDA3" s="179"/>
      <c r="TDB3" s="179"/>
      <c r="TDC3" s="179"/>
      <c r="TDD3" s="179"/>
      <c r="TDE3" s="179"/>
      <c r="TDF3" s="179"/>
      <c r="TDG3" s="179"/>
      <c r="TDH3" s="179"/>
      <c r="TDI3" s="179"/>
      <c r="TDJ3" s="179"/>
      <c r="TDK3" s="179"/>
      <c r="TDL3" s="179"/>
      <c r="TDM3" s="179"/>
      <c r="TDN3" s="179"/>
      <c r="TDO3" s="179"/>
      <c r="TDP3" s="179"/>
      <c r="TDQ3" s="179"/>
      <c r="TDR3" s="179"/>
      <c r="TDS3" s="179"/>
      <c r="TDT3" s="179"/>
      <c r="TDU3" s="179"/>
      <c r="TDV3" s="179"/>
      <c r="TDW3" s="179"/>
      <c r="TDX3" s="179"/>
      <c r="TDY3" s="179"/>
      <c r="TDZ3" s="179"/>
      <c r="TEA3" s="179"/>
      <c r="TEB3" s="179"/>
      <c r="TEC3" s="179"/>
      <c r="TED3" s="179"/>
      <c r="TEE3" s="179"/>
      <c r="TEF3" s="179"/>
      <c r="TEG3" s="179"/>
      <c r="TEH3" s="179"/>
      <c r="TEI3" s="179"/>
      <c r="TEJ3" s="179"/>
      <c r="TEK3" s="179"/>
      <c r="TEL3" s="179"/>
      <c r="TEM3" s="179"/>
      <c r="TEN3" s="179"/>
      <c r="TEO3" s="179"/>
      <c r="TEP3" s="179"/>
      <c r="TEQ3" s="179"/>
      <c r="TER3" s="179"/>
      <c r="TES3" s="179"/>
      <c r="TET3" s="179"/>
      <c r="TEU3" s="179"/>
      <c r="TEV3" s="179"/>
      <c r="TEW3" s="179"/>
      <c r="TEX3" s="179"/>
      <c r="TEY3" s="179"/>
      <c r="TEZ3" s="179"/>
      <c r="TFA3" s="179"/>
      <c r="TFB3" s="179"/>
      <c r="TFC3" s="179"/>
      <c r="TFD3" s="179"/>
      <c r="TFE3" s="179"/>
      <c r="TFF3" s="179"/>
      <c r="TFG3" s="179"/>
      <c r="TFH3" s="179"/>
      <c r="TFI3" s="179"/>
      <c r="TFJ3" s="179"/>
      <c r="TFK3" s="179"/>
      <c r="TFL3" s="179"/>
      <c r="TFM3" s="179"/>
      <c r="TFN3" s="179"/>
      <c r="TFO3" s="179"/>
      <c r="TFP3" s="179"/>
      <c r="TFQ3" s="179"/>
      <c r="TFR3" s="179"/>
      <c r="TFS3" s="179"/>
      <c r="TFT3" s="179"/>
      <c r="TFU3" s="179"/>
      <c r="TFV3" s="179"/>
      <c r="TFW3" s="179"/>
      <c r="TFX3" s="179"/>
      <c r="TFY3" s="179"/>
      <c r="TFZ3" s="179"/>
      <c r="TGA3" s="179"/>
      <c r="TGB3" s="179"/>
      <c r="TGC3" s="179"/>
      <c r="TGD3" s="179"/>
      <c r="TGE3" s="179"/>
      <c r="TGF3" s="179"/>
      <c r="TGG3" s="179"/>
      <c r="TGH3" s="179"/>
      <c r="TGI3" s="179"/>
      <c r="TGJ3" s="179"/>
      <c r="TGK3" s="179"/>
      <c r="TGL3" s="179"/>
      <c r="TGM3" s="179"/>
      <c r="TGN3" s="179"/>
      <c r="TGO3" s="179"/>
      <c r="TGP3" s="179"/>
      <c r="TGQ3" s="179"/>
      <c r="TGR3" s="179"/>
      <c r="TGS3" s="179"/>
      <c r="TGT3" s="179"/>
      <c r="TGU3" s="179"/>
      <c r="TGV3" s="179"/>
      <c r="TGW3" s="179"/>
      <c r="TGX3" s="179"/>
      <c r="TGY3" s="179"/>
      <c r="TGZ3" s="179"/>
      <c r="THA3" s="179"/>
      <c r="THB3" s="179"/>
      <c r="THC3" s="179"/>
      <c r="THD3" s="179"/>
      <c r="THE3" s="179"/>
      <c r="THF3" s="179"/>
      <c r="THG3" s="179"/>
      <c r="THH3" s="179"/>
      <c r="THI3" s="179"/>
      <c r="THJ3" s="179"/>
      <c r="THK3" s="179"/>
      <c r="THL3" s="179"/>
      <c r="THM3" s="179"/>
      <c r="THN3" s="179"/>
      <c r="THO3" s="179"/>
      <c r="THP3" s="179"/>
      <c r="THQ3" s="179"/>
      <c r="THR3" s="179"/>
      <c r="THS3" s="179"/>
      <c r="THT3" s="179"/>
      <c r="THU3" s="179"/>
      <c r="THV3" s="179"/>
      <c r="THW3" s="179"/>
      <c r="THX3" s="179"/>
      <c r="THY3" s="179"/>
      <c r="THZ3" s="179"/>
      <c r="TIA3" s="179"/>
      <c r="TIB3" s="179"/>
      <c r="TIC3" s="179"/>
      <c r="TID3" s="179"/>
      <c r="TIE3" s="179"/>
      <c r="TIF3" s="179"/>
      <c r="TIG3" s="179"/>
      <c r="TIH3" s="179"/>
      <c r="TII3" s="179"/>
      <c r="TIJ3" s="179"/>
      <c r="TIK3" s="179"/>
      <c r="TIL3" s="179"/>
      <c r="TIM3" s="179"/>
      <c r="TIN3" s="179"/>
      <c r="TIO3" s="179"/>
      <c r="TIP3" s="179"/>
      <c r="TIQ3" s="179"/>
      <c r="TIR3" s="179"/>
      <c r="TIS3" s="179"/>
      <c r="TIT3" s="179"/>
      <c r="TIU3" s="179"/>
      <c r="TIV3" s="179"/>
      <c r="TIW3" s="179"/>
      <c r="TIX3" s="179"/>
      <c r="TIY3" s="179"/>
      <c r="TIZ3" s="179"/>
      <c r="TJA3" s="179"/>
      <c r="TJB3" s="179"/>
      <c r="TJC3" s="179"/>
      <c r="TJD3" s="179"/>
      <c r="TJE3" s="179"/>
      <c r="TJF3" s="179"/>
      <c r="TJG3" s="179"/>
      <c r="TJH3" s="179"/>
      <c r="TJI3" s="179"/>
      <c r="TJJ3" s="179"/>
      <c r="TJK3" s="179"/>
      <c r="TJL3" s="179"/>
      <c r="TJM3" s="179"/>
      <c r="TJN3" s="179"/>
      <c r="TJO3" s="179"/>
      <c r="TJP3" s="179"/>
      <c r="TJQ3" s="179"/>
      <c r="TJR3" s="179"/>
      <c r="TJS3" s="179"/>
      <c r="TJT3" s="179"/>
      <c r="TJU3" s="179"/>
      <c r="TJV3" s="179"/>
      <c r="TJW3" s="179"/>
      <c r="TJX3" s="179"/>
      <c r="TJY3" s="179"/>
      <c r="TJZ3" s="179"/>
      <c r="TKA3" s="179"/>
      <c r="TKB3" s="179"/>
      <c r="TKC3" s="179"/>
      <c r="TKD3" s="179"/>
      <c r="TKE3" s="179"/>
      <c r="TKF3" s="179"/>
      <c r="TKG3" s="179"/>
      <c r="TKH3" s="179"/>
      <c r="TKI3" s="179"/>
      <c r="TKJ3" s="179"/>
      <c r="TKK3" s="179"/>
      <c r="TKL3" s="179"/>
      <c r="TKM3" s="179"/>
      <c r="TKN3" s="179"/>
      <c r="TKO3" s="179"/>
      <c r="TKP3" s="179"/>
      <c r="TKQ3" s="179"/>
      <c r="TKR3" s="179"/>
      <c r="TKS3" s="179"/>
      <c r="TKT3" s="179"/>
      <c r="TKU3" s="179"/>
      <c r="TKV3" s="179"/>
      <c r="TKW3" s="179"/>
      <c r="TKX3" s="179"/>
      <c r="TKY3" s="179"/>
      <c r="TKZ3" s="179"/>
      <c r="TLA3" s="179"/>
      <c r="TLB3" s="179"/>
      <c r="TLC3" s="179"/>
      <c r="TLD3" s="179"/>
      <c r="TLE3" s="179"/>
      <c r="TLF3" s="179"/>
      <c r="TLG3" s="179"/>
      <c r="TLH3" s="179"/>
      <c r="TLI3" s="179"/>
      <c r="TLJ3" s="179"/>
      <c r="TLK3" s="179"/>
      <c r="TLL3" s="179"/>
      <c r="TLM3" s="179"/>
      <c r="TLN3" s="179"/>
      <c r="TLO3" s="179"/>
      <c r="TLP3" s="179"/>
      <c r="TLQ3" s="179"/>
      <c r="TLR3" s="179"/>
      <c r="TLS3" s="179"/>
      <c r="TLT3" s="179"/>
      <c r="TLU3" s="179"/>
      <c r="TLV3" s="179"/>
      <c r="TLW3" s="179"/>
      <c r="TLX3" s="179"/>
      <c r="TLY3" s="179"/>
      <c r="TLZ3" s="179"/>
      <c r="TMA3" s="179"/>
      <c r="TMB3" s="179"/>
      <c r="TMC3" s="179"/>
      <c r="TMD3" s="179"/>
      <c r="TME3" s="179"/>
      <c r="TMF3" s="179"/>
      <c r="TMG3" s="179"/>
      <c r="TMH3" s="179"/>
      <c r="TMI3" s="179"/>
      <c r="TMJ3" s="179"/>
      <c r="TMK3" s="179"/>
      <c r="TML3" s="179"/>
      <c r="TMM3" s="179"/>
      <c r="TMN3" s="179"/>
      <c r="TMO3" s="179"/>
      <c r="TMP3" s="179"/>
      <c r="TMQ3" s="179"/>
      <c r="TMR3" s="179"/>
      <c r="TMS3" s="179"/>
      <c r="TMT3" s="179"/>
      <c r="TMU3" s="179"/>
      <c r="TMV3" s="179"/>
      <c r="TMW3" s="179"/>
      <c r="TMX3" s="179"/>
      <c r="TMY3" s="179"/>
      <c r="TMZ3" s="179"/>
      <c r="TNA3" s="179"/>
      <c r="TNB3" s="179"/>
      <c r="TNC3" s="179"/>
      <c r="TND3" s="179"/>
      <c r="TNE3" s="179"/>
      <c r="TNF3" s="179"/>
      <c r="TNG3" s="179"/>
      <c r="TNH3" s="179"/>
      <c r="TNI3" s="179"/>
      <c r="TNJ3" s="179"/>
      <c r="TNK3" s="179"/>
      <c r="TNL3" s="179"/>
      <c r="TNM3" s="179"/>
      <c r="TNN3" s="179"/>
      <c r="TNO3" s="179"/>
      <c r="TNP3" s="179"/>
      <c r="TNQ3" s="179"/>
      <c r="TNR3" s="179"/>
      <c r="TNS3" s="179"/>
      <c r="TNT3" s="179"/>
      <c r="TNU3" s="179"/>
      <c r="TNV3" s="179"/>
      <c r="TNW3" s="179"/>
      <c r="TNX3" s="179"/>
      <c r="TNY3" s="179"/>
      <c r="TNZ3" s="179"/>
      <c r="TOA3" s="179"/>
      <c r="TOB3" s="179"/>
      <c r="TOC3" s="179"/>
      <c r="TOD3" s="179"/>
      <c r="TOE3" s="179"/>
      <c r="TOF3" s="179"/>
      <c r="TOG3" s="179"/>
      <c r="TOH3" s="179"/>
      <c r="TOI3" s="179"/>
      <c r="TOJ3" s="179"/>
      <c r="TOK3" s="179"/>
      <c r="TOL3" s="179"/>
      <c r="TOM3" s="179"/>
      <c r="TON3" s="179"/>
      <c r="TOO3" s="179"/>
      <c r="TOP3" s="179"/>
      <c r="TOQ3" s="179"/>
      <c r="TOR3" s="179"/>
      <c r="TOS3" s="179"/>
      <c r="TOT3" s="179"/>
      <c r="TOU3" s="179"/>
      <c r="TOV3" s="179"/>
      <c r="TOW3" s="179"/>
      <c r="TOX3" s="179"/>
      <c r="TOY3" s="179"/>
      <c r="TOZ3" s="179"/>
      <c r="TPA3" s="179"/>
      <c r="TPB3" s="179"/>
      <c r="TPC3" s="179"/>
      <c r="TPD3" s="179"/>
      <c r="TPE3" s="179"/>
      <c r="TPF3" s="179"/>
      <c r="TPG3" s="179"/>
      <c r="TPH3" s="179"/>
      <c r="TPI3" s="179"/>
      <c r="TPJ3" s="179"/>
      <c r="TPK3" s="179"/>
      <c r="TPL3" s="179"/>
      <c r="TPM3" s="179"/>
      <c r="TPN3" s="179"/>
      <c r="TPO3" s="179"/>
      <c r="TPP3" s="179"/>
      <c r="TPQ3" s="179"/>
      <c r="TPR3" s="179"/>
      <c r="TPS3" s="179"/>
      <c r="TPT3" s="179"/>
      <c r="TPU3" s="179"/>
      <c r="TPV3" s="179"/>
      <c r="TPW3" s="179"/>
      <c r="TPX3" s="179"/>
      <c r="TPY3" s="179"/>
      <c r="TPZ3" s="179"/>
      <c r="TQA3" s="179"/>
      <c r="TQB3" s="179"/>
      <c r="TQC3" s="179"/>
      <c r="TQD3" s="179"/>
      <c r="TQE3" s="179"/>
      <c r="TQF3" s="179"/>
      <c r="TQG3" s="179"/>
      <c r="TQH3" s="179"/>
      <c r="TQI3" s="179"/>
      <c r="TQJ3" s="179"/>
      <c r="TQK3" s="179"/>
      <c r="TQL3" s="179"/>
      <c r="TQM3" s="179"/>
      <c r="TQN3" s="179"/>
      <c r="TQO3" s="179"/>
      <c r="TQP3" s="179"/>
      <c r="TQQ3" s="179"/>
      <c r="TQR3" s="179"/>
      <c r="TQS3" s="179"/>
      <c r="TQT3" s="179"/>
      <c r="TQU3" s="179"/>
      <c r="TQV3" s="179"/>
      <c r="TQW3" s="179"/>
      <c r="TQX3" s="179"/>
      <c r="TQY3" s="179"/>
      <c r="TQZ3" s="179"/>
      <c r="TRA3" s="179"/>
      <c r="TRB3" s="179"/>
      <c r="TRC3" s="179"/>
      <c r="TRD3" s="179"/>
      <c r="TRE3" s="179"/>
      <c r="TRF3" s="179"/>
      <c r="TRG3" s="179"/>
      <c r="TRH3" s="179"/>
      <c r="TRI3" s="179"/>
      <c r="TRJ3" s="179"/>
      <c r="TRK3" s="179"/>
      <c r="TRL3" s="179"/>
      <c r="TRM3" s="179"/>
      <c r="TRN3" s="179"/>
      <c r="TRO3" s="179"/>
      <c r="TRP3" s="179"/>
      <c r="TRQ3" s="179"/>
      <c r="TRR3" s="179"/>
      <c r="TRS3" s="179"/>
      <c r="TRT3" s="179"/>
      <c r="TRU3" s="179"/>
      <c r="TRV3" s="179"/>
      <c r="TRW3" s="179"/>
      <c r="TRX3" s="179"/>
      <c r="TRY3" s="179"/>
      <c r="TRZ3" s="179"/>
      <c r="TSA3" s="179"/>
      <c r="TSB3" s="179"/>
      <c r="TSC3" s="179"/>
      <c r="TSD3" s="179"/>
      <c r="TSE3" s="179"/>
      <c r="TSF3" s="179"/>
      <c r="TSG3" s="179"/>
      <c r="TSH3" s="179"/>
      <c r="TSI3" s="179"/>
      <c r="TSJ3" s="179"/>
      <c r="TSK3" s="179"/>
      <c r="TSL3" s="179"/>
      <c r="TSM3" s="179"/>
      <c r="TSN3" s="179"/>
      <c r="TSO3" s="179"/>
      <c r="TSP3" s="179"/>
      <c r="TSQ3" s="179"/>
      <c r="TSR3" s="179"/>
      <c r="TSS3" s="179"/>
      <c r="TST3" s="179"/>
      <c r="TSU3" s="179"/>
      <c r="TSV3" s="179"/>
      <c r="TSW3" s="179"/>
      <c r="TSX3" s="179"/>
      <c r="TSY3" s="179"/>
      <c r="TSZ3" s="179"/>
      <c r="TTA3" s="179"/>
      <c r="TTB3" s="179"/>
      <c r="TTC3" s="179"/>
      <c r="TTD3" s="179"/>
      <c r="TTE3" s="179"/>
      <c r="TTF3" s="179"/>
      <c r="TTG3" s="179"/>
      <c r="TTH3" s="179"/>
      <c r="TTI3" s="179"/>
      <c r="TTJ3" s="179"/>
      <c r="TTK3" s="179"/>
      <c r="TTL3" s="179"/>
      <c r="TTM3" s="179"/>
      <c r="TTN3" s="179"/>
      <c r="TTO3" s="179"/>
      <c r="TTP3" s="179"/>
      <c r="TTQ3" s="179"/>
      <c r="TTR3" s="179"/>
      <c r="TTS3" s="179"/>
      <c r="TTT3" s="179"/>
      <c r="TTU3" s="179"/>
      <c r="TTV3" s="179"/>
      <c r="TTW3" s="179"/>
      <c r="TTX3" s="179"/>
      <c r="TTY3" s="179"/>
      <c r="TTZ3" s="179"/>
      <c r="TUA3" s="179"/>
      <c r="TUB3" s="179"/>
      <c r="TUC3" s="179"/>
      <c r="TUD3" s="179"/>
      <c r="TUE3" s="179"/>
      <c r="TUF3" s="179"/>
      <c r="TUG3" s="179"/>
      <c r="TUH3" s="179"/>
      <c r="TUI3" s="179"/>
      <c r="TUJ3" s="179"/>
      <c r="TUK3" s="179"/>
      <c r="TUL3" s="179"/>
      <c r="TUM3" s="179"/>
      <c r="TUN3" s="179"/>
      <c r="TUO3" s="179"/>
      <c r="TUP3" s="179"/>
      <c r="TUQ3" s="179"/>
      <c r="TUR3" s="179"/>
      <c r="TUS3" s="179"/>
      <c r="TUT3" s="179"/>
      <c r="TUU3" s="179"/>
      <c r="TUV3" s="179"/>
      <c r="TUW3" s="179"/>
      <c r="TUX3" s="179"/>
      <c r="TUY3" s="179"/>
      <c r="TUZ3" s="179"/>
      <c r="TVA3" s="179"/>
      <c r="TVB3" s="179"/>
      <c r="TVC3" s="179"/>
      <c r="TVD3" s="179"/>
      <c r="TVE3" s="179"/>
      <c r="TVF3" s="179"/>
      <c r="TVG3" s="179"/>
      <c r="TVH3" s="179"/>
      <c r="TVI3" s="179"/>
      <c r="TVJ3" s="179"/>
      <c r="TVK3" s="179"/>
      <c r="TVL3" s="179"/>
      <c r="TVM3" s="179"/>
      <c r="TVN3" s="179"/>
      <c r="TVO3" s="179"/>
      <c r="TVP3" s="179"/>
      <c r="TVQ3" s="179"/>
      <c r="TVR3" s="179"/>
      <c r="TVS3" s="179"/>
      <c r="TVT3" s="179"/>
      <c r="TVU3" s="179"/>
      <c r="TVV3" s="179"/>
      <c r="TVW3" s="179"/>
      <c r="TVX3" s="179"/>
      <c r="TVY3" s="179"/>
      <c r="TVZ3" s="179"/>
      <c r="TWA3" s="179"/>
      <c r="TWB3" s="179"/>
      <c r="TWC3" s="179"/>
      <c r="TWD3" s="179"/>
      <c r="TWE3" s="179"/>
      <c r="TWF3" s="179"/>
      <c r="TWG3" s="179"/>
      <c r="TWH3" s="179"/>
      <c r="TWI3" s="179"/>
      <c r="TWJ3" s="179"/>
      <c r="TWK3" s="179"/>
      <c r="TWL3" s="179"/>
      <c r="TWM3" s="179"/>
      <c r="TWN3" s="179"/>
      <c r="TWO3" s="179"/>
      <c r="TWP3" s="179"/>
      <c r="TWQ3" s="179"/>
      <c r="TWR3" s="179"/>
      <c r="TWS3" s="179"/>
      <c r="TWT3" s="179"/>
      <c r="TWU3" s="179"/>
      <c r="TWV3" s="179"/>
      <c r="TWW3" s="179"/>
      <c r="TWX3" s="179"/>
      <c r="TWY3" s="179"/>
      <c r="TWZ3" s="179"/>
      <c r="TXA3" s="179"/>
      <c r="TXB3" s="179"/>
      <c r="TXC3" s="179"/>
      <c r="TXD3" s="179"/>
      <c r="TXE3" s="179"/>
      <c r="TXF3" s="179"/>
      <c r="TXG3" s="179"/>
      <c r="TXH3" s="179"/>
      <c r="TXI3" s="179"/>
      <c r="TXJ3" s="179"/>
      <c r="TXK3" s="179"/>
      <c r="TXL3" s="179"/>
      <c r="TXM3" s="179"/>
      <c r="TXN3" s="179"/>
      <c r="TXO3" s="179"/>
      <c r="TXP3" s="179"/>
      <c r="TXQ3" s="179"/>
      <c r="TXR3" s="179"/>
      <c r="TXS3" s="179"/>
      <c r="TXT3" s="179"/>
      <c r="TXU3" s="179"/>
      <c r="TXV3" s="179"/>
      <c r="TXW3" s="179"/>
      <c r="TXX3" s="179"/>
      <c r="TXY3" s="179"/>
      <c r="TXZ3" s="179"/>
      <c r="TYA3" s="179"/>
      <c r="TYB3" s="179"/>
      <c r="TYC3" s="179"/>
      <c r="TYD3" s="179"/>
      <c r="TYE3" s="179"/>
      <c r="TYF3" s="179"/>
      <c r="TYG3" s="179"/>
      <c r="TYH3" s="179"/>
      <c r="TYI3" s="179"/>
      <c r="TYJ3" s="179"/>
      <c r="TYK3" s="179"/>
      <c r="TYL3" s="179"/>
      <c r="TYM3" s="179"/>
      <c r="TYN3" s="179"/>
      <c r="TYO3" s="179"/>
      <c r="TYP3" s="179"/>
      <c r="TYQ3" s="179"/>
      <c r="TYR3" s="179"/>
      <c r="TYS3" s="179"/>
      <c r="TYT3" s="179"/>
      <c r="TYU3" s="179"/>
      <c r="TYV3" s="179"/>
      <c r="TYW3" s="179"/>
      <c r="TYX3" s="179"/>
      <c r="TYY3" s="179"/>
      <c r="TYZ3" s="179"/>
      <c r="TZA3" s="179"/>
      <c r="TZB3" s="179"/>
      <c r="TZC3" s="179"/>
      <c r="TZD3" s="179"/>
      <c r="TZE3" s="179"/>
      <c r="TZF3" s="179"/>
      <c r="TZG3" s="179"/>
      <c r="TZH3" s="179"/>
      <c r="TZI3" s="179"/>
      <c r="TZJ3" s="179"/>
      <c r="TZK3" s="179"/>
      <c r="TZL3" s="179"/>
      <c r="TZM3" s="179"/>
      <c r="TZN3" s="179"/>
      <c r="TZO3" s="179"/>
      <c r="TZP3" s="179"/>
      <c r="TZQ3" s="179"/>
      <c r="TZR3" s="179"/>
      <c r="TZS3" s="179"/>
      <c r="TZT3" s="179"/>
      <c r="TZU3" s="179"/>
      <c r="TZV3" s="179"/>
      <c r="TZW3" s="179"/>
      <c r="TZX3" s="179"/>
      <c r="TZY3" s="179"/>
      <c r="TZZ3" s="179"/>
      <c r="UAA3" s="179"/>
      <c r="UAB3" s="179"/>
      <c r="UAC3" s="179"/>
      <c r="UAD3" s="179"/>
      <c r="UAE3" s="179"/>
      <c r="UAF3" s="179"/>
      <c r="UAG3" s="179"/>
      <c r="UAH3" s="179"/>
      <c r="UAI3" s="179"/>
      <c r="UAJ3" s="179"/>
      <c r="UAK3" s="179"/>
      <c r="UAL3" s="179"/>
      <c r="UAM3" s="179"/>
      <c r="UAN3" s="179"/>
      <c r="UAO3" s="179"/>
      <c r="UAP3" s="179"/>
      <c r="UAQ3" s="179"/>
      <c r="UAR3" s="179"/>
      <c r="UAS3" s="179"/>
      <c r="UAT3" s="179"/>
      <c r="UAU3" s="179"/>
      <c r="UAV3" s="179"/>
      <c r="UAW3" s="179"/>
      <c r="UAX3" s="179"/>
      <c r="UAY3" s="179"/>
      <c r="UAZ3" s="179"/>
      <c r="UBA3" s="179"/>
      <c r="UBB3" s="179"/>
      <c r="UBC3" s="179"/>
      <c r="UBD3" s="179"/>
      <c r="UBE3" s="179"/>
      <c r="UBF3" s="179"/>
      <c r="UBG3" s="179"/>
      <c r="UBH3" s="179"/>
      <c r="UBI3" s="179"/>
      <c r="UBJ3" s="179"/>
      <c r="UBK3" s="179"/>
      <c r="UBL3" s="179"/>
      <c r="UBM3" s="179"/>
      <c r="UBN3" s="179"/>
      <c r="UBO3" s="179"/>
      <c r="UBP3" s="179"/>
      <c r="UBQ3" s="179"/>
      <c r="UBR3" s="179"/>
      <c r="UBS3" s="179"/>
      <c r="UBT3" s="179"/>
      <c r="UBU3" s="179"/>
      <c r="UBV3" s="179"/>
      <c r="UBW3" s="179"/>
      <c r="UBX3" s="179"/>
      <c r="UBY3" s="179"/>
      <c r="UBZ3" s="179"/>
      <c r="UCA3" s="179"/>
      <c r="UCB3" s="179"/>
      <c r="UCC3" s="179"/>
      <c r="UCD3" s="179"/>
      <c r="UCE3" s="179"/>
      <c r="UCF3" s="179"/>
      <c r="UCG3" s="179"/>
      <c r="UCH3" s="179"/>
      <c r="UCI3" s="179"/>
      <c r="UCJ3" s="179"/>
      <c r="UCK3" s="179"/>
      <c r="UCL3" s="179"/>
      <c r="UCM3" s="179"/>
      <c r="UCN3" s="179"/>
      <c r="UCO3" s="179"/>
      <c r="UCP3" s="179"/>
      <c r="UCQ3" s="179"/>
      <c r="UCR3" s="179"/>
      <c r="UCS3" s="179"/>
      <c r="UCT3" s="179"/>
      <c r="UCU3" s="179"/>
      <c r="UCV3" s="179"/>
      <c r="UCW3" s="179"/>
      <c r="UCX3" s="179"/>
      <c r="UCY3" s="179"/>
      <c r="UCZ3" s="179"/>
      <c r="UDA3" s="179"/>
      <c r="UDB3" s="179"/>
      <c r="UDC3" s="179"/>
      <c r="UDD3" s="179"/>
      <c r="UDE3" s="179"/>
      <c r="UDF3" s="179"/>
      <c r="UDG3" s="179"/>
      <c r="UDH3" s="179"/>
      <c r="UDI3" s="179"/>
      <c r="UDJ3" s="179"/>
      <c r="UDK3" s="179"/>
      <c r="UDL3" s="179"/>
      <c r="UDM3" s="179"/>
      <c r="UDN3" s="179"/>
      <c r="UDO3" s="179"/>
      <c r="UDP3" s="179"/>
      <c r="UDQ3" s="179"/>
      <c r="UDR3" s="179"/>
      <c r="UDS3" s="179"/>
      <c r="UDT3" s="179"/>
      <c r="UDU3" s="179"/>
      <c r="UDV3" s="179"/>
      <c r="UDW3" s="179"/>
      <c r="UDX3" s="179"/>
      <c r="UDY3" s="179"/>
      <c r="UDZ3" s="179"/>
      <c r="UEA3" s="179"/>
      <c r="UEB3" s="179"/>
      <c r="UEC3" s="179"/>
      <c r="UED3" s="179"/>
      <c r="UEE3" s="179"/>
      <c r="UEF3" s="179"/>
      <c r="UEG3" s="179"/>
      <c r="UEH3" s="179"/>
      <c r="UEI3" s="179"/>
      <c r="UEJ3" s="179"/>
      <c r="UEK3" s="179"/>
      <c r="UEL3" s="179"/>
      <c r="UEM3" s="179"/>
      <c r="UEN3" s="179"/>
      <c r="UEO3" s="179"/>
      <c r="UEP3" s="179"/>
      <c r="UEQ3" s="179"/>
      <c r="UER3" s="179"/>
      <c r="UES3" s="179"/>
      <c r="UET3" s="179"/>
      <c r="UEU3" s="179"/>
      <c r="UEV3" s="179"/>
      <c r="UEW3" s="179"/>
      <c r="UEX3" s="179"/>
      <c r="UEY3" s="179"/>
      <c r="UEZ3" s="179"/>
      <c r="UFA3" s="179"/>
      <c r="UFB3" s="179"/>
      <c r="UFC3" s="179"/>
      <c r="UFD3" s="179"/>
      <c r="UFE3" s="179"/>
      <c r="UFF3" s="179"/>
      <c r="UFG3" s="179"/>
      <c r="UFH3" s="179"/>
      <c r="UFI3" s="179"/>
      <c r="UFJ3" s="179"/>
      <c r="UFK3" s="179"/>
      <c r="UFL3" s="179"/>
      <c r="UFM3" s="179"/>
      <c r="UFN3" s="179"/>
      <c r="UFO3" s="179"/>
      <c r="UFP3" s="179"/>
      <c r="UFQ3" s="179"/>
      <c r="UFR3" s="179"/>
      <c r="UFS3" s="179"/>
      <c r="UFT3" s="179"/>
      <c r="UFU3" s="179"/>
      <c r="UFV3" s="179"/>
      <c r="UFW3" s="179"/>
      <c r="UFX3" s="179"/>
      <c r="UFY3" s="179"/>
      <c r="UFZ3" s="179"/>
      <c r="UGA3" s="179"/>
      <c r="UGB3" s="179"/>
      <c r="UGC3" s="179"/>
      <c r="UGD3" s="179"/>
      <c r="UGE3" s="179"/>
      <c r="UGF3" s="179"/>
      <c r="UGG3" s="179"/>
      <c r="UGH3" s="179"/>
      <c r="UGI3" s="179"/>
      <c r="UGJ3" s="179"/>
      <c r="UGK3" s="179"/>
      <c r="UGL3" s="179"/>
      <c r="UGM3" s="179"/>
      <c r="UGN3" s="179"/>
      <c r="UGO3" s="179"/>
      <c r="UGP3" s="179"/>
      <c r="UGQ3" s="179"/>
      <c r="UGR3" s="179"/>
      <c r="UGS3" s="179"/>
      <c r="UGT3" s="179"/>
      <c r="UGU3" s="179"/>
      <c r="UGV3" s="179"/>
      <c r="UGW3" s="179"/>
      <c r="UGX3" s="179"/>
      <c r="UGY3" s="179"/>
      <c r="UGZ3" s="179"/>
      <c r="UHA3" s="179"/>
      <c r="UHB3" s="179"/>
      <c r="UHC3" s="179"/>
      <c r="UHD3" s="179"/>
      <c r="UHE3" s="179"/>
      <c r="UHF3" s="179"/>
      <c r="UHG3" s="179"/>
      <c r="UHH3" s="179"/>
      <c r="UHI3" s="179"/>
      <c r="UHJ3" s="179"/>
      <c r="UHK3" s="179"/>
      <c r="UHL3" s="179"/>
      <c r="UHM3" s="179"/>
      <c r="UHN3" s="179"/>
      <c r="UHO3" s="179"/>
      <c r="UHP3" s="179"/>
      <c r="UHQ3" s="179"/>
      <c r="UHR3" s="179"/>
      <c r="UHS3" s="179"/>
      <c r="UHT3" s="179"/>
      <c r="UHU3" s="179"/>
      <c r="UHV3" s="179"/>
      <c r="UHW3" s="179"/>
      <c r="UHX3" s="179"/>
      <c r="UHY3" s="179"/>
      <c r="UHZ3" s="179"/>
      <c r="UIA3" s="179"/>
      <c r="UIB3" s="179"/>
      <c r="UIC3" s="179"/>
      <c r="UID3" s="179"/>
      <c r="UIE3" s="179"/>
      <c r="UIF3" s="179"/>
      <c r="UIG3" s="179"/>
      <c r="UIH3" s="179"/>
      <c r="UII3" s="179"/>
      <c r="UIJ3" s="179"/>
      <c r="UIK3" s="179"/>
      <c r="UIL3" s="179"/>
      <c r="UIM3" s="179"/>
      <c r="UIN3" s="179"/>
      <c r="UIO3" s="179"/>
      <c r="UIP3" s="179"/>
      <c r="UIQ3" s="179"/>
      <c r="UIR3" s="179"/>
      <c r="UIS3" s="179"/>
      <c r="UIT3" s="179"/>
      <c r="UIU3" s="179"/>
      <c r="UIV3" s="179"/>
      <c r="UIW3" s="179"/>
      <c r="UIX3" s="179"/>
      <c r="UIY3" s="179"/>
      <c r="UIZ3" s="179"/>
      <c r="UJA3" s="179"/>
      <c r="UJB3" s="179"/>
      <c r="UJC3" s="179"/>
      <c r="UJD3" s="179"/>
      <c r="UJE3" s="179"/>
      <c r="UJF3" s="179"/>
      <c r="UJG3" s="179"/>
      <c r="UJH3" s="179"/>
      <c r="UJI3" s="179"/>
      <c r="UJJ3" s="179"/>
      <c r="UJK3" s="179"/>
      <c r="UJL3" s="179"/>
      <c r="UJM3" s="179"/>
      <c r="UJN3" s="179"/>
      <c r="UJO3" s="179"/>
      <c r="UJP3" s="179"/>
      <c r="UJQ3" s="179"/>
      <c r="UJR3" s="179"/>
      <c r="UJS3" s="179"/>
      <c r="UJT3" s="179"/>
      <c r="UJU3" s="179"/>
      <c r="UJV3" s="179"/>
      <c r="UJW3" s="179"/>
      <c r="UJX3" s="179"/>
      <c r="UJY3" s="179"/>
      <c r="UJZ3" s="179"/>
      <c r="UKA3" s="179"/>
      <c r="UKB3" s="179"/>
      <c r="UKC3" s="179"/>
      <c r="UKD3" s="179"/>
      <c r="UKE3" s="179"/>
      <c r="UKF3" s="179"/>
      <c r="UKG3" s="179"/>
      <c r="UKH3" s="179"/>
      <c r="UKI3" s="179"/>
      <c r="UKJ3" s="179"/>
      <c r="UKK3" s="179"/>
      <c r="UKL3" s="179"/>
      <c r="UKM3" s="179"/>
      <c r="UKN3" s="179"/>
      <c r="UKO3" s="179"/>
      <c r="UKP3" s="179"/>
      <c r="UKQ3" s="179"/>
      <c r="UKR3" s="179"/>
      <c r="UKS3" s="179"/>
      <c r="UKT3" s="179"/>
      <c r="UKU3" s="179"/>
      <c r="UKV3" s="179"/>
      <c r="UKW3" s="179"/>
      <c r="UKX3" s="179"/>
      <c r="UKY3" s="179"/>
      <c r="UKZ3" s="179"/>
      <c r="ULA3" s="179"/>
      <c r="ULB3" s="179"/>
      <c r="ULC3" s="179"/>
      <c r="ULD3" s="179"/>
      <c r="ULE3" s="179"/>
      <c r="ULF3" s="179"/>
      <c r="ULG3" s="179"/>
      <c r="ULH3" s="179"/>
      <c r="ULI3" s="179"/>
      <c r="ULJ3" s="179"/>
      <c r="ULK3" s="179"/>
      <c r="ULL3" s="179"/>
      <c r="ULM3" s="179"/>
      <c r="ULN3" s="179"/>
      <c r="ULO3" s="179"/>
      <c r="ULP3" s="179"/>
      <c r="ULQ3" s="179"/>
      <c r="ULR3" s="179"/>
      <c r="ULS3" s="179"/>
      <c r="ULT3" s="179"/>
      <c r="ULU3" s="179"/>
      <c r="ULV3" s="179"/>
      <c r="ULW3" s="179"/>
      <c r="ULX3" s="179"/>
      <c r="ULY3" s="179"/>
      <c r="ULZ3" s="179"/>
      <c r="UMA3" s="179"/>
      <c r="UMB3" s="179"/>
      <c r="UMC3" s="179"/>
      <c r="UMD3" s="179"/>
      <c r="UME3" s="179"/>
      <c r="UMF3" s="179"/>
      <c r="UMG3" s="179"/>
      <c r="UMH3" s="179"/>
      <c r="UMI3" s="179"/>
      <c r="UMJ3" s="179"/>
      <c r="UMK3" s="179"/>
      <c r="UML3" s="179"/>
      <c r="UMM3" s="179"/>
      <c r="UMN3" s="179"/>
      <c r="UMO3" s="179"/>
      <c r="UMP3" s="179"/>
      <c r="UMQ3" s="179"/>
      <c r="UMR3" s="179"/>
      <c r="UMS3" s="179"/>
      <c r="UMT3" s="179"/>
      <c r="UMU3" s="179"/>
      <c r="UMV3" s="179"/>
      <c r="UMW3" s="179"/>
      <c r="UMX3" s="179"/>
      <c r="UMY3" s="179"/>
      <c r="UMZ3" s="179"/>
      <c r="UNA3" s="179"/>
      <c r="UNB3" s="179"/>
      <c r="UNC3" s="179"/>
      <c r="UND3" s="179"/>
      <c r="UNE3" s="179"/>
      <c r="UNF3" s="179"/>
      <c r="UNG3" s="179"/>
      <c r="UNH3" s="179"/>
      <c r="UNI3" s="179"/>
      <c r="UNJ3" s="179"/>
      <c r="UNK3" s="179"/>
      <c r="UNL3" s="179"/>
      <c r="UNM3" s="179"/>
      <c r="UNN3" s="179"/>
      <c r="UNO3" s="179"/>
      <c r="UNP3" s="179"/>
      <c r="UNQ3" s="179"/>
      <c r="UNR3" s="179"/>
      <c r="UNS3" s="179"/>
      <c r="UNT3" s="179"/>
      <c r="UNU3" s="179"/>
      <c r="UNV3" s="179"/>
      <c r="UNW3" s="179"/>
      <c r="UNX3" s="179"/>
      <c r="UNY3" s="179"/>
      <c r="UNZ3" s="179"/>
      <c r="UOA3" s="179"/>
      <c r="UOB3" s="179"/>
      <c r="UOC3" s="179"/>
      <c r="UOD3" s="179"/>
      <c r="UOE3" s="179"/>
      <c r="UOF3" s="179"/>
      <c r="UOG3" s="179"/>
      <c r="UOH3" s="179"/>
      <c r="UOI3" s="179"/>
      <c r="UOJ3" s="179"/>
      <c r="UOK3" s="179"/>
      <c r="UOL3" s="179"/>
      <c r="UOM3" s="179"/>
      <c r="UON3" s="179"/>
      <c r="UOO3" s="179"/>
      <c r="UOP3" s="179"/>
      <c r="UOQ3" s="179"/>
      <c r="UOR3" s="179"/>
      <c r="UOS3" s="179"/>
      <c r="UOT3" s="179"/>
      <c r="UOU3" s="179"/>
      <c r="UOV3" s="179"/>
      <c r="UOW3" s="179"/>
      <c r="UOX3" s="179"/>
      <c r="UOY3" s="179"/>
      <c r="UOZ3" s="179"/>
      <c r="UPA3" s="179"/>
      <c r="UPB3" s="179"/>
      <c r="UPC3" s="179"/>
      <c r="UPD3" s="179"/>
      <c r="UPE3" s="179"/>
      <c r="UPF3" s="179"/>
      <c r="UPG3" s="179"/>
      <c r="UPH3" s="179"/>
      <c r="UPI3" s="179"/>
      <c r="UPJ3" s="179"/>
      <c r="UPK3" s="179"/>
      <c r="UPL3" s="179"/>
      <c r="UPM3" s="179"/>
      <c r="UPN3" s="179"/>
      <c r="UPO3" s="179"/>
      <c r="UPP3" s="179"/>
      <c r="UPQ3" s="179"/>
      <c r="UPR3" s="179"/>
      <c r="UPS3" s="179"/>
      <c r="UPT3" s="179"/>
      <c r="UPU3" s="179"/>
      <c r="UPV3" s="179"/>
      <c r="UPW3" s="179"/>
      <c r="UPX3" s="179"/>
      <c r="UPY3" s="179"/>
      <c r="UPZ3" s="179"/>
      <c r="UQA3" s="179"/>
      <c r="UQB3" s="179"/>
      <c r="UQC3" s="179"/>
      <c r="UQD3" s="179"/>
      <c r="UQE3" s="179"/>
      <c r="UQF3" s="179"/>
      <c r="UQG3" s="179"/>
      <c r="UQH3" s="179"/>
      <c r="UQI3" s="179"/>
      <c r="UQJ3" s="179"/>
      <c r="UQK3" s="179"/>
      <c r="UQL3" s="179"/>
      <c r="UQM3" s="179"/>
      <c r="UQN3" s="179"/>
      <c r="UQO3" s="179"/>
      <c r="UQP3" s="179"/>
      <c r="UQQ3" s="179"/>
      <c r="UQR3" s="179"/>
      <c r="UQS3" s="179"/>
      <c r="UQT3" s="179"/>
      <c r="UQU3" s="179"/>
      <c r="UQV3" s="179"/>
      <c r="UQW3" s="179"/>
      <c r="UQX3" s="179"/>
      <c r="UQY3" s="179"/>
      <c r="UQZ3" s="179"/>
      <c r="URA3" s="179"/>
      <c r="URB3" s="179"/>
      <c r="URC3" s="179"/>
      <c r="URD3" s="179"/>
      <c r="URE3" s="179"/>
      <c r="URF3" s="179"/>
      <c r="URG3" s="179"/>
      <c r="URH3" s="179"/>
      <c r="URI3" s="179"/>
      <c r="URJ3" s="179"/>
      <c r="URK3" s="179"/>
      <c r="URL3" s="179"/>
      <c r="URM3" s="179"/>
      <c r="URN3" s="179"/>
      <c r="URO3" s="179"/>
      <c r="URP3" s="179"/>
      <c r="URQ3" s="179"/>
      <c r="URR3" s="179"/>
      <c r="URS3" s="179"/>
      <c r="URT3" s="179"/>
      <c r="URU3" s="179"/>
      <c r="URV3" s="179"/>
      <c r="URW3" s="179"/>
      <c r="URX3" s="179"/>
      <c r="URY3" s="179"/>
      <c r="URZ3" s="179"/>
      <c r="USA3" s="179"/>
      <c r="USB3" s="179"/>
      <c r="USC3" s="179"/>
      <c r="USD3" s="179"/>
      <c r="USE3" s="179"/>
      <c r="USF3" s="179"/>
      <c r="USG3" s="179"/>
      <c r="USH3" s="179"/>
      <c r="USI3" s="179"/>
      <c r="USJ3" s="179"/>
      <c r="USK3" s="179"/>
      <c r="USL3" s="179"/>
      <c r="USM3" s="179"/>
      <c r="USN3" s="179"/>
      <c r="USO3" s="179"/>
      <c r="USP3" s="179"/>
      <c r="USQ3" s="179"/>
      <c r="USR3" s="179"/>
      <c r="USS3" s="179"/>
      <c r="UST3" s="179"/>
      <c r="USU3" s="179"/>
      <c r="USV3" s="179"/>
      <c r="USW3" s="179"/>
      <c r="USX3" s="179"/>
      <c r="USY3" s="179"/>
      <c r="USZ3" s="179"/>
      <c r="UTA3" s="179"/>
      <c r="UTB3" s="179"/>
      <c r="UTC3" s="179"/>
      <c r="UTD3" s="179"/>
      <c r="UTE3" s="179"/>
      <c r="UTF3" s="179"/>
      <c r="UTG3" s="179"/>
      <c r="UTH3" s="179"/>
      <c r="UTI3" s="179"/>
      <c r="UTJ3" s="179"/>
      <c r="UTK3" s="179"/>
      <c r="UTL3" s="179"/>
      <c r="UTM3" s="179"/>
      <c r="UTN3" s="179"/>
      <c r="UTO3" s="179"/>
      <c r="UTP3" s="179"/>
      <c r="UTQ3" s="179"/>
      <c r="UTR3" s="179"/>
      <c r="UTS3" s="179"/>
      <c r="UTT3" s="179"/>
      <c r="UTU3" s="179"/>
      <c r="UTV3" s="179"/>
      <c r="UTW3" s="179"/>
      <c r="UTX3" s="179"/>
      <c r="UTY3" s="179"/>
      <c r="UTZ3" s="179"/>
      <c r="UUA3" s="179"/>
      <c r="UUB3" s="179"/>
      <c r="UUC3" s="179"/>
      <c r="UUD3" s="179"/>
      <c r="UUE3" s="179"/>
      <c r="UUF3" s="179"/>
      <c r="UUG3" s="179"/>
      <c r="UUH3" s="179"/>
      <c r="UUI3" s="179"/>
      <c r="UUJ3" s="179"/>
      <c r="UUK3" s="179"/>
      <c r="UUL3" s="179"/>
      <c r="UUM3" s="179"/>
      <c r="UUN3" s="179"/>
      <c r="UUO3" s="179"/>
      <c r="UUP3" s="179"/>
      <c r="UUQ3" s="179"/>
      <c r="UUR3" s="179"/>
      <c r="UUS3" s="179"/>
      <c r="UUT3" s="179"/>
      <c r="UUU3" s="179"/>
      <c r="UUV3" s="179"/>
      <c r="UUW3" s="179"/>
      <c r="UUX3" s="179"/>
      <c r="UUY3" s="179"/>
      <c r="UUZ3" s="179"/>
      <c r="UVA3" s="179"/>
      <c r="UVB3" s="179"/>
      <c r="UVC3" s="179"/>
      <c r="UVD3" s="179"/>
      <c r="UVE3" s="179"/>
      <c r="UVF3" s="179"/>
      <c r="UVG3" s="179"/>
      <c r="UVH3" s="179"/>
      <c r="UVI3" s="179"/>
      <c r="UVJ3" s="179"/>
      <c r="UVK3" s="179"/>
      <c r="UVL3" s="179"/>
      <c r="UVM3" s="179"/>
      <c r="UVN3" s="179"/>
      <c r="UVO3" s="179"/>
      <c r="UVP3" s="179"/>
      <c r="UVQ3" s="179"/>
      <c r="UVR3" s="179"/>
      <c r="UVS3" s="179"/>
      <c r="UVT3" s="179"/>
      <c r="UVU3" s="179"/>
      <c r="UVV3" s="179"/>
      <c r="UVW3" s="179"/>
      <c r="UVX3" s="179"/>
      <c r="UVY3" s="179"/>
      <c r="UVZ3" s="179"/>
      <c r="UWA3" s="179"/>
      <c r="UWB3" s="179"/>
      <c r="UWC3" s="179"/>
      <c r="UWD3" s="179"/>
      <c r="UWE3" s="179"/>
      <c r="UWF3" s="179"/>
      <c r="UWG3" s="179"/>
      <c r="UWH3" s="179"/>
      <c r="UWI3" s="179"/>
      <c r="UWJ3" s="179"/>
      <c r="UWK3" s="179"/>
      <c r="UWL3" s="179"/>
      <c r="UWM3" s="179"/>
      <c r="UWN3" s="179"/>
      <c r="UWO3" s="179"/>
      <c r="UWP3" s="179"/>
      <c r="UWQ3" s="179"/>
      <c r="UWR3" s="179"/>
      <c r="UWS3" s="179"/>
      <c r="UWT3" s="179"/>
      <c r="UWU3" s="179"/>
      <c r="UWV3" s="179"/>
      <c r="UWW3" s="179"/>
      <c r="UWX3" s="179"/>
      <c r="UWY3" s="179"/>
      <c r="UWZ3" s="179"/>
      <c r="UXA3" s="179"/>
      <c r="UXB3" s="179"/>
      <c r="UXC3" s="179"/>
      <c r="UXD3" s="179"/>
      <c r="UXE3" s="179"/>
      <c r="UXF3" s="179"/>
      <c r="UXG3" s="179"/>
      <c r="UXH3" s="179"/>
      <c r="UXI3" s="179"/>
      <c r="UXJ3" s="179"/>
      <c r="UXK3" s="179"/>
      <c r="UXL3" s="179"/>
      <c r="UXM3" s="179"/>
      <c r="UXN3" s="179"/>
      <c r="UXO3" s="179"/>
      <c r="UXP3" s="179"/>
      <c r="UXQ3" s="179"/>
      <c r="UXR3" s="179"/>
      <c r="UXS3" s="179"/>
      <c r="UXT3" s="179"/>
      <c r="UXU3" s="179"/>
      <c r="UXV3" s="179"/>
      <c r="UXW3" s="179"/>
      <c r="UXX3" s="179"/>
      <c r="UXY3" s="179"/>
      <c r="UXZ3" s="179"/>
      <c r="UYA3" s="179"/>
      <c r="UYB3" s="179"/>
      <c r="UYC3" s="179"/>
      <c r="UYD3" s="179"/>
      <c r="UYE3" s="179"/>
      <c r="UYF3" s="179"/>
      <c r="UYG3" s="179"/>
      <c r="UYH3" s="179"/>
      <c r="UYI3" s="179"/>
      <c r="UYJ3" s="179"/>
      <c r="UYK3" s="179"/>
      <c r="UYL3" s="179"/>
      <c r="UYM3" s="179"/>
      <c r="UYN3" s="179"/>
      <c r="UYO3" s="179"/>
      <c r="UYP3" s="179"/>
      <c r="UYQ3" s="179"/>
      <c r="UYR3" s="179"/>
      <c r="UYS3" s="179"/>
      <c r="UYT3" s="179"/>
      <c r="UYU3" s="179"/>
      <c r="UYV3" s="179"/>
      <c r="UYW3" s="179"/>
      <c r="UYX3" s="179"/>
      <c r="UYY3" s="179"/>
      <c r="UYZ3" s="179"/>
      <c r="UZA3" s="179"/>
      <c r="UZB3" s="179"/>
      <c r="UZC3" s="179"/>
      <c r="UZD3" s="179"/>
      <c r="UZE3" s="179"/>
      <c r="UZF3" s="179"/>
      <c r="UZG3" s="179"/>
      <c r="UZH3" s="179"/>
      <c r="UZI3" s="179"/>
      <c r="UZJ3" s="179"/>
      <c r="UZK3" s="179"/>
      <c r="UZL3" s="179"/>
      <c r="UZM3" s="179"/>
      <c r="UZN3" s="179"/>
      <c r="UZO3" s="179"/>
      <c r="UZP3" s="179"/>
      <c r="UZQ3" s="179"/>
      <c r="UZR3" s="179"/>
      <c r="UZS3" s="179"/>
      <c r="UZT3" s="179"/>
      <c r="UZU3" s="179"/>
      <c r="UZV3" s="179"/>
      <c r="UZW3" s="179"/>
      <c r="UZX3" s="179"/>
      <c r="UZY3" s="179"/>
      <c r="UZZ3" s="179"/>
      <c r="VAA3" s="179"/>
      <c r="VAB3" s="179"/>
      <c r="VAC3" s="179"/>
      <c r="VAD3" s="179"/>
      <c r="VAE3" s="179"/>
      <c r="VAF3" s="179"/>
      <c r="VAG3" s="179"/>
      <c r="VAH3" s="179"/>
      <c r="VAI3" s="179"/>
      <c r="VAJ3" s="179"/>
      <c r="VAK3" s="179"/>
      <c r="VAL3" s="179"/>
      <c r="VAM3" s="179"/>
      <c r="VAN3" s="179"/>
      <c r="VAO3" s="179"/>
      <c r="VAP3" s="179"/>
      <c r="VAQ3" s="179"/>
      <c r="VAR3" s="179"/>
      <c r="VAS3" s="179"/>
      <c r="VAT3" s="179"/>
      <c r="VAU3" s="179"/>
      <c r="VAV3" s="179"/>
      <c r="VAW3" s="179"/>
      <c r="VAX3" s="179"/>
      <c r="VAY3" s="179"/>
      <c r="VAZ3" s="179"/>
      <c r="VBA3" s="179"/>
      <c r="VBB3" s="179"/>
      <c r="VBC3" s="179"/>
      <c r="VBD3" s="179"/>
      <c r="VBE3" s="179"/>
      <c r="VBF3" s="179"/>
      <c r="VBG3" s="179"/>
      <c r="VBH3" s="179"/>
      <c r="VBI3" s="179"/>
      <c r="VBJ3" s="179"/>
      <c r="VBK3" s="179"/>
      <c r="VBL3" s="179"/>
      <c r="VBM3" s="179"/>
      <c r="VBN3" s="179"/>
      <c r="VBO3" s="179"/>
      <c r="VBP3" s="179"/>
      <c r="VBQ3" s="179"/>
      <c r="VBR3" s="179"/>
      <c r="VBS3" s="179"/>
      <c r="VBT3" s="179"/>
      <c r="VBU3" s="179"/>
      <c r="VBV3" s="179"/>
      <c r="VBW3" s="179"/>
      <c r="VBX3" s="179"/>
      <c r="VBY3" s="179"/>
      <c r="VBZ3" s="179"/>
      <c r="VCA3" s="179"/>
      <c r="VCB3" s="179"/>
      <c r="VCC3" s="179"/>
      <c r="VCD3" s="179"/>
      <c r="VCE3" s="179"/>
      <c r="VCF3" s="179"/>
      <c r="VCG3" s="179"/>
      <c r="VCH3" s="179"/>
      <c r="VCI3" s="179"/>
      <c r="VCJ3" s="179"/>
      <c r="VCK3" s="179"/>
      <c r="VCL3" s="179"/>
      <c r="VCM3" s="179"/>
      <c r="VCN3" s="179"/>
      <c r="VCO3" s="179"/>
      <c r="VCP3" s="179"/>
      <c r="VCQ3" s="179"/>
      <c r="VCR3" s="179"/>
      <c r="VCS3" s="179"/>
      <c r="VCT3" s="179"/>
      <c r="VCU3" s="179"/>
      <c r="VCV3" s="179"/>
      <c r="VCW3" s="179"/>
      <c r="VCX3" s="179"/>
      <c r="VCY3" s="179"/>
      <c r="VCZ3" s="179"/>
      <c r="VDA3" s="179"/>
      <c r="VDB3" s="179"/>
      <c r="VDC3" s="179"/>
      <c r="VDD3" s="179"/>
      <c r="VDE3" s="179"/>
      <c r="VDF3" s="179"/>
      <c r="VDG3" s="179"/>
      <c r="VDH3" s="179"/>
      <c r="VDI3" s="179"/>
      <c r="VDJ3" s="179"/>
      <c r="VDK3" s="179"/>
      <c r="VDL3" s="179"/>
      <c r="VDM3" s="179"/>
      <c r="VDN3" s="179"/>
      <c r="VDO3" s="179"/>
      <c r="VDP3" s="179"/>
      <c r="VDQ3" s="179"/>
      <c r="VDR3" s="179"/>
      <c r="VDS3" s="179"/>
      <c r="VDT3" s="179"/>
      <c r="VDU3" s="179"/>
      <c r="VDV3" s="179"/>
      <c r="VDW3" s="179"/>
      <c r="VDX3" s="179"/>
      <c r="VDY3" s="179"/>
      <c r="VDZ3" s="179"/>
      <c r="VEA3" s="179"/>
      <c r="VEB3" s="179"/>
      <c r="VEC3" s="179"/>
      <c r="VED3" s="179"/>
      <c r="VEE3" s="179"/>
      <c r="VEF3" s="179"/>
      <c r="VEG3" s="179"/>
      <c r="VEH3" s="179"/>
      <c r="VEI3" s="179"/>
      <c r="VEJ3" s="179"/>
      <c r="VEK3" s="179"/>
      <c r="VEL3" s="179"/>
      <c r="VEM3" s="179"/>
      <c r="VEN3" s="179"/>
      <c r="VEO3" s="179"/>
      <c r="VEP3" s="179"/>
      <c r="VEQ3" s="179"/>
      <c r="VER3" s="179"/>
      <c r="VES3" s="179"/>
      <c r="VET3" s="179"/>
      <c r="VEU3" s="179"/>
      <c r="VEV3" s="179"/>
      <c r="VEW3" s="179"/>
      <c r="VEX3" s="179"/>
      <c r="VEY3" s="179"/>
      <c r="VEZ3" s="179"/>
      <c r="VFA3" s="179"/>
      <c r="VFB3" s="179"/>
      <c r="VFC3" s="179"/>
      <c r="VFD3" s="179"/>
      <c r="VFE3" s="179"/>
      <c r="VFF3" s="179"/>
      <c r="VFG3" s="179"/>
      <c r="VFH3" s="179"/>
      <c r="VFI3" s="179"/>
      <c r="VFJ3" s="179"/>
      <c r="VFK3" s="179"/>
      <c r="VFL3" s="179"/>
      <c r="VFM3" s="179"/>
      <c r="VFN3" s="179"/>
      <c r="VFO3" s="179"/>
      <c r="VFP3" s="179"/>
      <c r="VFQ3" s="179"/>
      <c r="VFR3" s="179"/>
      <c r="VFS3" s="179"/>
      <c r="VFT3" s="179"/>
      <c r="VFU3" s="179"/>
      <c r="VFV3" s="179"/>
      <c r="VFW3" s="179"/>
      <c r="VFX3" s="179"/>
      <c r="VFY3" s="179"/>
      <c r="VFZ3" s="179"/>
      <c r="VGA3" s="179"/>
      <c r="VGB3" s="179"/>
      <c r="VGC3" s="179"/>
      <c r="VGD3" s="179"/>
      <c r="VGE3" s="179"/>
      <c r="VGF3" s="179"/>
      <c r="VGG3" s="179"/>
      <c r="VGH3" s="179"/>
      <c r="VGI3" s="179"/>
      <c r="VGJ3" s="179"/>
      <c r="VGK3" s="179"/>
      <c r="VGL3" s="179"/>
      <c r="VGM3" s="179"/>
      <c r="VGN3" s="179"/>
      <c r="VGO3" s="179"/>
      <c r="VGP3" s="179"/>
      <c r="VGQ3" s="179"/>
      <c r="VGR3" s="179"/>
      <c r="VGS3" s="179"/>
      <c r="VGT3" s="179"/>
      <c r="VGU3" s="179"/>
      <c r="VGV3" s="179"/>
      <c r="VGW3" s="179"/>
      <c r="VGX3" s="179"/>
      <c r="VGY3" s="179"/>
      <c r="VGZ3" s="179"/>
      <c r="VHA3" s="179"/>
      <c r="VHB3" s="179"/>
      <c r="VHC3" s="179"/>
      <c r="VHD3" s="179"/>
      <c r="VHE3" s="179"/>
      <c r="VHF3" s="179"/>
      <c r="VHG3" s="179"/>
      <c r="VHH3" s="179"/>
      <c r="VHI3" s="179"/>
      <c r="VHJ3" s="179"/>
      <c r="VHK3" s="179"/>
      <c r="VHL3" s="179"/>
      <c r="VHM3" s="179"/>
      <c r="VHN3" s="179"/>
      <c r="VHO3" s="179"/>
      <c r="VHP3" s="179"/>
      <c r="VHQ3" s="179"/>
      <c r="VHR3" s="179"/>
      <c r="VHS3" s="179"/>
      <c r="VHT3" s="179"/>
      <c r="VHU3" s="179"/>
      <c r="VHV3" s="179"/>
      <c r="VHW3" s="179"/>
      <c r="VHX3" s="179"/>
      <c r="VHY3" s="179"/>
      <c r="VHZ3" s="179"/>
      <c r="VIA3" s="179"/>
      <c r="VIB3" s="179"/>
      <c r="VIC3" s="179"/>
      <c r="VID3" s="179"/>
      <c r="VIE3" s="179"/>
      <c r="VIF3" s="179"/>
      <c r="VIG3" s="179"/>
      <c r="VIH3" s="179"/>
      <c r="VII3" s="179"/>
      <c r="VIJ3" s="179"/>
      <c r="VIK3" s="179"/>
      <c r="VIL3" s="179"/>
      <c r="VIM3" s="179"/>
      <c r="VIN3" s="179"/>
      <c r="VIO3" s="179"/>
      <c r="VIP3" s="179"/>
      <c r="VIQ3" s="179"/>
      <c r="VIR3" s="179"/>
      <c r="VIS3" s="179"/>
      <c r="VIT3" s="179"/>
      <c r="VIU3" s="179"/>
      <c r="VIV3" s="179"/>
      <c r="VIW3" s="179"/>
      <c r="VIX3" s="179"/>
      <c r="VIY3" s="179"/>
      <c r="VIZ3" s="179"/>
      <c r="VJA3" s="179"/>
      <c r="VJB3" s="179"/>
      <c r="VJC3" s="179"/>
      <c r="VJD3" s="179"/>
      <c r="VJE3" s="179"/>
      <c r="VJF3" s="179"/>
      <c r="VJG3" s="179"/>
      <c r="VJH3" s="179"/>
      <c r="VJI3" s="179"/>
      <c r="VJJ3" s="179"/>
      <c r="VJK3" s="179"/>
      <c r="VJL3" s="179"/>
      <c r="VJM3" s="179"/>
      <c r="VJN3" s="179"/>
      <c r="VJO3" s="179"/>
      <c r="VJP3" s="179"/>
      <c r="VJQ3" s="179"/>
      <c r="VJR3" s="179"/>
      <c r="VJS3" s="179"/>
      <c r="VJT3" s="179"/>
      <c r="VJU3" s="179"/>
      <c r="VJV3" s="179"/>
      <c r="VJW3" s="179"/>
      <c r="VJX3" s="179"/>
      <c r="VJY3" s="179"/>
      <c r="VJZ3" s="179"/>
      <c r="VKA3" s="179"/>
      <c r="VKB3" s="179"/>
      <c r="VKC3" s="179"/>
      <c r="VKD3" s="179"/>
      <c r="VKE3" s="179"/>
      <c r="VKF3" s="179"/>
      <c r="VKG3" s="179"/>
      <c r="VKH3" s="179"/>
      <c r="VKI3" s="179"/>
      <c r="VKJ3" s="179"/>
      <c r="VKK3" s="179"/>
      <c r="VKL3" s="179"/>
      <c r="VKM3" s="179"/>
      <c r="VKN3" s="179"/>
      <c r="VKO3" s="179"/>
      <c r="VKP3" s="179"/>
      <c r="VKQ3" s="179"/>
      <c r="VKR3" s="179"/>
      <c r="VKS3" s="179"/>
      <c r="VKT3" s="179"/>
      <c r="VKU3" s="179"/>
      <c r="VKV3" s="179"/>
      <c r="VKW3" s="179"/>
      <c r="VKX3" s="179"/>
      <c r="VKY3" s="179"/>
      <c r="VKZ3" s="179"/>
      <c r="VLA3" s="179"/>
      <c r="VLB3" s="179"/>
      <c r="VLC3" s="179"/>
      <c r="VLD3" s="179"/>
      <c r="VLE3" s="179"/>
      <c r="VLF3" s="179"/>
      <c r="VLG3" s="179"/>
      <c r="VLH3" s="179"/>
      <c r="VLI3" s="179"/>
      <c r="VLJ3" s="179"/>
      <c r="VLK3" s="179"/>
      <c r="VLL3" s="179"/>
      <c r="VLM3" s="179"/>
      <c r="VLN3" s="179"/>
      <c r="VLO3" s="179"/>
      <c r="VLP3" s="179"/>
      <c r="VLQ3" s="179"/>
      <c r="VLR3" s="179"/>
      <c r="VLS3" s="179"/>
      <c r="VLT3" s="179"/>
      <c r="VLU3" s="179"/>
      <c r="VLV3" s="179"/>
      <c r="VLW3" s="179"/>
      <c r="VLX3" s="179"/>
      <c r="VLY3" s="179"/>
      <c r="VLZ3" s="179"/>
      <c r="VMA3" s="179"/>
      <c r="VMB3" s="179"/>
      <c r="VMC3" s="179"/>
      <c r="VMD3" s="179"/>
      <c r="VME3" s="179"/>
      <c r="VMF3" s="179"/>
      <c r="VMG3" s="179"/>
      <c r="VMH3" s="179"/>
      <c r="VMI3" s="179"/>
      <c r="VMJ3" s="179"/>
      <c r="VMK3" s="179"/>
      <c r="VML3" s="179"/>
      <c r="VMM3" s="179"/>
      <c r="VMN3" s="179"/>
      <c r="VMO3" s="179"/>
      <c r="VMP3" s="179"/>
      <c r="VMQ3" s="179"/>
      <c r="VMR3" s="179"/>
      <c r="VMS3" s="179"/>
      <c r="VMT3" s="179"/>
      <c r="VMU3" s="179"/>
      <c r="VMV3" s="179"/>
      <c r="VMW3" s="179"/>
      <c r="VMX3" s="179"/>
      <c r="VMY3" s="179"/>
      <c r="VMZ3" s="179"/>
      <c r="VNA3" s="179"/>
      <c r="VNB3" s="179"/>
      <c r="VNC3" s="179"/>
      <c r="VND3" s="179"/>
      <c r="VNE3" s="179"/>
      <c r="VNF3" s="179"/>
      <c r="VNG3" s="179"/>
      <c r="VNH3" s="179"/>
      <c r="VNI3" s="179"/>
      <c r="VNJ3" s="179"/>
      <c r="VNK3" s="179"/>
      <c r="VNL3" s="179"/>
      <c r="VNM3" s="179"/>
      <c r="VNN3" s="179"/>
      <c r="VNO3" s="179"/>
      <c r="VNP3" s="179"/>
      <c r="VNQ3" s="179"/>
      <c r="VNR3" s="179"/>
      <c r="VNS3" s="179"/>
      <c r="VNT3" s="179"/>
      <c r="VNU3" s="179"/>
      <c r="VNV3" s="179"/>
      <c r="VNW3" s="179"/>
      <c r="VNX3" s="179"/>
      <c r="VNY3" s="179"/>
      <c r="VNZ3" s="179"/>
      <c r="VOA3" s="179"/>
      <c r="VOB3" s="179"/>
      <c r="VOC3" s="179"/>
      <c r="VOD3" s="179"/>
      <c r="VOE3" s="179"/>
      <c r="VOF3" s="179"/>
      <c r="VOG3" s="179"/>
      <c r="VOH3" s="179"/>
      <c r="VOI3" s="179"/>
      <c r="VOJ3" s="179"/>
      <c r="VOK3" s="179"/>
      <c r="VOL3" s="179"/>
      <c r="VOM3" s="179"/>
      <c r="VON3" s="179"/>
      <c r="VOO3" s="179"/>
      <c r="VOP3" s="179"/>
      <c r="VOQ3" s="179"/>
      <c r="VOR3" s="179"/>
      <c r="VOS3" s="179"/>
      <c r="VOT3" s="179"/>
      <c r="VOU3" s="179"/>
      <c r="VOV3" s="179"/>
      <c r="VOW3" s="179"/>
      <c r="VOX3" s="179"/>
      <c r="VOY3" s="179"/>
      <c r="VOZ3" s="179"/>
      <c r="VPA3" s="179"/>
      <c r="VPB3" s="179"/>
      <c r="VPC3" s="179"/>
      <c r="VPD3" s="179"/>
      <c r="VPE3" s="179"/>
      <c r="VPF3" s="179"/>
      <c r="VPG3" s="179"/>
      <c r="VPH3" s="179"/>
      <c r="VPI3" s="179"/>
      <c r="VPJ3" s="179"/>
      <c r="VPK3" s="179"/>
      <c r="VPL3" s="179"/>
      <c r="VPM3" s="179"/>
      <c r="VPN3" s="179"/>
      <c r="VPO3" s="179"/>
      <c r="VPP3" s="179"/>
      <c r="VPQ3" s="179"/>
      <c r="VPR3" s="179"/>
      <c r="VPS3" s="179"/>
      <c r="VPT3" s="179"/>
      <c r="VPU3" s="179"/>
      <c r="VPV3" s="179"/>
      <c r="VPW3" s="179"/>
      <c r="VPX3" s="179"/>
      <c r="VPY3" s="179"/>
      <c r="VPZ3" s="179"/>
      <c r="VQA3" s="179"/>
      <c r="VQB3" s="179"/>
      <c r="VQC3" s="179"/>
      <c r="VQD3" s="179"/>
      <c r="VQE3" s="179"/>
      <c r="VQF3" s="179"/>
      <c r="VQG3" s="179"/>
      <c r="VQH3" s="179"/>
      <c r="VQI3" s="179"/>
      <c r="VQJ3" s="179"/>
      <c r="VQK3" s="179"/>
      <c r="VQL3" s="179"/>
      <c r="VQM3" s="179"/>
      <c r="VQN3" s="179"/>
      <c r="VQO3" s="179"/>
      <c r="VQP3" s="179"/>
      <c r="VQQ3" s="179"/>
      <c r="VQR3" s="179"/>
      <c r="VQS3" s="179"/>
      <c r="VQT3" s="179"/>
      <c r="VQU3" s="179"/>
      <c r="VQV3" s="179"/>
      <c r="VQW3" s="179"/>
      <c r="VQX3" s="179"/>
      <c r="VQY3" s="179"/>
      <c r="VQZ3" s="179"/>
      <c r="VRA3" s="179"/>
      <c r="VRB3" s="179"/>
      <c r="VRC3" s="179"/>
      <c r="VRD3" s="179"/>
      <c r="VRE3" s="179"/>
      <c r="VRF3" s="179"/>
      <c r="VRG3" s="179"/>
      <c r="VRH3" s="179"/>
      <c r="VRI3" s="179"/>
      <c r="VRJ3" s="179"/>
      <c r="VRK3" s="179"/>
      <c r="VRL3" s="179"/>
      <c r="VRM3" s="179"/>
      <c r="VRN3" s="179"/>
      <c r="VRO3" s="179"/>
      <c r="VRP3" s="179"/>
      <c r="VRQ3" s="179"/>
      <c r="VRR3" s="179"/>
      <c r="VRS3" s="179"/>
      <c r="VRT3" s="179"/>
      <c r="VRU3" s="179"/>
      <c r="VRV3" s="179"/>
      <c r="VRW3" s="179"/>
      <c r="VRX3" s="179"/>
      <c r="VRY3" s="179"/>
      <c r="VRZ3" s="179"/>
      <c r="VSA3" s="179"/>
      <c r="VSB3" s="179"/>
      <c r="VSC3" s="179"/>
      <c r="VSD3" s="179"/>
      <c r="VSE3" s="179"/>
      <c r="VSF3" s="179"/>
      <c r="VSG3" s="179"/>
      <c r="VSH3" s="179"/>
      <c r="VSI3" s="179"/>
      <c r="VSJ3" s="179"/>
      <c r="VSK3" s="179"/>
      <c r="VSL3" s="179"/>
      <c r="VSM3" s="179"/>
      <c r="VSN3" s="179"/>
      <c r="VSO3" s="179"/>
      <c r="VSP3" s="179"/>
      <c r="VSQ3" s="179"/>
      <c r="VSR3" s="179"/>
      <c r="VSS3" s="179"/>
      <c r="VST3" s="179"/>
      <c r="VSU3" s="179"/>
      <c r="VSV3" s="179"/>
      <c r="VSW3" s="179"/>
      <c r="VSX3" s="179"/>
      <c r="VSY3" s="179"/>
      <c r="VSZ3" s="179"/>
      <c r="VTA3" s="179"/>
      <c r="VTB3" s="179"/>
      <c r="VTC3" s="179"/>
      <c r="VTD3" s="179"/>
      <c r="VTE3" s="179"/>
      <c r="VTF3" s="179"/>
      <c r="VTG3" s="179"/>
      <c r="VTH3" s="179"/>
      <c r="VTI3" s="179"/>
      <c r="VTJ3" s="179"/>
      <c r="VTK3" s="179"/>
      <c r="VTL3" s="179"/>
      <c r="VTM3" s="179"/>
      <c r="VTN3" s="179"/>
      <c r="VTO3" s="179"/>
      <c r="VTP3" s="179"/>
      <c r="VTQ3" s="179"/>
      <c r="VTR3" s="179"/>
      <c r="VTS3" s="179"/>
      <c r="VTT3" s="179"/>
      <c r="VTU3" s="179"/>
      <c r="VTV3" s="179"/>
      <c r="VTW3" s="179"/>
      <c r="VTX3" s="179"/>
      <c r="VTY3" s="179"/>
      <c r="VTZ3" s="179"/>
      <c r="VUA3" s="179"/>
      <c r="VUB3" s="179"/>
      <c r="VUC3" s="179"/>
      <c r="VUD3" s="179"/>
      <c r="VUE3" s="179"/>
      <c r="VUF3" s="179"/>
      <c r="VUG3" s="179"/>
      <c r="VUH3" s="179"/>
      <c r="VUI3" s="179"/>
      <c r="VUJ3" s="179"/>
      <c r="VUK3" s="179"/>
      <c r="VUL3" s="179"/>
      <c r="VUM3" s="179"/>
      <c r="VUN3" s="179"/>
      <c r="VUO3" s="179"/>
      <c r="VUP3" s="179"/>
      <c r="VUQ3" s="179"/>
      <c r="VUR3" s="179"/>
      <c r="VUS3" s="179"/>
      <c r="VUT3" s="179"/>
      <c r="VUU3" s="179"/>
      <c r="VUV3" s="179"/>
      <c r="VUW3" s="179"/>
      <c r="VUX3" s="179"/>
      <c r="VUY3" s="179"/>
      <c r="VUZ3" s="179"/>
      <c r="VVA3" s="179"/>
      <c r="VVB3" s="179"/>
      <c r="VVC3" s="179"/>
      <c r="VVD3" s="179"/>
      <c r="VVE3" s="179"/>
      <c r="VVF3" s="179"/>
      <c r="VVG3" s="179"/>
      <c r="VVH3" s="179"/>
      <c r="VVI3" s="179"/>
      <c r="VVJ3" s="179"/>
      <c r="VVK3" s="179"/>
      <c r="VVL3" s="179"/>
      <c r="VVM3" s="179"/>
      <c r="VVN3" s="179"/>
      <c r="VVO3" s="179"/>
      <c r="VVP3" s="179"/>
      <c r="VVQ3" s="179"/>
      <c r="VVR3" s="179"/>
      <c r="VVS3" s="179"/>
      <c r="VVT3" s="179"/>
      <c r="VVU3" s="179"/>
      <c r="VVV3" s="179"/>
      <c r="VVW3" s="179"/>
      <c r="VVX3" s="179"/>
      <c r="VVY3" s="179"/>
      <c r="VVZ3" s="179"/>
      <c r="VWA3" s="179"/>
      <c r="VWB3" s="179"/>
      <c r="VWC3" s="179"/>
      <c r="VWD3" s="179"/>
      <c r="VWE3" s="179"/>
      <c r="VWF3" s="179"/>
      <c r="VWG3" s="179"/>
      <c r="VWH3" s="179"/>
      <c r="VWI3" s="179"/>
      <c r="VWJ3" s="179"/>
      <c r="VWK3" s="179"/>
      <c r="VWL3" s="179"/>
      <c r="VWM3" s="179"/>
      <c r="VWN3" s="179"/>
      <c r="VWO3" s="179"/>
      <c r="VWP3" s="179"/>
      <c r="VWQ3" s="179"/>
      <c r="VWR3" s="179"/>
      <c r="VWS3" s="179"/>
      <c r="VWT3" s="179"/>
      <c r="VWU3" s="179"/>
      <c r="VWV3" s="179"/>
      <c r="VWW3" s="179"/>
      <c r="VWX3" s="179"/>
      <c r="VWY3" s="179"/>
      <c r="VWZ3" s="179"/>
      <c r="VXA3" s="179"/>
      <c r="VXB3" s="179"/>
      <c r="VXC3" s="179"/>
      <c r="VXD3" s="179"/>
      <c r="VXE3" s="179"/>
      <c r="VXF3" s="179"/>
      <c r="VXG3" s="179"/>
      <c r="VXH3" s="179"/>
      <c r="VXI3" s="179"/>
      <c r="VXJ3" s="179"/>
      <c r="VXK3" s="179"/>
      <c r="VXL3" s="179"/>
      <c r="VXM3" s="179"/>
      <c r="VXN3" s="179"/>
      <c r="VXO3" s="179"/>
      <c r="VXP3" s="179"/>
      <c r="VXQ3" s="179"/>
      <c r="VXR3" s="179"/>
      <c r="VXS3" s="179"/>
      <c r="VXT3" s="179"/>
      <c r="VXU3" s="179"/>
      <c r="VXV3" s="179"/>
      <c r="VXW3" s="179"/>
      <c r="VXX3" s="179"/>
      <c r="VXY3" s="179"/>
      <c r="VXZ3" s="179"/>
      <c r="VYA3" s="179"/>
      <c r="VYB3" s="179"/>
      <c r="VYC3" s="179"/>
      <c r="VYD3" s="179"/>
      <c r="VYE3" s="179"/>
      <c r="VYF3" s="179"/>
      <c r="VYG3" s="179"/>
      <c r="VYH3" s="179"/>
      <c r="VYI3" s="179"/>
      <c r="VYJ3" s="179"/>
      <c r="VYK3" s="179"/>
      <c r="VYL3" s="179"/>
      <c r="VYM3" s="179"/>
      <c r="VYN3" s="179"/>
      <c r="VYO3" s="179"/>
      <c r="VYP3" s="179"/>
      <c r="VYQ3" s="179"/>
      <c r="VYR3" s="179"/>
      <c r="VYS3" s="179"/>
      <c r="VYT3" s="179"/>
      <c r="VYU3" s="179"/>
      <c r="VYV3" s="179"/>
      <c r="VYW3" s="179"/>
      <c r="VYX3" s="179"/>
      <c r="VYY3" s="179"/>
      <c r="VYZ3" s="179"/>
      <c r="VZA3" s="179"/>
      <c r="VZB3" s="179"/>
      <c r="VZC3" s="179"/>
      <c r="VZD3" s="179"/>
      <c r="VZE3" s="179"/>
      <c r="VZF3" s="179"/>
      <c r="VZG3" s="179"/>
      <c r="VZH3" s="179"/>
      <c r="VZI3" s="179"/>
      <c r="VZJ3" s="179"/>
      <c r="VZK3" s="179"/>
      <c r="VZL3" s="179"/>
      <c r="VZM3" s="179"/>
      <c r="VZN3" s="179"/>
      <c r="VZO3" s="179"/>
      <c r="VZP3" s="179"/>
      <c r="VZQ3" s="179"/>
      <c r="VZR3" s="179"/>
      <c r="VZS3" s="179"/>
      <c r="VZT3" s="179"/>
      <c r="VZU3" s="179"/>
      <c r="VZV3" s="179"/>
      <c r="VZW3" s="179"/>
      <c r="VZX3" s="179"/>
      <c r="VZY3" s="179"/>
      <c r="VZZ3" s="179"/>
      <c r="WAA3" s="179"/>
      <c r="WAB3" s="179"/>
      <c r="WAC3" s="179"/>
      <c r="WAD3" s="179"/>
      <c r="WAE3" s="179"/>
      <c r="WAF3" s="179"/>
      <c r="WAG3" s="179"/>
      <c r="WAH3" s="179"/>
      <c r="WAI3" s="179"/>
      <c r="WAJ3" s="179"/>
      <c r="WAK3" s="179"/>
      <c r="WAL3" s="179"/>
      <c r="WAM3" s="179"/>
      <c r="WAN3" s="179"/>
      <c r="WAO3" s="179"/>
      <c r="WAP3" s="179"/>
      <c r="WAQ3" s="179"/>
      <c r="WAR3" s="179"/>
      <c r="WAS3" s="179"/>
      <c r="WAT3" s="179"/>
      <c r="WAU3" s="179"/>
      <c r="WAV3" s="179"/>
      <c r="WAW3" s="179"/>
      <c r="WAX3" s="179"/>
      <c r="WAY3" s="179"/>
      <c r="WAZ3" s="179"/>
      <c r="WBA3" s="179"/>
      <c r="WBB3" s="179"/>
      <c r="WBC3" s="179"/>
      <c r="WBD3" s="179"/>
      <c r="WBE3" s="179"/>
      <c r="WBF3" s="179"/>
      <c r="WBG3" s="179"/>
      <c r="WBH3" s="179"/>
      <c r="WBI3" s="179"/>
      <c r="WBJ3" s="179"/>
      <c r="WBK3" s="179"/>
      <c r="WBL3" s="179"/>
      <c r="WBM3" s="179"/>
      <c r="WBN3" s="179"/>
      <c r="WBO3" s="179"/>
      <c r="WBP3" s="179"/>
      <c r="WBQ3" s="179"/>
      <c r="WBR3" s="179"/>
      <c r="WBS3" s="179"/>
      <c r="WBT3" s="179"/>
      <c r="WBU3" s="179"/>
      <c r="WBV3" s="179"/>
      <c r="WBW3" s="179"/>
      <c r="WBX3" s="179"/>
      <c r="WBY3" s="179"/>
      <c r="WBZ3" s="179"/>
      <c r="WCA3" s="179"/>
      <c r="WCB3" s="179"/>
      <c r="WCC3" s="179"/>
      <c r="WCD3" s="179"/>
      <c r="WCE3" s="179"/>
      <c r="WCF3" s="179"/>
      <c r="WCG3" s="179"/>
      <c r="WCH3" s="179"/>
      <c r="WCI3" s="179"/>
      <c r="WCJ3" s="179"/>
      <c r="WCK3" s="179"/>
      <c r="WCL3" s="179"/>
      <c r="WCM3" s="179"/>
      <c r="WCN3" s="179"/>
      <c r="WCO3" s="179"/>
      <c r="WCP3" s="179"/>
      <c r="WCQ3" s="179"/>
      <c r="WCR3" s="179"/>
      <c r="WCS3" s="179"/>
      <c r="WCT3" s="179"/>
      <c r="WCU3" s="179"/>
      <c r="WCV3" s="179"/>
      <c r="WCW3" s="179"/>
      <c r="WCX3" s="179"/>
      <c r="WCY3" s="179"/>
      <c r="WCZ3" s="179"/>
      <c r="WDA3" s="179"/>
      <c r="WDB3" s="179"/>
      <c r="WDC3" s="179"/>
      <c r="WDD3" s="179"/>
      <c r="WDE3" s="179"/>
      <c r="WDF3" s="179"/>
      <c r="WDG3" s="179"/>
      <c r="WDH3" s="179"/>
      <c r="WDI3" s="179"/>
      <c r="WDJ3" s="179"/>
      <c r="WDK3" s="179"/>
      <c r="WDL3" s="179"/>
      <c r="WDM3" s="179"/>
      <c r="WDN3" s="179"/>
      <c r="WDO3" s="179"/>
      <c r="WDP3" s="179"/>
      <c r="WDQ3" s="179"/>
      <c r="WDR3" s="179"/>
      <c r="WDS3" s="179"/>
      <c r="WDT3" s="179"/>
      <c r="WDU3" s="179"/>
      <c r="WDV3" s="179"/>
      <c r="WDW3" s="179"/>
      <c r="WDX3" s="179"/>
      <c r="WDY3" s="179"/>
      <c r="WDZ3" s="179"/>
      <c r="WEA3" s="179"/>
      <c r="WEB3" s="179"/>
      <c r="WEC3" s="179"/>
      <c r="WED3" s="179"/>
      <c r="WEE3" s="179"/>
      <c r="WEF3" s="179"/>
      <c r="WEG3" s="179"/>
      <c r="WEH3" s="179"/>
      <c r="WEI3" s="179"/>
      <c r="WEJ3" s="179"/>
      <c r="WEK3" s="179"/>
      <c r="WEL3" s="179"/>
      <c r="WEM3" s="179"/>
      <c r="WEN3" s="179"/>
      <c r="WEO3" s="179"/>
      <c r="WEP3" s="179"/>
      <c r="WEQ3" s="179"/>
      <c r="WER3" s="179"/>
      <c r="WES3" s="179"/>
      <c r="WET3" s="179"/>
      <c r="WEU3" s="179"/>
      <c r="WEV3" s="179"/>
      <c r="WEW3" s="179"/>
      <c r="WEX3" s="179"/>
      <c r="WEY3" s="179"/>
      <c r="WEZ3" s="179"/>
      <c r="WFA3" s="179"/>
      <c r="WFB3" s="179"/>
      <c r="WFC3" s="179"/>
      <c r="WFD3" s="179"/>
      <c r="WFE3" s="179"/>
      <c r="WFF3" s="179"/>
      <c r="WFG3" s="179"/>
      <c r="WFH3" s="179"/>
      <c r="WFI3" s="179"/>
      <c r="WFJ3" s="179"/>
      <c r="WFK3" s="179"/>
      <c r="WFL3" s="179"/>
      <c r="WFM3" s="179"/>
      <c r="WFN3" s="179"/>
      <c r="WFO3" s="179"/>
      <c r="WFP3" s="179"/>
      <c r="WFQ3" s="179"/>
      <c r="WFR3" s="179"/>
      <c r="WFS3" s="179"/>
      <c r="WFT3" s="179"/>
      <c r="WFU3" s="179"/>
      <c r="WFV3" s="179"/>
      <c r="WFW3" s="179"/>
      <c r="WFX3" s="179"/>
      <c r="WFY3" s="179"/>
      <c r="WFZ3" s="179"/>
      <c r="WGA3" s="179"/>
      <c r="WGB3" s="179"/>
      <c r="WGC3" s="179"/>
      <c r="WGD3" s="179"/>
      <c r="WGE3" s="179"/>
      <c r="WGF3" s="179"/>
      <c r="WGG3" s="179"/>
      <c r="WGH3" s="179"/>
      <c r="WGI3" s="179"/>
      <c r="WGJ3" s="179"/>
      <c r="WGK3" s="179"/>
      <c r="WGL3" s="179"/>
      <c r="WGM3" s="179"/>
      <c r="WGN3" s="179"/>
      <c r="WGO3" s="179"/>
      <c r="WGP3" s="179"/>
      <c r="WGQ3" s="179"/>
      <c r="WGR3" s="179"/>
      <c r="WGS3" s="179"/>
      <c r="WGT3" s="179"/>
      <c r="WGU3" s="179"/>
      <c r="WGV3" s="179"/>
      <c r="WGW3" s="179"/>
      <c r="WGX3" s="179"/>
      <c r="WGY3" s="179"/>
      <c r="WGZ3" s="179"/>
      <c r="WHA3" s="179"/>
      <c r="WHB3" s="179"/>
      <c r="WHC3" s="179"/>
      <c r="WHD3" s="179"/>
      <c r="WHE3" s="179"/>
      <c r="WHF3" s="179"/>
      <c r="WHG3" s="179"/>
      <c r="WHH3" s="179"/>
      <c r="WHI3" s="179"/>
      <c r="WHJ3" s="179"/>
      <c r="WHK3" s="179"/>
      <c r="WHL3" s="179"/>
      <c r="WHM3" s="179"/>
      <c r="WHN3" s="179"/>
      <c r="WHO3" s="179"/>
      <c r="WHP3" s="179"/>
      <c r="WHQ3" s="179"/>
      <c r="WHR3" s="179"/>
      <c r="WHS3" s="179"/>
      <c r="WHT3" s="179"/>
      <c r="WHU3" s="179"/>
      <c r="WHV3" s="179"/>
      <c r="WHW3" s="179"/>
      <c r="WHX3" s="179"/>
      <c r="WHY3" s="179"/>
      <c r="WHZ3" s="179"/>
      <c r="WIA3" s="179"/>
      <c r="WIB3" s="179"/>
      <c r="WIC3" s="179"/>
      <c r="WID3" s="179"/>
      <c r="WIE3" s="179"/>
      <c r="WIF3" s="179"/>
      <c r="WIG3" s="179"/>
      <c r="WIH3" s="179"/>
      <c r="WII3" s="179"/>
      <c r="WIJ3" s="179"/>
      <c r="WIK3" s="179"/>
      <c r="WIL3" s="179"/>
      <c r="WIM3" s="179"/>
      <c r="WIN3" s="179"/>
      <c r="WIO3" s="179"/>
      <c r="WIP3" s="179"/>
      <c r="WIQ3" s="179"/>
      <c r="WIR3" s="179"/>
      <c r="WIS3" s="179"/>
      <c r="WIT3" s="179"/>
      <c r="WIU3" s="179"/>
      <c r="WIV3" s="179"/>
      <c r="WIW3" s="179"/>
      <c r="WIX3" s="179"/>
      <c r="WIY3" s="179"/>
      <c r="WIZ3" s="179"/>
      <c r="WJA3" s="179"/>
      <c r="WJB3" s="179"/>
      <c r="WJC3" s="179"/>
      <c r="WJD3" s="179"/>
      <c r="WJE3" s="179"/>
      <c r="WJF3" s="179"/>
      <c r="WJG3" s="179"/>
      <c r="WJH3" s="179"/>
      <c r="WJI3" s="179"/>
      <c r="WJJ3" s="179"/>
      <c r="WJK3" s="179"/>
      <c r="WJL3" s="179"/>
      <c r="WJM3" s="179"/>
      <c r="WJN3" s="179"/>
      <c r="WJO3" s="179"/>
      <c r="WJP3" s="179"/>
      <c r="WJQ3" s="179"/>
      <c r="WJR3" s="179"/>
      <c r="WJS3" s="179"/>
      <c r="WJT3" s="179"/>
      <c r="WJU3" s="179"/>
      <c r="WJV3" s="179"/>
      <c r="WJW3" s="179"/>
      <c r="WJX3" s="179"/>
      <c r="WJY3" s="179"/>
      <c r="WJZ3" s="179"/>
      <c r="WKA3" s="179"/>
      <c r="WKB3" s="179"/>
      <c r="WKC3" s="179"/>
      <c r="WKD3" s="179"/>
      <c r="WKE3" s="179"/>
      <c r="WKF3" s="179"/>
      <c r="WKG3" s="179"/>
      <c r="WKH3" s="179"/>
      <c r="WKI3" s="179"/>
      <c r="WKJ3" s="179"/>
      <c r="WKK3" s="179"/>
      <c r="WKL3" s="179"/>
      <c r="WKM3" s="179"/>
      <c r="WKN3" s="179"/>
      <c r="WKO3" s="179"/>
      <c r="WKP3" s="179"/>
      <c r="WKQ3" s="179"/>
      <c r="WKR3" s="179"/>
      <c r="WKS3" s="179"/>
      <c r="WKT3" s="179"/>
      <c r="WKU3" s="179"/>
      <c r="WKV3" s="179"/>
      <c r="WKW3" s="179"/>
      <c r="WKX3" s="179"/>
      <c r="WKY3" s="179"/>
      <c r="WKZ3" s="179"/>
      <c r="WLA3" s="179"/>
      <c r="WLB3" s="179"/>
      <c r="WLC3" s="179"/>
      <c r="WLD3" s="179"/>
      <c r="WLE3" s="179"/>
      <c r="WLF3" s="179"/>
      <c r="WLG3" s="179"/>
      <c r="WLH3" s="179"/>
      <c r="WLI3" s="179"/>
      <c r="WLJ3" s="179"/>
      <c r="WLK3" s="179"/>
      <c r="WLL3" s="179"/>
      <c r="WLM3" s="179"/>
      <c r="WLN3" s="179"/>
      <c r="WLO3" s="179"/>
      <c r="WLP3" s="179"/>
      <c r="WLQ3" s="179"/>
      <c r="WLR3" s="179"/>
      <c r="WLS3" s="179"/>
      <c r="WLT3" s="179"/>
      <c r="WLU3" s="179"/>
      <c r="WLV3" s="179"/>
      <c r="WLW3" s="179"/>
      <c r="WLX3" s="179"/>
      <c r="WLY3" s="179"/>
      <c r="WLZ3" s="179"/>
      <c r="WMA3" s="179"/>
      <c r="WMB3" s="179"/>
      <c r="WMC3" s="179"/>
      <c r="WMD3" s="179"/>
      <c r="WME3" s="179"/>
      <c r="WMF3" s="179"/>
      <c r="WMG3" s="179"/>
      <c r="WMH3" s="179"/>
      <c r="WMI3" s="179"/>
      <c r="WMJ3" s="179"/>
      <c r="WMK3" s="179"/>
      <c r="WML3" s="179"/>
      <c r="WMM3" s="179"/>
      <c r="WMN3" s="179"/>
      <c r="WMO3" s="179"/>
      <c r="WMP3" s="179"/>
      <c r="WMQ3" s="179"/>
      <c r="WMR3" s="179"/>
      <c r="WMS3" s="179"/>
      <c r="WMT3" s="179"/>
      <c r="WMU3" s="179"/>
      <c r="WMV3" s="179"/>
      <c r="WMW3" s="179"/>
      <c r="WMX3" s="179"/>
      <c r="WMY3" s="179"/>
      <c r="WMZ3" s="179"/>
      <c r="WNA3" s="179"/>
      <c r="WNB3" s="179"/>
      <c r="WNC3" s="179"/>
      <c r="WND3" s="179"/>
      <c r="WNE3" s="179"/>
      <c r="WNF3" s="179"/>
      <c r="WNG3" s="179"/>
      <c r="WNH3" s="179"/>
      <c r="WNI3" s="179"/>
      <c r="WNJ3" s="179"/>
      <c r="WNK3" s="179"/>
      <c r="WNL3" s="179"/>
      <c r="WNM3" s="179"/>
      <c r="WNN3" s="179"/>
      <c r="WNO3" s="179"/>
      <c r="WNP3" s="179"/>
      <c r="WNQ3" s="179"/>
      <c r="WNR3" s="179"/>
      <c r="WNS3" s="179"/>
      <c r="WNT3" s="179"/>
      <c r="WNU3" s="179"/>
      <c r="WNV3" s="179"/>
      <c r="WNW3" s="179"/>
      <c r="WNX3" s="179"/>
      <c r="WNY3" s="179"/>
      <c r="WNZ3" s="179"/>
      <c r="WOA3" s="179"/>
      <c r="WOB3" s="179"/>
      <c r="WOC3" s="179"/>
      <c r="WOD3" s="179"/>
      <c r="WOE3" s="179"/>
      <c r="WOF3" s="179"/>
      <c r="WOG3" s="179"/>
      <c r="WOH3" s="179"/>
      <c r="WOI3" s="179"/>
      <c r="WOJ3" s="179"/>
      <c r="WOK3" s="179"/>
      <c r="WOL3" s="179"/>
      <c r="WOM3" s="179"/>
      <c r="WON3" s="179"/>
      <c r="WOO3" s="179"/>
      <c r="WOP3" s="179"/>
      <c r="WOQ3" s="179"/>
      <c r="WOR3" s="179"/>
      <c r="WOS3" s="179"/>
      <c r="WOT3" s="179"/>
      <c r="WOU3" s="179"/>
      <c r="WOV3" s="179"/>
      <c r="WOW3" s="179"/>
      <c r="WOX3" s="179"/>
      <c r="WOY3" s="179"/>
      <c r="WOZ3" s="179"/>
      <c r="WPA3" s="179"/>
      <c r="WPB3" s="179"/>
      <c r="WPC3" s="179"/>
      <c r="WPD3" s="179"/>
      <c r="WPE3" s="179"/>
      <c r="WPF3" s="179"/>
      <c r="WPG3" s="179"/>
      <c r="WPH3" s="179"/>
      <c r="WPI3" s="179"/>
      <c r="WPJ3" s="179"/>
      <c r="WPK3" s="179"/>
      <c r="WPL3" s="179"/>
      <c r="WPM3" s="179"/>
      <c r="WPN3" s="179"/>
      <c r="WPO3" s="179"/>
      <c r="WPP3" s="179"/>
      <c r="WPQ3" s="179"/>
      <c r="WPR3" s="179"/>
      <c r="WPS3" s="179"/>
      <c r="WPT3" s="179"/>
      <c r="WPU3" s="179"/>
      <c r="WPV3" s="179"/>
      <c r="WPW3" s="179"/>
      <c r="WPX3" s="179"/>
      <c r="WPY3" s="179"/>
      <c r="WPZ3" s="179"/>
      <c r="WQA3" s="179"/>
      <c r="WQB3" s="179"/>
      <c r="WQC3" s="179"/>
      <c r="WQD3" s="179"/>
      <c r="WQE3" s="179"/>
      <c r="WQF3" s="179"/>
      <c r="WQG3" s="179"/>
      <c r="WQH3" s="179"/>
      <c r="WQI3" s="179"/>
      <c r="WQJ3" s="179"/>
      <c r="WQK3" s="179"/>
      <c r="WQL3" s="179"/>
      <c r="WQM3" s="179"/>
      <c r="WQN3" s="179"/>
      <c r="WQO3" s="179"/>
      <c r="WQP3" s="179"/>
      <c r="WQQ3" s="179"/>
      <c r="WQR3" s="179"/>
      <c r="WQS3" s="179"/>
      <c r="WQT3" s="179"/>
      <c r="WQU3" s="179"/>
      <c r="WQV3" s="179"/>
      <c r="WQW3" s="179"/>
      <c r="WQX3" s="179"/>
      <c r="WQY3" s="179"/>
      <c r="WQZ3" s="179"/>
      <c r="WRA3" s="179"/>
      <c r="WRB3" s="179"/>
      <c r="WRC3" s="179"/>
      <c r="WRD3" s="179"/>
      <c r="WRE3" s="179"/>
      <c r="WRF3" s="179"/>
      <c r="WRG3" s="179"/>
      <c r="WRH3" s="179"/>
      <c r="WRI3" s="179"/>
      <c r="WRJ3" s="179"/>
      <c r="WRK3" s="179"/>
      <c r="WRL3" s="179"/>
      <c r="WRM3" s="179"/>
      <c r="WRN3" s="179"/>
      <c r="WRO3" s="179"/>
      <c r="WRP3" s="179"/>
      <c r="WRQ3" s="179"/>
      <c r="WRR3" s="179"/>
      <c r="WRS3" s="179"/>
      <c r="WRT3" s="179"/>
      <c r="WRU3" s="179"/>
      <c r="WRV3" s="179"/>
      <c r="WRW3" s="179"/>
      <c r="WRX3" s="179"/>
      <c r="WRY3" s="179"/>
      <c r="WRZ3" s="179"/>
      <c r="WSA3" s="179"/>
      <c r="WSB3" s="179"/>
      <c r="WSC3" s="179"/>
      <c r="WSD3" s="179"/>
      <c r="WSE3" s="179"/>
      <c r="WSF3" s="179"/>
      <c r="WSG3" s="179"/>
      <c r="WSH3" s="179"/>
      <c r="WSI3" s="179"/>
      <c r="WSJ3" s="179"/>
      <c r="WSK3" s="179"/>
      <c r="WSL3" s="179"/>
      <c r="WSM3" s="179"/>
      <c r="WSN3" s="179"/>
      <c r="WSO3" s="179"/>
      <c r="WSP3" s="179"/>
      <c r="WSQ3" s="179"/>
      <c r="WSR3" s="179"/>
      <c r="WSS3" s="179"/>
      <c r="WST3" s="179"/>
      <c r="WSU3" s="179"/>
      <c r="WSV3" s="179"/>
      <c r="WSW3" s="179"/>
      <c r="WSX3" s="179"/>
      <c r="WSY3" s="179"/>
      <c r="WSZ3" s="179"/>
      <c r="WTA3" s="179"/>
      <c r="WTB3" s="179"/>
      <c r="WTC3" s="179"/>
      <c r="WTD3" s="179"/>
      <c r="WTE3" s="179"/>
      <c r="WTF3" s="179"/>
      <c r="WTG3" s="179"/>
      <c r="WTH3" s="179"/>
      <c r="WTI3" s="179"/>
      <c r="WTJ3" s="179"/>
      <c r="WTK3" s="179"/>
      <c r="WTL3" s="179"/>
      <c r="WTM3" s="179"/>
      <c r="WTN3" s="179"/>
      <c r="WTO3" s="179"/>
      <c r="WTP3" s="179"/>
      <c r="WTQ3" s="179"/>
      <c r="WTR3" s="179"/>
      <c r="WTS3" s="179"/>
      <c r="WTT3" s="179"/>
      <c r="WTU3" s="179"/>
      <c r="WTV3" s="179"/>
      <c r="WTW3" s="179"/>
      <c r="WTX3" s="179"/>
      <c r="WTY3" s="179"/>
      <c r="WTZ3" s="179"/>
      <c r="WUA3" s="179"/>
      <c r="WUB3" s="179"/>
      <c r="WUC3" s="179"/>
      <c r="WUD3" s="179"/>
      <c r="WUE3" s="179"/>
      <c r="WUF3" s="179"/>
      <c r="WUG3" s="179"/>
      <c r="WUH3" s="179"/>
      <c r="WUI3" s="179"/>
      <c r="WUJ3" s="179"/>
      <c r="WUK3" s="179"/>
      <c r="WUL3" s="179"/>
      <c r="WUM3" s="179"/>
      <c r="WUN3" s="179"/>
      <c r="WUO3" s="179"/>
      <c r="WUP3" s="179"/>
      <c r="WUQ3" s="179"/>
      <c r="WUR3" s="179"/>
      <c r="WUS3" s="179"/>
      <c r="WUT3" s="179"/>
      <c r="WUU3" s="179"/>
      <c r="WUV3" s="179"/>
      <c r="WUW3" s="179"/>
      <c r="WUX3" s="179"/>
      <c r="WUY3" s="179"/>
      <c r="WUZ3" s="179"/>
      <c r="WVA3" s="179"/>
      <c r="WVB3" s="179"/>
      <c r="WVC3" s="179"/>
      <c r="WVD3" s="179"/>
      <c r="WVE3" s="179"/>
      <c r="WVF3" s="179"/>
      <c r="WVG3" s="179"/>
      <c r="WVH3" s="179"/>
      <c r="WVI3" s="179"/>
      <c r="WVJ3" s="179"/>
      <c r="WVK3" s="179"/>
      <c r="WVL3" s="179"/>
      <c r="WVM3" s="179"/>
      <c r="WVN3" s="179"/>
      <c r="WVO3" s="179"/>
      <c r="WVP3" s="179"/>
      <c r="WVQ3" s="179"/>
      <c r="WVR3" s="179"/>
      <c r="WVS3" s="179"/>
      <c r="WVT3" s="179"/>
      <c r="WVU3" s="179"/>
      <c r="WVV3" s="179"/>
      <c r="WVW3" s="179"/>
      <c r="WVX3" s="179"/>
      <c r="WVY3" s="179"/>
      <c r="WVZ3" s="179"/>
      <c r="WWA3" s="179"/>
      <c r="WWB3" s="179"/>
      <c r="WWC3" s="179"/>
      <c r="WWD3" s="179"/>
      <c r="WWE3" s="179"/>
      <c r="WWF3" s="179"/>
      <c r="WWG3" s="179"/>
      <c r="WWH3" s="179"/>
      <c r="WWI3" s="179"/>
      <c r="WWJ3" s="179"/>
      <c r="WWK3" s="179"/>
      <c r="WWL3" s="179"/>
      <c r="WWM3" s="179"/>
      <c r="WWN3" s="179"/>
      <c r="WWO3" s="179"/>
      <c r="WWP3" s="179"/>
      <c r="WWQ3" s="179"/>
      <c r="WWR3" s="179"/>
      <c r="WWS3" s="179"/>
      <c r="WWT3" s="179"/>
      <c r="WWU3" s="179"/>
      <c r="WWV3" s="179"/>
      <c r="WWW3" s="179"/>
      <c r="WWX3" s="179"/>
      <c r="WWY3" s="179"/>
      <c r="WWZ3" s="179"/>
      <c r="WXA3" s="179"/>
      <c r="WXB3" s="179"/>
      <c r="WXC3" s="179"/>
      <c r="WXD3" s="179"/>
      <c r="WXE3" s="179"/>
      <c r="WXF3" s="179"/>
      <c r="WXG3" s="179"/>
      <c r="WXH3" s="179"/>
      <c r="WXI3" s="179"/>
      <c r="WXJ3" s="179"/>
      <c r="WXK3" s="179"/>
      <c r="WXL3" s="179"/>
      <c r="WXM3" s="179"/>
      <c r="WXN3" s="179"/>
      <c r="WXO3" s="179"/>
      <c r="WXP3" s="179"/>
      <c r="WXQ3" s="179"/>
      <c r="WXR3" s="179"/>
      <c r="WXS3" s="179"/>
      <c r="WXT3" s="179"/>
      <c r="WXU3" s="179"/>
      <c r="WXV3" s="179"/>
      <c r="WXW3" s="179"/>
      <c r="WXX3" s="179"/>
      <c r="WXY3" s="179"/>
      <c r="WXZ3" s="179"/>
      <c r="WYA3" s="179"/>
      <c r="WYB3" s="179"/>
      <c r="WYC3" s="179"/>
      <c r="WYD3" s="179"/>
      <c r="WYE3" s="179"/>
      <c r="WYF3" s="179"/>
      <c r="WYG3" s="179"/>
      <c r="WYH3" s="179"/>
      <c r="WYI3" s="179"/>
      <c r="WYJ3" s="179"/>
      <c r="WYK3" s="179"/>
      <c r="WYL3" s="179"/>
      <c r="WYM3" s="179"/>
      <c r="WYN3" s="179"/>
      <c r="WYO3" s="179"/>
      <c r="WYP3" s="179"/>
      <c r="WYQ3" s="179"/>
      <c r="WYR3" s="179"/>
      <c r="WYS3" s="179"/>
      <c r="WYT3" s="179"/>
      <c r="WYU3" s="179"/>
      <c r="WYV3" s="179"/>
      <c r="WYW3" s="179"/>
      <c r="WYX3" s="179"/>
      <c r="WYY3" s="179"/>
      <c r="WYZ3" s="179"/>
      <c r="WZA3" s="179"/>
      <c r="WZB3" s="179"/>
      <c r="WZC3" s="179"/>
      <c r="WZD3" s="179"/>
      <c r="WZE3" s="179"/>
      <c r="WZF3" s="179"/>
      <c r="WZG3" s="179"/>
      <c r="WZH3" s="179"/>
      <c r="WZI3" s="179"/>
      <c r="WZJ3" s="179"/>
      <c r="WZK3" s="179"/>
      <c r="WZL3" s="179"/>
      <c r="WZM3" s="179"/>
      <c r="WZN3" s="179"/>
      <c r="WZO3" s="179"/>
      <c r="WZP3" s="179"/>
      <c r="WZQ3" s="179"/>
      <c r="WZR3" s="179"/>
      <c r="WZS3" s="179"/>
      <c r="WZT3" s="179"/>
      <c r="WZU3" s="179"/>
      <c r="WZV3" s="179"/>
      <c r="WZW3" s="179"/>
      <c r="WZX3" s="179"/>
      <c r="WZY3" s="179"/>
      <c r="WZZ3" s="179"/>
      <c r="XAA3" s="179"/>
      <c r="XAB3" s="179"/>
      <c r="XAC3" s="179"/>
      <c r="XAD3" s="179"/>
      <c r="XAE3" s="179"/>
      <c r="XAF3" s="179"/>
      <c r="XAG3" s="179"/>
      <c r="XAH3" s="179"/>
      <c r="XAI3" s="179"/>
      <c r="XAJ3" s="179"/>
      <c r="XAK3" s="179"/>
      <c r="XAL3" s="179"/>
      <c r="XAM3" s="179"/>
      <c r="XAN3" s="179"/>
      <c r="XAO3" s="179"/>
      <c r="XAP3" s="179"/>
      <c r="XAQ3" s="179"/>
      <c r="XAR3" s="179"/>
      <c r="XAS3" s="179"/>
      <c r="XAT3" s="179"/>
      <c r="XAU3" s="179"/>
      <c r="XAV3" s="179"/>
      <c r="XAW3" s="179"/>
      <c r="XAX3" s="179"/>
      <c r="XAY3" s="179"/>
      <c r="XAZ3" s="179"/>
      <c r="XBA3" s="179"/>
      <c r="XBB3" s="179"/>
      <c r="XBC3" s="179"/>
      <c r="XBD3" s="179"/>
      <c r="XBE3" s="179"/>
      <c r="XBF3" s="179"/>
      <c r="XBG3" s="179"/>
      <c r="XBH3" s="179"/>
      <c r="XBI3" s="179"/>
      <c r="XBJ3" s="179"/>
      <c r="XBK3" s="179"/>
      <c r="XBL3" s="179"/>
      <c r="XBM3" s="179"/>
      <c r="XBN3" s="179"/>
      <c r="XBO3" s="179"/>
      <c r="XBP3" s="179"/>
      <c r="XBQ3" s="179"/>
      <c r="XBR3" s="179"/>
      <c r="XBS3" s="179"/>
      <c r="XBT3" s="179"/>
      <c r="XBU3" s="179"/>
      <c r="XBV3" s="179"/>
      <c r="XBW3" s="179"/>
      <c r="XBX3" s="179"/>
      <c r="XBY3" s="179"/>
      <c r="XBZ3" s="179"/>
      <c r="XCA3" s="179"/>
      <c r="XCB3" s="179"/>
      <c r="XCC3" s="179"/>
      <c r="XCD3" s="179"/>
      <c r="XCE3" s="179"/>
      <c r="XCF3" s="179"/>
      <c r="XCG3" s="179"/>
      <c r="XCH3" s="179"/>
      <c r="XCI3" s="179"/>
      <c r="XCJ3" s="179"/>
      <c r="XCK3" s="179"/>
      <c r="XCL3" s="179"/>
      <c r="XCM3" s="179"/>
      <c r="XCN3" s="179"/>
      <c r="XCO3" s="179"/>
      <c r="XCP3" s="179"/>
      <c r="XCQ3" s="179"/>
      <c r="XCR3" s="179"/>
      <c r="XCS3" s="179"/>
      <c r="XCT3" s="179"/>
      <c r="XCU3" s="179"/>
      <c r="XCV3" s="179"/>
      <c r="XCW3" s="179"/>
      <c r="XCX3" s="179"/>
      <c r="XCY3" s="179"/>
      <c r="XCZ3" s="179"/>
      <c r="XDA3" s="179"/>
      <c r="XDB3" s="179"/>
      <c r="XDC3" s="179"/>
      <c r="XDD3" s="179"/>
      <c r="XDE3" s="179"/>
      <c r="XDF3" s="179"/>
      <c r="XDG3" s="179"/>
      <c r="XDH3" s="179"/>
      <c r="XDI3" s="179"/>
      <c r="XDJ3" s="179"/>
      <c r="XDK3" s="179"/>
      <c r="XDL3" s="179"/>
      <c r="XDM3" s="179"/>
      <c r="XDN3" s="179"/>
      <c r="XDO3" s="179"/>
      <c r="XDP3" s="179"/>
      <c r="XDQ3" s="179"/>
      <c r="XDR3" s="179"/>
      <c r="XDS3" s="179"/>
      <c r="XDT3" s="179"/>
      <c r="XDU3" s="179"/>
      <c r="XDV3" s="179"/>
      <c r="XDW3" s="179"/>
      <c r="XDX3" s="179"/>
      <c r="XDY3" s="179"/>
      <c r="XDZ3" s="179"/>
      <c r="XEA3" s="179"/>
      <c r="XEB3" s="179"/>
      <c r="XEC3" s="179"/>
      <c r="XED3" s="179"/>
      <c r="XEE3" s="179"/>
      <c r="XEF3" s="179"/>
      <c r="XEG3" s="179"/>
      <c r="XEH3" s="179"/>
      <c r="XEI3" s="179"/>
      <c r="XEJ3" s="179"/>
      <c r="XEK3" s="179"/>
      <c r="XEL3" s="179"/>
      <c r="XEM3" s="179"/>
      <c r="XEN3" s="179"/>
      <c r="XEO3" s="179"/>
      <c r="XEP3" s="179"/>
      <c r="XEQ3" s="179"/>
      <c r="XER3" s="179"/>
      <c r="XES3" s="179"/>
      <c r="XET3" s="179"/>
    </row>
    <row r="4" spans="1:16374" x14ac:dyDescent="0.25">
      <c r="A4" s="230">
        <v>43585.254108796296</v>
      </c>
      <c r="B4">
        <v>893</v>
      </c>
      <c r="C4" s="231">
        <v>983346714</v>
      </c>
      <c r="D4" t="s">
        <v>238</v>
      </c>
      <c r="E4">
        <v>1000</v>
      </c>
      <c r="L4" s="227"/>
      <c r="M4" s="227"/>
      <c r="N4" s="227"/>
      <c r="O4" s="227"/>
      <c r="P4" s="227"/>
      <c r="Q4" s="228"/>
      <c r="R4" s="227"/>
      <c r="S4" s="227"/>
      <c r="T4" s="227"/>
    </row>
    <row r="5" spans="1:16374" x14ac:dyDescent="0.25">
      <c r="A5" s="230">
        <v>43585.254907407405</v>
      </c>
      <c r="B5">
        <v>894</v>
      </c>
      <c r="C5" s="231">
        <v>983347015</v>
      </c>
      <c r="D5" t="s">
        <v>238</v>
      </c>
      <c r="E5">
        <v>1000</v>
      </c>
      <c r="L5" s="227"/>
      <c r="M5" s="227"/>
      <c r="N5" s="227"/>
      <c r="O5" s="227"/>
      <c r="P5" s="227"/>
      <c r="Q5" s="228"/>
      <c r="R5" s="227"/>
      <c r="S5" s="227"/>
      <c r="T5" s="227"/>
    </row>
    <row r="6" spans="1:16374" x14ac:dyDescent="0.25">
      <c r="A6" s="230">
        <v>43585.30978009259</v>
      </c>
      <c r="B6">
        <v>896</v>
      </c>
      <c r="C6" s="231">
        <v>983385541</v>
      </c>
      <c r="D6" t="s">
        <v>240</v>
      </c>
      <c r="E6">
        <v>20000</v>
      </c>
      <c r="L6" s="227"/>
      <c r="M6" s="227"/>
      <c r="N6" s="227"/>
      <c r="O6" s="227"/>
      <c r="P6" s="227"/>
      <c r="Q6" s="228"/>
      <c r="R6" s="227"/>
      <c r="S6" s="227"/>
      <c r="T6" s="227"/>
    </row>
    <row r="7" spans="1:16374" x14ac:dyDescent="0.25">
      <c r="A7" s="230">
        <v>43585.310763888891</v>
      </c>
      <c r="B7">
        <v>898</v>
      </c>
      <c r="C7" s="231">
        <v>983387124</v>
      </c>
      <c r="D7" t="s">
        <v>241</v>
      </c>
      <c r="E7">
        <v>10000</v>
      </c>
      <c r="L7" s="227"/>
      <c r="M7" s="227"/>
      <c r="N7" s="227"/>
      <c r="O7" s="227"/>
      <c r="P7" s="227"/>
      <c r="Q7" s="228"/>
      <c r="R7" s="227"/>
      <c r="S7" s="227"/>
      <c r="T7" s="227"/>
    </row>
    <row r="8" spans="1:16374" x14ac:dyDescent="0.25">
      <c r="A8" s="230">
        <v>43585.311631944445</v>
      </c>
      <c r="B8">
        <v>899</v>
      </c>
      <c r="C8" s="231">
        <v>983388499</v>
      </c>
      <c r="D8" t="s">
        <v>241</v>
      </c>
      <c r="E8">
        <v>10000</v>
      </c>
      <c r="L8" s="227"/>
      <c r="M8" s="227"/>
      <c r="N8" s="227"/>
      <c r="O8" s="227"/>
      <c r="P8" s="227"/>
      <c r="Q8" s="228"/>
      <c r="R8" s="227"/>
      <c r="S8" s="227"/>
      <c r="T8" s="227"/>
    </row>
    <row r="9" spans="1:16374" x14ac:dyDescent="0.25">
      <c r="A9" s="230">
        <v>43585.312673611108</v>
      </c>
      <c r="B9">
        <v>901</v>
      </c>
      <c r="C9" s="231">
        <v>983390165</v>
      </c>
      <c r="D9" t="s">
        <v>242</v>
      </c>
      <c r="E9">
        <v>2000</v>
      </c>
      <c r="L9" s="227"/>
      <c r="M9" s="227"/>
      <c r="N9" s="227"/>
      <c r="O9" s="227"/>
      <c r="P9" s="227"/>
      <c r="Q9" s="228"/>
      <c r="R9" s="227"/>
      <c r="S9" s="227"/>
      <c r="T9" s="227"/>
    </row>
    <row r="10" spans="1:16374" x14ac:dyDescent="0.25">
      <c r="A10" s="230">
        <v>43585.318935185183</v>
      </c>
      <c r="B10">
        <v>903</v>
      </c>
      <c r="C10" s="231">
        <v>983400511</v>
      </c>
      <c r="D10" t="s">
        <v>243</v>
      </c>
      <c r="E10">
        <v>2000</v>
      </c>
      <c r="L10" s="227"/>
      <c r="M10" s="227"/>
      <c r="N10" s="227"/>
      <c r="O10" s="227"/>
      <c r="P10" s="227"/>
      <c r="Q10" s="228"/>
      <c r="R10" s="227"/>
      <c r="S10" s="227"/>
      <c r="T10" s="227"/>
    </row>
    <row r="11" spans="1:16374" x14ac:dyDescent="0.25">
      <c r="A11" s="230">
        <v>43585.319988425923</v>
      </c>
      <c r="B11">
        <v>905</v>
      </c>
      <c r="C11" s="231">
        <v>983402336</v>
      </c>
      <c r="D11" t="s">
        <v>188</v>
      </c>
      <c r="E11">
        <v>10000</v>
      </c>
      <c r="L11" s="227"/>
      <c r="M11" s="227"/>
      <c r="N11" s="227"/>
      <c r="O11" s="227"/>
      <c r="P11" s="227"/>
      <c r="Q11" s="228"/>
      <c r="R11" s="227"/>
      <c r="S11" s="227"/>
      <c r="T11" s="227"/>
    </row>
    <row r="12" spans="1:16374" x14ac:dyDescent="0.25">
      <c r="A12" s="230">
        <v>43585.322129629632</v>
      </c>
      <c r="B12">
        <v>907</v>
      </c>
      <c r="C12" s="231">
        <v>983406009</v>
      </c>
      <c r="D12" t="s">
        <v>244</v>
      </c>
      <c r="E12">
        <v>10000</v>
      </c>
      <c r="L12" s="227"/>
      <c r="M12" s="227"/>
      <c r="N12" s="227"/>
      <c r="O12" s="227"/>
      <c r="P12" s="227"/>
      <c r="Q12" s="228"/>
      <c r="R12" s="227"/>
      <c r="S12" s="227"/>
      <c r="T12" s="227"/>
    </row>
    <row r="13" spans="1:16374" x14ac:dyDescent="0.25">
      <c r="A13" s="230">
        <v>43585.323888888888</v>
      </c>
      <c r="B13">
        <v>910</v>
      </c>
      <c r="C13" s="231">
        <v>983409104</v>
      </c>
      <c r="D13" t="s">
        <v>245</v>
      </c>
      <c r="E13">
        <v>4000</v>
      </c>
      <c r="L13" s="227"/>
      <c r="M13" s="227"/>
      <c r="N13" s="227"/>
      <c r="O13" s="227"/>
      <c r="P13" s="227"/>
      <c r="Q13" s="228"/>
      <c r="R13" s="227"/>
      <c r="S13" s="227"/>
      <c r="T13" s="227"/>
    </row>
    <row r="14" spans="1:16374" x14ac:dyDescent="0.25">
      <c r="A14" s="230">
        <v>43585.327916666669</v>
      </c>
      <c r="B14">
        <v>914</v>
      </c>
      <c r="C14" s="231">
        <v>983416325</v>
      </c>
      <c r="D14" t="s">
        <v>246</v>
      </c>
      <c r="E14">
        <v>0</v>
      </c>
      <c r="L14" s="227"/>
      <c r="M14" s="227"/>
      <c r="N14" s="227"/>
      <c r="O14" s="227"/>
      <c r="P14" s="227"/>
      <c r="Q14" s="228"/>
      <c r="R14" s="227"/>
      <c r="S14" s="227"/>
      <c r="T14" s="227"/>
    </row>
    <row r="15" spans="1:16374" x14ac:dyDescent="0.25">
      <c r="A15" s="230">
        <v>43585.32880787037</v>
      </c>
      <c r="B15">
        <v>916</v>
      </c>
      <c r="C15" s="231">
        <v>983417920</v>
      </c>
      <c r="D15" t="s">
        <v>246</v>
      </c>
      <c r="E15">
        <v>0</v>
      </c>
      <c r="L15" s="227"/>
      <c r="M15" s="227"/>
      <c r="N15" s="227"/>
      <c r="O15" s="227"/>
      <c r="P15" s="227"/>
      <c r="Q15" s="228"/>
      <c r="R15" s="227"/>
      <c r="S15" s="227"/>
      <c r="T15" s="227"/>
    </row>
    <row r="16" spans="1:16374" x14ac:dyDescent="0.25">
      <c r="A16" s="230">
        <v>43585.332766203705</v>
      </c>
      <c r="B16">
        <v>919</v>
      </c>
      <c r="C16" s="231">
        <v>983425258</v>
      </c>
      <c r="D16" t="s">
        <v>248</v>
      </c>
      <c r="E16">
        <v>20000</v>
      </c>
      <c r="L16" s="227"/>
      <c r="M16" s="227"/>
      <c r="N16" s="227"/>
      <c r="O16" s="227"/>
      <c r="P16" s="227"/>
      <c r="Q16" s="228"/>
      <c r="R16" s="227"/>
      <c r="S16" s="227"/>
      <c r="T16" s="227"/>
    </row>
    <row r="17" spans="1:20" x14ac:dyDescent="0.25">
      <c r="A17" s="230">
        <v>43585.333553240744</v>
      </c>
      <c r="B17">
        <v>920</v>
      </c>
      <c r="C17" s="231">
        <v>983426722</v>
      </c>
      <c r="D17" t="s">
        <v>248</v>
      </c>
      <c r="E17">
        <v>10000</v>
      </c>
      <c r="L17" s="227"/>
      <c r="M17" s="227"/>
      <c r="N17" s="227"/>
      <c r="O17" s="227"/>
      <c r="P17" s="227"/>
      <c r="Q17" s="228"/>
      <c r="R17" s="227"/>
      <c r="S17" s="227"/>
      <c r="T17" s="227"/>
    </row>
    <row r="18" spans="1:20" x14ac:dyDescent="0.25">
      <c r="A18" s="230">
        <v>43585.334293981483</v>
      </c>
      <c r="B18">
        <v>921</v>
      </c>
      <c r="C18" s="231">
        <v>983428120</v>
      </c>
      <c r="D18" t="s">
        <v>248</v>
      </c>
      <c r="E18">
        <v>0</v>
      </c>
      <c r="L18" s="227"/>
      <c r="M18" s="227"/>
      <c r="N18" s="227"/>
      <c r="O18" s="227"/>
      <c r="P18" s="227"/>
      <c r="Q18" s="228"/>
      <c r="R18" s="227"/>
      <c r="S18" s="227"/>
      <c r="T18" s="227"/>
    </row>
    <row r="19" spans="1:20" x14ac:dyDescent="0.25">
      <c r="A19" s="230">
        <v>43585.335509259261</v>
      </c>
      <c r="B19">
        <v>923</v>
      </c>
      <c r="C19" s="231">
        <v>983430381</v>
      </c>
      <c r="D19" t="s">
        <v>248</v>
      </c>
      <c r="E19">
        <v>0</v>
      </c>
      <c r="L19" s="227"/>
      <c r="M19" s="227"/>
      <c r="N19" s="227"/>
      <c r="O19" s="227"/>
      <c r="P19" s="227"/>
      <c r="Q19" s="228"/>
      <c r="R19" s="227"/>
      <c r="S19" s="227"/>
      <c r="T19" s="227"/>
    </row>
    <row r="20" spans="1:20" x14ac:dyDescent="0.25">
      <c r="A20" s="230">
        <v>43585.341331018521</v>
      </c>
      <c r="B20">
        <v>926</v>
      </c>
      <c r="C20" s="231">
        <v>983441673</v>
      </c>
      <c r="D20" t="s">
        <v>249</v>
      </c>
      <c r="E20">
        <v>20000</v>
      </c>
      <c r="L20" s="227"/>
      <c r="M20" s="227"/>
      <c r="N20" s="227"/>
      <c r="O20" s="227"/>
      <c r="P20" s="227"/>
      <c r="Q20" s="228"/>
      <c r="R20" s="227"/>
      <c r="S20" s="227"/>
      <c r="T20" s="227"/>
    </row>
    <row r="21" spans="1:20" x14ac:dyDescent="0.25">
      <c r="A21" s="230">
        <v>43585.342141203706</v>
      </c>
      <c r="B21">
        <v>928</v>
      </c>
      <c r="C21" s="231">
        <v>983443276</v>
      </c>
      <c r="D21" t="s">
        <v>250</v>
      </c>
      <c r="E21">
        <v>20000</v>
      </c>
      <c r="L21" s="227"/>
      <c r="M21" s="227"/>
      <c r="N21" s="227"/>
      <c r="O21" s="227"/>
      <c r="P21" s="227"/>
      <c r="Q21" s="228"/>
      <c r="R21" s="227"/>
      <c r="S21" s="227"/>
      <c r="T21" s="227"/>
    </row>
    <row r="22" spans="1:20" x14ac:dyDescent="0.25">
      <c r="A22" s="230">
        <v>43585.342777777776</v>
      </c>
      <c r="B22">
        <v>929</v>
      </c>
      <c r="C22" s="231">
        <v>983444570</v>
      </c>
      <c r="D22" t="s">
        <v>250</v>
      </c>
      <c r="E22">
        <v>20000</v>
      </c>
      <c r="L22" s="227"/>
      <c r="M22" s="227"/>
      <c r="N22" s="227"/>
      <c r="O22" s="227"/>
      <c r="P22" s="227"/>
      <c r="Q22" s="228"/>
      <c r="R22" s="227"/>
      <c r="S22" s="227"/>
      <c r="T22" s="227"/>
    </row>
    <row r="23" spans="1:20" x14ac:dyDescent="0.25">
      <c r="A23" s="230">
        <v>43585.343414351853</v>
      </c>
      <c r="B23">
        <v>930</v>
      </c>
      <c r="C23" s="231">
        <v>983445830</v>
      </c>
      <c r="D23" t="s">
        <v>250</v>
      </c>
      <c r="E23">
        <v>5000</v>
      </c>
      <c r="L23" s="227"/>
      <c r="M23" s="227"/>
      <c r="N23" s="227"/>
      <c r="O23" s="227"/>
      <c r="P23" s="227"/>
      <c r="Q23" s="228"/>
      <c r="R23" s="227"/>
      <c r="S23" s="227"/>
      <c r="T23" s="227"/>
    </row>
    <row r="24" spans="1:20" x14ac:dyDescent="0.25">
      <c r="A24" s="230">
        <v>43585.344270833331</v>
      </c>
      <c r="B24">
        <v>932</v>
      </c>
      <c r="C24" s="231">
        <v>983447552</v>
      </c>
      <c r="D24" t="s">
        <v>251</v>
      </c>
      <c r="E24">
        <v>2000</v>
      </c>
      <c r="L24" s="227"/>
      <c r="M24" s="227"/>
      <c r="N24" s="227"/>
      <c r="O24" s="227"/>
      <c r="P24" s="227"/>
      <c r="Q24" s="228"/>
      <c r="R24" s="227"/>
      <c r="S24" s="227"/>
      <c r="T24" s="227"/>
    </row>
    <row r="25" spans="1:20" x14ac:dyDescent="0.25">
      <c r="A25" s="230">
        <v>43585.345196759263</v>
      </c>
      <c r="B25">
        <v>934</v>
      </c>
      <c r="C25" s="231">
        <v>983449467</v>
      </c>
      <c r="D25" t="s">
        <v>252</v>
      </c>
      <c r="E25">
        <v>500</v>
      </c>
      <c r="L25" s="227"/>
      <c r="M25" s="227"/>
      <c r="N25" s="227"/>
      <c r="O25" s="227"/>
      <c r="P25" s="227"/>
      <c r="Q25" s="228"/>
      <c r="R25" s="227"/>
      <c r="S25" s="227"/>
      <c r="T25" s="227"/>
    </row>
    <row r="26" spans="1:20" x14ac:dyDescent="0.25">
      <c r="A26" s="230">
        <v>43585.345949074072</v>
      </c>
      <c r="B26">
        <v>936</v>
      </c>
      <c r="C26" s="231">
        <v>983451011</v>
      </c>
      <c r="D26" t="s">
        <v>253</v>
      </c>
      <c r="E26">
        <v>1000</v>
      </c>
      <c r="L26" s="227"/>
      <c r="M26" s="227"/>
      <c r="N26" s="227"/>
      <c r="O26" s="227"/>
      <c r="P26" s="227"/>
      <c r="Q26" s="228"/>
      <c r="R26" s="227"/>
      <c r="S26" s="227"/>
      <c r="T26" s="227"/>
    </row>
    <row r="27" spans="1:20" x14ac:dyDescent="0.25">
      <c r="A27" s="230">
        <v>43585.347673611112</v>
      </c>
      <c r="B27">
        <v>938</v>
      </c>
      <c r="C27" s="231">
        <v>983454637</v>
      </c>
      <c r="D27" t="s">
        <v>254</v>
      </c>
      <c r="E27">
        <v>1500</v>
      </c>
      <c r="L27" s="227"/>
      <c r="M27" s="227"/>
      <c r="N27" s="227"/>
      <c r="O27" s="227"/>
      <c r="P27" s="227"/>
      <c r="Q27" s="228"/>
      <c r="R27" s="227"/>
      <c r="S27" s="227"/>
      <c r="T27" s="227"/>
    </row>
    <row r="28" spans="1:20" x14ac:dyDescent="0.25">
      <c r="A28" s="230">
        <v>43585.34983796296</v>
      </c>
      <c r="B28">
        <v>940</v>
      </c>
      <c r="C28" s="231">
        <v>983459178</v>
      </c>
      <c r="D28" t="s">
        <v>255</v>
      </c>
      <c r="E28">
        <v>1500</v>
      </c>
      <c r="L28" s="227"/>
      <c r="M28" s="227"/>
      <c r="N28" s="227"/>
      <c r="O28" s="227"/>
      <c r="P28" s="227"/>
      <c r="Q28" s="228"/>
      <c r="R28" s="227"/>
      <c r="S28" s="227"/>
      <c r="T28" s="227"/>
    </row>
    <row r="29" spans="1:20" x14ac:dyDescent="0.25">
      <c r="A29" s="230">
        <v>43585.359803240739</v>
      </c>
      <c r="B29">
        <v>942</v>
      </c>
      <c r="C29" s="231">
        <v>983481580</v>
      </c>
      <c r="D29" t="s">
        <v>256</v>
      </c>
      <c r="E29">
        <v>15000</v>
      </c>
      <c r="L29" s="227"/>
      <c r="M29" s="227"/>
      <c r="N29" s="227"/>
      <c r="O29" s="227"/>
      <c r="P29" s="227"/>
      <c r="Q29" s="228"/>
      <c r="R29" s="227"/>
      <c r="S29" s="227"/>
      <c r="T29" s="227"/>
    </row>
    <row r="30" spans="1:20" x14ac:dyDescent="0.25">
      <c r="A30" s="230">
        <v>43585.360995370371</v>
      </c>
      <c r="B30">
        <v>944</v>
      </c>
      <c r="C30" s="231">
        <v>983484451</v>
      </c>
      <c r="D30" t="s">
        <v>120</v>
      </c>
      <c r="E30">
        <v>2000</v>
      </c>
      <c r="L30" s="227"/>
      <c r="M30" s="227"/>
      <c r="N30" s="227"/>
      <c r="O30" s="227"/>
      <c r="P30" s="227"/>
      <c r="Q30" s="228"/>
      <c r="R30" s="227"/>
      <c r="S30" s="227"/>
      <c r="T30" s="227"/>
    </row>
    <row r="31" spans="1:20" x14ac:dyDescent="0.25">
      <c r="A31" s="230">
        <v>43585.361944444441</v>
      </c>
      <c r="B31">
        <v>946</v>
      </c>
      <c r="C31" s="231">
        <v>983486743</v>
      </c>
      <c r="D31" t="s">
        <v>257</v>
      </c>
      <c r="E31">
        <v>10000</v>
      </c>
      <c r="L31" s="227"/>
      <c r="M31" s="227"/>
      <c r="N31" s="227"/>
      <c r="O31" s="227"/>
      <c r="P31" s="227"/>
      <c r="Q31" s="228"/>
      <c r="R31" s="227"/>
      <c r="S31" s="227"/>
      <c r="T31" s="227"/>
    </row>
    <row r="32" spans="1:20" x14ac:dyDescent="0.25">
      <c r="A32" s="230">
        <v>43585.362858796296</v>
      </c>
      <c r="B32">
        <v>948</v>
      </c>
      <c r="C32" s="231">
        <v>983488926</v>
      </c>
      <c r="D32" t="s">
        <v>258</v>
      </c>
      <c r="E32">
        <v>15000</v>
      </c>
      <c r="L32" s="227"/>
      <c r="M32" s="227"/>
      <c r="N32" s="227"/>
      <c r="O32" s="227"/>
      <c r="P32" s="227"/>
      <c r="Q32" s="228"/>
      <c r="R32" s="227"/>
      <c r="S32" s="227"/>
      <c r="T32" s="227"/>
    </row>
    <row r="33" spans="1:20" x14ac:dyDescent="0.25">
      <c r="A33" s="230">
        <v>43585.363749999997</v>
      </c>
      <c r="B33">
        <v>950</v>
      </c>
      <c r="C33" s="231">
        <v>983491004</v>
      </c>
      <c r="D33" t="s">
        <v>259</v>
      </c>
      <c r="E33">
        <v>10000</v>
      </c>
      <c r="L33" s="227"/>
      <c r="M33" s="227"/>
      <c r="N33" s="227"/>
      <c r="O33" s="227"/>
      <c r="P33" s="227"/>
      <c r="Q33" s="228"/>
      <c r="R33" s="227"/>
      <c r="S33" s="227"/>
      <c r="T33" s="227"/>
    </row>
    <row r="34" spans="1:20" x14ac:dyDescent="0.25">
      <c r="A34" s="230">
        <v>43585.364745370367</v>
      </c>
      <c r="B34">
        <v>952</v>
      </c>
      <c r="C34" s="231">
        <v>983493377</v>
      </c>
      <c r="D34" t="s">
        <v>260</v>
      </c>
      <c r="E34">
        <v>0</v>
      </c>
      <c r="L34" s="227"/>
      <c r="M34" s="227"/>
      <c r="N34" s="227"/>
      <c r="O34" s="227"/>
      <c r="P34" s="227"/>
      <c r="Q34" s="228"/>
      <c r="R34" s="227"/>
      <c r="S34" s="227"/>
      <c r="T34" s="227"/>
    </row>
    <row r="35" spans="1:20" x14ac:dyDescent="0.25">
      <c r="A35" s="230">
        <v>43585.365162037036</v>
      </c>
      <c r="B35">
        <v>953</v>
      </c>
      <c r="C35" s="231">
        <v>983494445</v>
      </c>
      <c r="D35" t="s">
        <v>260</v>
      </c>
      <c r="E35">
        <v>1000</v>
      </c>
      <c r="L35" s="227"/>
      <c r="M35" s="227"/>
      <c r="N35" s="227"/>
      <c r="O35" s="227"/>
      <c r="P35" s="227"/>
      <c r="Q35" s="228"/>
      <c r="R35" s="227"/>
      <c r="S35" s="227"/>
      <c r="T35" s="227"/>
    </row>
    <row r="36" spans="1:20" x14ac:dyDescent="0.25">
      <c r="A36" s="230">
        <v>43585.36613425926</v>
      </c>
      <c r="B36">
        <v>955</v>
      </c>
      <c r="C36" s="231">
        <v>983496673</v>
      </c>
      <c r="D36" t="s">
        <v>261</v>
      </c>
      <c r="E36">
        <v>1000</v>
      </c>
      <c r="L36" s="227"/>
      <c r="M36" s="227"/>
      <c r="N36" s="227"/>
      <c r="O36" s="227"/>
      <c r="P36" s="227"/>
      <c r="Q36" s="228"/>
      <c r="R36" s="227"/>
      <c r="S36" s="227"/>
      <c r="T36" s="227"/>
    </row>
    <row r="37" spans="1:20" x14ac:dyDescent="0.25">
      <c r="A37" s="230">
        <v>43585.366990740738</v>
      </c>
      <c r="B37">
        <v>957</v>
      </c>
      <c r="C37" s="231">
        <v>983498774</v>
      </c>
      <c r="D37" t="s">
        <v>262</v>
      </c>
      <c r="E37">
        <v>0</v>
      </c>
      <c r="L37" s="227"/>
      <c r="M37" s="227"/>
      <c r="N37" s="227"/>
      <c r="O37" s="227"/>
      <c r="P37" s="227"/>
      <c r="Q37" s="228"/>
      <c r="R37" s="227"/>
      <c r="S37" s="227"/>
      <c r="T37" s="227"/>
    </row>
    <row r="38" spans="1:20" x14ac:dyDescent="0.25">
      <c r="A38" s="230">
        <v>43585.367349537039</v>
      </c>
      <c r="B38">
        <v>958</v>
      </c>
      <c r="C38" s="231">
        <v>983499609</v>
      </c>
      <c r="D38" t="s">
        <v>262</v>
      </c>
      <c r="E38">
        <v>10000</v>
      </c>
      <c r="L38" s="227"/>
      <c r="M38" s="227"/>
      <c r="N38" s="227"/>
      <c r="O38" s="227"/>
      <c r="P38" s="227"/>
      <c r="Q38" s="228"/>
      <c r="R38" s="227"/>
      <c r="S38" s="227"/>
      <c r="T38" s="227"/>
    </row>
    <row r="39" spans="1:20" x14ac:dyDescent="0.25">
      <c r="A39" s="230">
        <v>43585.367986111109</v>
      </c>
      <c r="B39">
        <v>959</v>
      </c>
      <c r="C39" s="231">
        <v>983501104</v>
      </c>
      <c r="D39" t="s">
        <v>262</v>
      </c>
      <c r="E39">
        <v>500</v>
      </c>
      <c r="L39" s="227"/>
      <c r="M39" s="227"/>
      <c r="N39" s="227"/>
      <c r="O39" s="227"/>
      <c r="P39" s="227"/>
      <c r="Q39" s="228"/>
      <c r="R39" s="227"/>
      <c r="S39" s="227"/>
      <c r="T39" s="227"/>
    </row>
    <row r="40" spans="1:20" x14ac:dyDescent="0.25">
      <c r="A40" s="230">
        <v>43585.368761574071</v>
      </c>
      <c r="B40">
        <v>961</v>
      </c>
      <c r="C40" s="231">
        <v>983502981</v>
      </c>
      <c r="D40" t="s">
        <v>263</v>
      </c>
      <c r="E40">
        <v>20000</v>
      </c>
      <c r="L40" s="227"/>
      <c r="M40" s="227"/>
      <c r="N40" s="227"/>
      <c r="O40" s="227"/>
      <c r="P40" s="227"/>
      <c r="Q40" s="228"/>
      <c r="R40" s="227"/>
      <c r="S40" s="227"/>
      <c r="T40" s="227"/>
    </row>
    <row r="41" spans="1:20" x14ac:dyDescent="0.25">
      <c r="A41" s="230">
        <v>43585.369722222225</v>
      </c>
      <c r="B41">
        <v>963</v>
      </c>
      <c r="C41" s="231">
        <v>983505290</v>
      </c>
      <c r="D41" t="s">
        <v>264</v>
      </c>
      <c r="E41">
        <v>1000</v>
      </c>
      <c r="L41" s="227"/>
      <c r="M41" s="227"/>
      <c r="N41" s="227"/>
      <c r="O41" s="227"/>
      <c r="P41" s="227"/>
      <c r="Q41" s="228"/>
      <c r="R41" s="227"/>
      <c r="S41" s="227"/>
      <c r="T41" s="227"/>
    </row>
    <row r="42" spans="1:20" x14ac:dyDescent="0.25">
      <c r="A42" s="230">
        <v>43585.370891203704</v>
      </c>
      <c r="B42">
        <v>966</v>
      </c>
      <c r="C42" s="231">
        <v>983508120</v>
      </c>
      <c r="D42" t="s">
        <v>265</v>
      </c>
      <c r="E42">
        <v>20000</v>
      </c>
      <c r="L42" s="227"/>
      <c r="M42" s="227"/>
      <c r="N42" s="227"/>
      <c r="O42" s="227"/>
      <c r="P42" s="227"/>
      <c r="Q42" s="228"/>
      <c r="R42" s="227"/>
      <c r="S42" s="227"/>
      <c r="T42" s="227"/>
    </row>
    <row r="43" spans="1:20" x14ac:dyDescent="0.25">
      <c r="A43" s="230">
        <v>43585.371527777781</v>
      </c>
      <c r="B43">
        <v>967</v>
      </c>
      <c r="C43" s="231">
        <v>983509792</v>
      </c>
      <c r="D43" t="s">
        <v>265</v>
      </c>
      <c r="E43">
        <v>20000</v>
      </c>
      <c r="L43" s="227"/>
      <c r="M43" s="227"/>
      <c r="N43" s="227"/>
      <c r="O43" s="227"/>
      <c r="P43" s="227"/>
      <c r="Q43" s="228"/>
      <c r="R43" s="227"/>
      <c r="S43" s="227"/>
      <c r="T43" s="227"/>
    </row>
    <row r="44" spans="1:20" x14ac:dyDescent="0.25">
      <c r="A44" s="230">
        <v>43585.37228009259</v>
      </c>
      <c r="B44">
        <v>968</v>
      </c>
      <c r="C44" s="231">
        <v>983511652</v>
      </c>
      <c r="D44" t="s">
        <v>265</v>
      </c>
      <c r="E44">
        <v>20000</v>
      </c>
      <c r="L44" s="227"/>
      <c r="M44" s="227"/>
      <c r="N44" s="227"/>
      <c r="O44" s="227"/>
      <c r="P44" s="227"/>
      <c r="Q44" s="228"/>
      <c r="R44" s="227"/>
      <c r="S44" s="227"/>
      <c r="T44" s="227"/>
    </row>
    <row r="45" spans="1:20" x14ac:dyDescent="0.25">
      <c r="A45" s="230">
        <v>43585.374224537038</v>
      </c>
      <c r="B45">
        <v>971</v>
      </c>
      <c r="C45" s="231">
        <v>983516580</v>
      </c>
      <c r="D45" t="s">
        <v>266</v>
      </c>
      <c r="E45">
        <v>1000</v>
      </c>
      <c r="L45" s="227"/>
      <c r="M45" s="227"/>
      <c r="N45" s="227"/>
      <c r="O45" s="227"/>
      <c r="P45" s="227"/>
      <c r="Q45" s="228"/>
      <c r="R45" s="227"/>
      <c r="S45" s="227"/>
      <c r="T45" s="227"/>
    </row>
    <row r="46" spans="1:20" x14ac:dyDescent="0.25">
      <c r="A46" s="230">
        <v>43585.375173611108</v>
      </c>
      <c r="B46">
        <v>973</v>
      </c>
      <c r="C46" s="231">
        <v>983518956</v>
      </c>
      <c r="D46" t="s">
        <v>267</v>
      </c>
      <c r="E46">
        <v>20000</v>
      </c>
      <c r="L46" s="227"/>
      <c r="M46" s="227"/>
      <c r="N46" s="227"/>
      <c r="O46" s="227"/>
      <c r="P46" s="227"/>
      <c r="Q46" s="228"/>
      <c r="R46" s="227"/>
      <c r="S46" s="227"/>
      <c r="T46" s="227"/>
    </row>
    <row r="47" spans="1:20" x14ac:dyDescent="0.25">
      <c r="A47" s="230">
        <v>43585.375798611109</v>
      </c>
      <c r="B47">
        <v>974</v>
      </c>
      <c r="C47" s="231">
        <v>983520479</v>
      </c>
      <c r="D47" t="s">
        <v>267</v>
      </c>
      <c r="E47">
        <v>20000</v>
      </c>
      <c r="L47" s="227"/>
      <c r="M47" s="227"/>
      <c r="N47" s="227"/>
      <c r="O47" s="227"/>
      <c r="P47" s="227"/>
      <c r="Q47" s="228"/>
      <c r="R47" s="227"/>
      <c r="S47" s="227"/>
      <c r="T47" s="227"/>
    </row>
    <row r="48" spans="1:20" x14ac:dyDescent="0.25">
      <c r="A48" s="230">
        <v>43585.376423611109</v>
      </c>
      <c r="B48">
        <v>975</v>
      </c>
      <c r="C48" s="231">
        <v>983522029</v>
      </c>
      <c r="D48" t="s">
        <v>267</v>
      </c>
      <c r="E48">
        <v>10000</v>
      </c>
      <c r="L48" s="227"/>
      <c r="M48" s="227"/>
      <c r="N48" s="227"/>
      <c r="O48" s="227"/>
      <c r="P48" s="227"/>
      <c r="Q48" s="228"/>
      <c r="R48" s="227"/>
      <c r="S48" s="227"/>
      <c r="T48" s="227"/>
    </row>
    <row r="49" spans="1:20" x14ac:dyDescent="0.25">
      <c r="A49" s="230">
        <v>43585.377430555556</v>
      </c>
      <c r="B49">
        <v>977</v>
      </c>
      <c r="C49" s="231">
        <v>983524502</v>
      </c>
      <c r="D49" t="s">
        <v>268</v>
      </c>
      <c r="E49">
        <v>20000</v>
      </c>
      <c r="L49" s="227"/>
      <c r="M49" s="227"/>
      <c r="N49" s="227"/>
      <c r="O49" s="227"/>
      <c r="P49" s="227"/>
      <c r="Q49" s="228"/>
      <c r="R49" s="227"/>
      <c r="S49" s="227"/>
      <c r="T49" s="227"/>
    </row>
    <row r="50" spans="1:20" x14ac:dyDescent="0.25">
      <c r="A50" s="230">
        <v>43585.378321759257</v>
      </c>
      <c r="B50">
        <v>978</v>
      </c>
      <c r="C50" s="231">
        <v>983526735</v>
      </c>
      <c r="D50" t="s">
        <v>268</v>
      </c>
      <c r="E50">
        <v>9000</v>
      </c>
      <c r="L50" s="227"/>
      <c r="M50" s="227"/>
      <c r="N50" s="227"/>
      <c r="O50" s="227"/>
      <c r="P50" s="227"/>
      <c r="Q50" s="228"/>
      <c r="R50" s="227"/>
      <c r="S50" s="227"/>
      <c r="T50" s="227"/>
    </row>
    <row r="51" spans="1:20" x14ac:dyDescent="0.25">
      <c r="A51" s="230">
        <v>43585.379155092596</v>
      </c>
      <c r="B51">
        <v>980</v>
      </c>
      <c r="C51" s="231">
        <v>983528829</v>
      </c>
      <c r="D51" t="s">
        <v>269</v>
      </c>
      <c r="E51">
        <v>10000</v>
      </c>
      <c r="L51" s="227"/>
      <c r="M51" s="227"/>
      <c r="N51" s="227"/>
      <c r="O51" s="227"/>
      <c r="P51" s="227"/>
      <c r="Q51" s="228"/>
      <c r="R51" s="227"/>
      <c r="S51" s="227"/>
      <c r="T51" s="227"/>
    </row>
    <row r="52" spans="1:20" x14ac:dyDescent="0.25">
      <c r="A52" s="230">
        <v>43585.381423611114</v>
      </c>
      <c r="B52">
        <v>983</v>
      </c>
      <c r="C52" s="231">
        <v>983534405</v>
      </c>
      <c r="D52" t="s">
        <v>270</v>
      </c>
      <c r="E52">
        <v>3000</v>
      </c>
      <c r="L52" s="227"/>
      <c r="M52" s="227"/>
      <c r="N52" s="227"/>
      <c r="O52" s="227"/>
      <c r="P52" s="227"/>
      <c r="Q52" s="228"/>
      <c r="R52" s="227"/>
      <c r="S52" s="227"/>
      <c r="T52" s="227"/>
    </row>
    <row r="53" spans="1:20" x14ac:dyDescent="0.25">
      <c r="A53" s="230">
        <v>43585.384756944448</v>
      </c>
      <c r="B53">
        <v>987</v>
      </c>
      <c r="C53" s="231">
        <v>983542894</v>
      </c>
      <c r="D53" t="s">
        <v>271</v>
      </c>
      <c r="E53">
        <v>0</v>
      </c>
      <c r="L53" s="227"/>
      <c r="M53" s="227"/>
      <c r="N53" s="227"/>
      <c r="O53" s="227"/>
      <c r="P53" s="227"/>
      <c r="Q53" s="228"/>
      <c r="R53" s="227"/>
      <c r="S53" s="227"/>
      <c r="T53" s="227"/>
    </row>
    <row r="54" spans="1:20" x14ac:dyDescent="0.25">
      <c r="A54" s="230">
        <v>43585.385520833333</v>
      </c>
      <c r="B54">
        <v>989</v>
      </c>
      <c r="C54" s="231">
        <v>983544888</v>
      </c>
      <c r="D54" t="s">
        <v>271</v>
      </c>
      <c r="E54">
        <v>0</v>
      </c>
      <c r="L54" s="227"/>
      <c r="M54" s="227"/>
      <c r="N54" s="227"/>
      <c r="O54" s="227"/>
      <c r="P54" s="227"/>
      <c r="Q54" s="228"/>
      <c r="R54" s="227"/>
      <c r="S54" s="227"/>
      <c r="T54" s="227"/>
    </row>
    <row r="55" spans="1:20" x14ac:dyDescent="0.25">
      <c r="A55" s="230">
        <v>43585.397719907407</v>
      </c>
      <c r="B55">
        <v>2003</v>
      </c>
      <c r="C55" s="231">
        <v>983578779</v>
      </c>
      <c r="D55" t="s">
        <v>272</v>
      </c>
      <c r="E55">
        <v>15000</v>
      </c>
      <c r="L55" s="227"/>
      <c r="M55" s="227"/>
      <c r="N55" s="227"/>
      <c r="O55" s="227"/>
      <c r="P55" s="227"/>
      <c r="Q55" s="228"/>
      <c r="R55" s="227"/>
      <c r="S55" s="227"/>
      <c r="T55" s="227"/>
    </row>
    <row r="56" spans="1:20" x14ac:dyDescent="0.25">
      <c r="A56" s="230">
        <v>43585.398657407408</v>
      </c>
      <c r="B56">
        <v>2005</v>
      </c>
      <c r="C56" s="231">
        <v>983581376</v>
      </c>
      <c r="D56" t="s">
        <v>273</v>
      </c>
      <c r="E56">
        <v>0</v>
      </c>
      <c r="L56" s="227"/>
      <c r="M56" s="227"/>
      <c r="N56" s="227"/>
      <c r="O56" s="227"/>
      <c r="P56" s="227"/>
      <c r="Q56" s="228"/>
      <c r="R56" s="227"/>
      <c r="S56" s="227"/>
      <c r="T56" s="227"/>
    </row>
    <row r="57" spans="1:20" x14ac:dyDescent="0.25">
      <c r="A57" s="230">
        <v>43585.400081018517</v>
      </c>
      <c r="B57">
        <v>2008</v>
      </c>
      <c r="C57" s="231">
        <v>983585349</v>
      </c>
      <c r="D57" t="s">
        <v>274</v>
      </c>
      <c r="E57">
        <v>500</v>
      </c>
      <c r="L57" s="227"/>
      <c r="M57" s="227"/>
      <c r="N57" s="227"/>
      <c r="O57" s="227"/>
      <c r="P57" s="227"/>
      <c r="Q57" s="228"/>
      <c r="R57" s="227"/>
      <c r="S57" s="227"/>
      <c r="T57" s="227"/>
    </row>
    <row r="58" spans="1:20" x14ac:dyDescent="0.25">
      <c r="A58" s="230">
        <v>43585.40253472222</v>
      </c>
      <c r="B58">
        <v>2011</v>
      </c>
      <c r="C58" s="231">
        <v>983593177</v>
      </c>
      <c r="D58" t="s">
        <v>275</v>
      </c>
      <c r="E58">
        <v>20000</v>
      </c>
      <c r="L58" s="227"/>
      <c r="M58" s="227"/>
      <c r="N58" s="227"/>
      <c r="O58" s="227"/>
      <c r="P58" s="227"/>
      <c r="Q58" s="228"/>
      <c r="R58" s="227"/>
      <c r="S58" s="227"/>
      <c r="T58" s="227"/>
    </row>
    <row r="59" spans="1:20" x14ac:dyDescent="0.25">
      <c r="A59" s="230">
        <v>43585.403113425928</v>
      </c>
      <c r="B59">
        <v>2012</v>
      </c>
      <c r="C59" s="231">
        <v>983594880</v>
      </c>
      <c r="D59" t="s">
        <v>275</v>
      </c>
      <c r="E59">
        <v>10000</v>
      </c>
      <c r="L59" s="227"/>
      <c r="M59" s="227"/>
      <c r="N59" s="227"/>
      <c r="O59" s="227"/>
      <c r="P59" s="227"/>
      <c r="Q59" s="228"/>
      <c r="R59" s="227"/>
      <c r="S59" s="227"/>
      <c r="T59" s="227"/>
    </row>
    <row r="60" spans="1:20" x14ac:dyDescent="0.25">
      <c r="A60" s="230">
        <v>43585.404050925928</v>
      </c>
      <c r="B60">
        <v>2014</v>
      </c>
      <c r="C60" s="231">
        <v>983597611</v>
      </c>
      <c r="D60" t="s">
        <v>276</v>
      </c>
      <c r="E60">
        <v>9500</v>
      </c>
      <c r="L60" s="227"/>
      <c r="M60" s="227"/>
      <c r="N60" s="227"/>
      <c r="O60" s="227"/>
      <c r="P60" s="227"/>
      <c r="Q60" s="228"/>
      <c r="R60" s="227"/>
      <c r="S60" s="227"/>
      <c r="T60" s="227"/>
    </row>
    <row r="61" spans="1:20" x14ac:dyDescent="0.25">
      <c r="A61" s="230">
        <v>43585.408032407409</v>
      </c>
      <c r="B61">
        <v>2021</v>
      </c>
      <c r="C61" s="231">
        <v>983609095</v>
      </c>
      <c r="D61" t="s">
        <v>277</v>
      </c>
      <c r="E61">
        <v>20000</v>
      </c>
      <c r="L61" s="227"/>
      <c r="M61" s="227"/>
      <c r="N61" s="227"/>
      <c r="O61" s="227"/>
      <c r="P61" s="227"/>
      <c r="Q61" s="228"/>
      <c r="R61" s="227"/>
      <c r="S61" s="227"/>
      <c r="T61" s="227"/>
    </row>
    <row r="62" spans="1:20" x14ac:dyDescent="0.25">
      <c r="A62" s="230">
        <v>43585.408668981479</v>
      </c>
      <c r="B62">
        <v>2022</v>
      </c>
      <c r="C62" s="231">
        <v>983610984</v>
      </c>
      <c r="D62" t="s">
        <v>277</v>
      </c>
      <c r="E62">
        <v>20000</v>
      </c>
      <c r="L62" s="227"/>
      <c r="M62" s="227"/>
      <c r="N62" s="227"/>
      <c r="O62" s="227"/>
      <c r="P62" s="227"/>
      <c r="Q62" s="228"/>
      <c r="R62" s="227"/>
      <c r="S62" s="227"/>
      <c r="T62" s="227"/>
    </row>
    <row r="63" spans="1:20" x14ac:dyDescent="0.25">
      <c r="A63" s="230">
        <v>43585.408750000002</v>
      </c>
      <c r="B63">
        <v>2022</v>
      </c>
      <c r="C63" s="231">
        <v>983610984</v>
      </c>
      <c r="D63" t="s">
        <v>277</v>
      </c>
      <c r="E63">
        <v>0</v>
      </c>
      <c r="L63" s="227"/>
      <c r="M63" s="227"/>
      <c r="N63" s="227"/>
      <c r="O63" s="227"/>
      <c r="P63" s="227"/>
      <c r="Q63" s="228"/>
      <c r="R63" s="227"/>
      <c r="S63" s="227"/>
      <c r="T63" s="227"/>
    </row>
    <row r="64" spans="1:20" x14ac:dyDescent="0.25">
      <c r="A64" s="230">
        <v>43585.43041666667</v>
      </c>
      <c r="B64">
        <v>2025</v>
      </c>
      <c r="C64" s="231">
        <v>983670295</v>
      </c>
      <c r="D64" t="s">
        <v>278</v>
      </c>
      <c r="E64">
        <v>5000</v>
      </c>
      <c r="L64" s="227"/>
      <c r="M64" s="227"/>
      <c r="N64" s="227"/>
      <c r="O64" s="227"/>
      <c r="P64" s="227"/>
      <c r="Q64" s="228"/>
      <c r="R64" s="227"/>
      <c r="S64" s="227"/>
      <c r="T64" s="227"/>
    </row>
    <row r="65" spans="1:20" x14ac:dyDescent="0.25">
      <c r="A65" s="230">
        <v>43585.432013888887</v>
      </c>
      <c r="B65">
        <v>2027</v>
      </c>
      <c r="C65" s="231">
        <v>983676134</v>
      </c>
      <c r="D65" t="s">
        <v>279</v>
      </c>
      <c r="E65">
        <v>0</v>
      </c>
      <c r="L65" s="227"/>
      <c r="M65" s="227"/>
      <c r="N65" s="227"/>
      <c r="O65" s="227"/>
      <c r="P65" s="227"/>
      <c r="Q65" s="228"/>
      <c r="R65" s="227"/>
      <c r="S65" s="227"/>
      <c r="T65" s="227"/>
    </row>
    <row r="66" spans="1:20" x14ac:dyDescent="0.25">
      <c r="A66" s="230">
        <v>43585.432962962965</v>
      </c>
      <c r="B66">
        <v>2029</v>
      </c>
      <c r="C66" s="231">
        <v>983680082</v>
      </c>
      <c r="D66" t="s">
        <v>280</v>
      </c>
      <c r="E66">
        <v>20000</v>
      </c>
      <c r="L66" s="227"/>
      <c r="M66" s="227"/>
      <c r="N66" s="227"/>
      <c r="O66" s="227"/>
      <c r="P66" s="227"/>
      <c r="Q66" s="228"/>
      <c r="R66" s="227"/>
      <c r="S66" s="227"/>
      <c r="T66" s="227"/>
    </row>
    <row r="67" spans="1:20" x14ac:dyDescent="0.25">
      <c r="A67" s="230">
        <v>43585.43378472222</v>
      </c>
      <c r="B67">
        <v>2031</v>
      </c>
      <c r="C67" s="231">
        <v>983683538</v>
      </c>
      <c r="D67" t="s">
        <v>281</v>
      </c>
      <c r="E67">
        <v>20000</v>
      </c>
      <c r="L67" s="227"/>
      <c r="M67" s="227"/>
      <c r="N67" s="227"/>
      <c r="O67" s="227"/>
      <c r="P67" s="227"/>
      <c r="Q67" s="228"/>
      <c r="R67" s="227"/>
      <c r="S67" s="227"/>
      <c r="T67" s="227"/>
    </row>
    <row r="68" spans="1:20" x14ac:dyDescent="0.25">
      <c r="A68" s="230">
        <v>43585.43445601852</v>
      </c>
      <c r="B68">
        <v>2032</v>
      </c>
      <c r="C68" s="231">
        <v>983685953</v>
      </c>
      <c r="D68" t="s">
        <v>281</v>
      </c>
      <c r="E68">
        <v>10000</v>
      </c>
      <c r="L68" s="227"/>
      <c r="M68" s="227"/>
      <c r="N68" s="227"/>
      <c r="O68" s="227"/>
      <c r="P68" s="227"/>
      <c r="Q68" s="228"/>
      <c r="R68" s="227"/>
      <c r="S68" s="227"/>
      <c r="T68" s="227"/>
    </row>
    <row r="69" spans="1:20" x14ac:dyDescent="0.25">
      <c r="A69" s="230">
        <v>43585.438680555555</v>
      </c>
      <c r="B69">
        <v>2042</v>
      </c>
      <c r="C69" s="231">
        <v>983700050</v>
      </c>
      <c r="D69" t="s">
        <v>279</v>
      </c>
      <c r="E69">
        <v>10000</v>
      </c>
      <c r="L69" s="227"/>
      <c r="M69" s="227"/>
      <c r="N69" s="227"/>
      <c r="O69" s="227"/>
      <c r="P69" s="227"/>
      <c r="Q69" s="228"/>
      <c r="R69" s="227"/>
      <c r="S69" s="227"/>
      <c r="T69" s="227"/>
    </row>
    <row r="70" spans="1:20" x14ac:dyDescent="0.25">
      <c r="A70" s="230">
        <v>43585.440081018518</v>
      </c>
      <c r="B70">
        <v>2044</v>
      </c>
      <c r="C70" s="231">
        <v>983704592</v>
      </c>
      <c r="D70" t="s">
        <v>282</v>
      </c>
      <c r="E70">
        <v>0</v>
      </c>
      <c r="L70" s="227"/>
      <c r="M70" s="227"/>
      <c r="N70" s="227"/>
      <c r="O70" s="227"/>
      <c r="P70" s="227"/>
      <c r="Q70" s="228"/>
      <c r="R70" s="227"/>
      <c r="S70" s="227"/>
      <c r="T70" s="227"/>
    </row>
    <row r="71" spans="1:20" x14ac:dyDescent="0.25">
      <c r="A71" s="230">
        <v>43585.441111111111</v>
      </c>
      <c r="B71">
        <v>2046</v>
      </c>
      <c r="C71" s="231">
        <v>983707867</v>
      </c>
      <c r="D71" t="s">
        <v>283</v>
      </c>
      <c r="E71">
        <v>5000</v>
      </c>
      <c r="L71" s="227"/>
      <c r="M71" s="227"/>
      <c r="N71" s="227"/>
      <c r="O71" s="227"/>
      <c r="P71" s="227"/>
      <c r="Q71" s="228"/>
      <c r="R71" s="227"/>
      <c r="S71" s="227"/>
      <c r="T71" s="227"/>
    </row>
    <row r="72" spans="1:20" x14ac:dyDescent="0.25">
      <c r="A72" s="230">
        <v>43585.442291666666</v>
      </c>
      <c r="B72">
        <v>2048</v>
      </c>
      <c r="C72" s="231">
        <v>983711574</v>
      </c>
      <c r="D72" t="s">
        <v>122</v>
      </c>
      <c r="E72">
        <v>7000</v>
      </c>
      <c r="L72" s="227"/>
      <c r="M72" s="227"/>
      <c r="N72" s="227"/>
      <c r="O72" s="227"/>
      <c r="P72" s="227"/>
      <c r="Q72" s="228"/>
      <c r="R72" s="227"/>
      <c r="S72" s="227"/>
      <c r="T72" s="227"/>
    </row>
    <row r="73" spans="1:20" x14ac:dyDescent="0.25">
      <c r="A73" s="230">
        <v>43585.651076388887</v>
      </c>
      <c r="B73">
        <v>2050</v>
      </c>
      <c r="C73" s="231">
        <v>984325844</v>
      </c>
      <c r="D73" t="s">
        <v>284</v>
      </c>
      <c r="E73">
        <v>3000</v>
      </c>
      <c r="L73" s="227"/>
      <c r="M73" s="227"/>
      <c r="N73" s="227"/>
      <c r="O73" s="227"/>
      <c r="P73" s="227"/>
      <c r="Q73" s="228"/>
      <c r="R73" s="227"/>
      <c r="S73" s="227"/>
      <c r="T73" s="227"/>
    </row>
    <row r="74" spans="1:20" x14ac:dyDescent="0.25">
      <c r="A74" s="230">
        <v>43585.65221064815</v>
      </c>
      <c r="B74">
        <v>2052</v>
      </c>
      <c r="C74" s="231">
        <v>984328956</v>
      </c>
      <c r="D74" t="s">
        <v>285</v>
      </c>
      <c r="E74">
        <v>3000</v>
      </c>
      <c r="L74" s="227"/>
      <c r="M74" s="227"/>
      <c r="N74" s="227"/>
      <c r="O74" s="227"/>
      <c r="P74" s="227"/>
      <c r="Q74" s="228"/>
      <c r="R74" s="227"/>
      <c r="S74" s="227"/>
      <c r="T74" s="227"/>
    </row>
    <row r="75" spans="1:20" x14ac:dyDescent="0.25">
      <c r="A75" s="230">
        <v>43585.65315972222</v>
      </c>
      <c r="B75">
        <v>2054</v>
      </c>
      <c r="C75" s="231">
        <v>984331599</v>
      </c>
      <c r="D75" t="s">
        <v>286</v>
      </c>
      <c r="E75">
        <v>20000</v>
      </c>
      <c r="L75" s="227"/>
      <c r="M75" s="227"/>
      <c r="N75" s="227"/>
      <c r="O75" s="227"/>
      <c r="P75" s="227"/>
      <c r="Q75" s="228"/>
      <c r="R75" s="227"/>
      <c r="S75" s="227"/>
      <c r="T75" s="227"/>
    </row>
    <row r="76" spans="1:20" x14ac:dyDescent="0.25">
      <c r="A76" s="230">
        <v>43585.654456018521</v>
      </c>
      <c r="B76">
        <v>2056</v>
      </c>
      <c r="C76" s="231">
        <v>984335259</v>
      </c>
      <c r="D76" t="s">
        <v>286</v>
      </c>
      <c r="E76">
        <v>20000</v>
      </c>
      <c r="L76" s="227"/>
      <c r="M76" s="227"/>
      <c r="N76" s="227"/>
      <c r="O76" s="227"/>
      <c r="P76" s="227"/>
      <c r="Q76" s="228"/>
      <c r="R76" s="227"/>
      <c r="S76" s="227"/>
      <c r="T76" s="227"/>
    </row>
    <row r="77" spans="1:20" x14ac:dyDescent="0.25">
      <c r="A77" s="230">
        <v>43585.655185185184</v>
      </c>
      <c r="B77">
        <v>2057</v>
      </c>
      <c r="C77" s="231">
        <v>984337290</v>
      </c>
      <c r="D77" t="s">
        <v>286</v>
      </c>
      <c r="E77">
        <v>20000</v>
      </c>
      <c r="L77" s="227"/>
      <c r="M77" s="227"/>
      <c r="N77" s="227"/>
      <c r="O77" s="227"/>
      <c r="P77" s="227"/>
      <c r="Q77" s="228"/>
      <c r="R77" s="227"/>
      <c r="S77" s="227"/>
      <c r="T77" s="227"/>
    </row>
    <row r="78" spans="1:20" x14ac:dyDescent="0.25">
      <c r="A78" s="230">
        <v>43585.655798611115</v>
      </c>
      <c r="B78">
        <v>2058</v>
      </c>
      <c r="C78" s="231">
        <v>984339039</v>
      </c>
      <c r="D78" t="s">
        <v>286</v>
      </c>
      <c r="E78">
        <v>20000</v>
      </c>
      <c r="L78" s="227"/>
      <c r="M78" s="227"/>
      <c r="N78" s="227"/>
      <c r="O78" s="227"/>
      <c r="P78" s="227"/>
      <c r="Q78" s="228"/>
      <c r="R78" s="227"/>
      <c r="S78" s="227"/>
      <c r="T78" s="227"/>
    </row>
    <row r="79" spans="1:20" x14ac:dyDescent="0.25">
      <c r="A79" s="230">
        <v>43585.656342592592</v>
      </c>
      <c r="B79">
        <v>2059</v>
      </c>
      <c r="C79" s="231">
        <v>984340562</v>
      </c>
      <c r="D79" t="s">
        <v>286</v>
      </c>
      <c r="E79">
        <v>20000</v>
      </c>
      <c r="L79" s="227"/>
      <c r="M79" s="227"/>
      <c r="N79" s="227"/>
      <c r="O79" s="227"/>
      <c r="P79" s="227"/>
      <c r="Q79" s="228"/>
      <c r="R79" s="227"/>
      <c r="S79" s="227"/>
      <c r="T79" s="227"/>
    </row>
    <row r="80" spans="1:20" x14ac:dyDescent="0.25">
      <c r="A80" s="230">
        <v>43585.656956018516</v>
      </c>
      <c r="B80">
        <v>2060</v>
      </c>
      <c r="C80" s="231">
        <v>984342281</v>
      </c>
      <c r="D80" t="s">
        <v>286</v>
      </c>
      <c r="E80">
        <v>20000</v>
      </c>
      <c r="L80" s="227"/>
      <c r="M80" s="227"/>
      <c r="N80" s="227"/>
      <c r="O80" s="227"/>
      <c r="P80" s="227"/>
      <c r="Q80" s="228"/>
      <c r="R80" s="227"/>
      <c r="S80" s="227"/>
      <c r="T80" s="227"/>
    </row>
    <row r="81" spans="1:20" x14ac:dyDescent="0.25">
      <c r="A81" s="230">
        <v>43585.657719907409</v>
      </c>
      <c r="B81">
        <v>2061</v>
      </c>
      <c r="C81" s="231">
        <v>984344424</v>
      </c>
      <c r="D81" t="s">
        <v>286</v>
      </c>
      <c r="E81">
        <v>20000</v>
      </c>
      <c r="L81" s="227"/>
      <c r="M81" s="227"/>
      <c r="N81" s="227"/>
      <c r="O81" s="227"/>
      <c r="P81" s="227"/>
      <c r="Q81" s="228"/>
      <c r="R81" s="227"/>
      <c r="S81" s="227"/>
      <c r="T81" s="227"/>
    </row>
    <row r="82" spans="1:20" x14ac:dyDescent="0.25">
      <c r="A82" s="230">
        <v>43585.658275462964</v>
      </c>
      <c r="B82">
        <v>2062</v>
      </c>
      <c r="C82" s="231">
        <v>984346000</v>
      </c>
      <c r="D82" t="s">
        <v>286</v>
      </c>
      <c r="E82">
        <v>0</v>
      </c>
      <c r="L82" s="227"/>
      <c r="M82" s="227"/>
      <c r="N82" s="227"/>
      <c r="O82" s="227"/>
      <c r="P82" s="227"/>
      <c r="Q82" s="228"/>
      <c r="R82" s="227"/>
      <c r="S82" s="227"/>
      <c r="T82" s="227"/>
    </row>
    <row r="83" spans="1:20" x14ac:dyDescent="0.25">
      <c r="A83" s="230">
        <v>43585.658888888887</v>
      </c>
      <c r="B83">
        <v>2064</v>
      </c>
      <c r="C83" s="231">
        <v>984347712</v>
      </c>
      <c r="D83" t="s">
        <v>286</v>
      </c>
      <c r="E83">
        <v>0</v>
      </c>
      <c r="L83" s="227"/>
      <c r="M83" s="227"/>
      <c r="N83" s="227"/>
      <c r="O83" s="227"/>
      <c r="P83" s="227"/>
      <c r="Q83" s="228"/>
      <c r="R83" s="227"/>
      <c r="S83" s="227"/>
      <c r="T83" s="227"/>
    </row>
    <row r="84" spans="1:20" x14ac:dyDescent="0.25">
      <c r="A84" s="230">
        <v>43585.661874999998</v>
      </c>
      <c r="B84">
        <v>2067</v>
      </c>
      <c r="C84" s="231">
        <v>984356209</v>
      </c>
      <c r="D84" t="s">
        <v>287</v>
      </c>
      <c r="E84">
        <v>10000</v>
      </c>
      <c r="L84" s="227"/>
      <c r="M84" s="227"/>
      <c r="N84" s="227"/>
      <c r="O84" s="227"/>
      <c r="P84" s="227"/>
      <c r="Q84" s="228"/>
      <c r="R84" s="227"/>
      <c r="S84" s="227"/>
      <c r="T84" s="227"/>
    </row>
    <row r="85" spans="1:20" x14ac:dyDescent="0.25">
      <c r="A85" s="230">
        <v>43585.663287037038</v>
      </c>
      <c r="B85">
        <v>2070</v>
      </c>
      <c r="C85" s="231">
        <v>984360174</v>
      </c>
      <c r="D85" t="s">
        <v>288</v>
      </c>
      <c r="E85">
        <v>20000</v>
      </c>
      <c r="L85" s="227"/>
      <c r="M85" s="227"/>
      <c r="N85" s="227"/>
      <c r="O85" s="227"/>
      <c r="P85" s="227"/>
      <c r="Q85" s="228"/>
      <c r="R85" s="227"/>
      <c r="S85" s="227"/>
      <c r="T85" s="227"/>
    </row>
    <row r="86" spans="1:20" x14ac:dyDescent="0.25">
      <c r="A86" s="230">
        <v>43585.666388888887</v>
      </c>
      <c r="B86">
        <v>2072</v>
      </c>
      <c r="C86" s="231">
        <v>984368695</v>
      </c>
      <c r="D86" t="s">
        <v>289</v>
      </c>
      <c r="E86">
        <v>6000</v>
      </c>
      <c r="L86" s="227"/>
      <c r="M86" s="227"/>
      <c r="N86" s="227"/>
      <c r="O86" s="227"/>
      <c r="P86" s="227"/>
      <c r="Q86" s="228"/>
      <c r="R86" s="227"/>
      <c r="S86" s="227"/>
      <c r="T86" s="227"/>
    </row>
    <row r="87" spans="1:20" x14ac:dyDescent="0.25">
      <c r="A87" s="230">
        <v>43585.667210648149</v>
      </c>
      <c r="B87">
        <v>2074</v>
      </c>
      <c r="C87" s="231">
        <v>984370959</v>
      </c>
      <c r="D87" t="s">
        <v>290</v>
      </c>
      <c r="E87">
        <v>20000</v>
      </c>
      <c r="L87" s="227"/>
      <c r="M87" s="227"/>
      <c r="N87" s="227"/>
      <c r="O87" s="227"/>
      <c r="P87" s="227"/>
      <c r="Q87" s="228"/>
      <c r="R87" s="227"/>
      <c r="S87" s="227"/>
      <c r="T87" s="227"/>
    </row>
    <row r="88" spans="1:20" x14ac:dyDescent="0.25">
      <c r="A88" s="230">
        <v>43585.667824074073</v>
      </c>
      <c r="B88">
        <v>2075</v>
      </c>
      <c r="C88" s="231">
        <v>984372664</v>
      </c>
      <c r="D88" t="s">
        <v>290</v>
      </c>
      <c r="E88">
        <v>10000</v>
      </c>
      <c r="L88" s="227"/>
      <c r="M88" s="227"/>
      <c r="N88" s="227"/>
      <c r="O88" s="227"/>
      <c r="P88" s="227"/>
      <c r="Q88" s="228"/>
      <c r="R88" s="227"/>
      <c r="S88" s="227"/>
      <c r="T88" s="227"/>
    </row>
    <row r="89" spans="1:20" x14ac:dyDescent="0.25">
      <c r="A89" s="230">
        <v>43585.669814814813</v>
      </c>
      <c r="B89">
        <v>2077</v>
      </c>
      <c r="C89" s="231">
        <v>984378316</v>
      </c>
      <c r="D89" t="s">
        <v>291</v>
      </c>
      <c r="E89">
        <v>500</v>
      </c>
      <c r="L89" s="227"/>
      <c r="M89" s="227"/>
      <c r="N89" s="227"/>
      <c r="O89" s="227"/>
      <c r="P89" s="227"/>
      <c r="Q89" s="228"/>
      <c r="R89" s="227"/>
      <c r="S89" s="227"/>
      <c r="T89" s="227"/>
    </row>
    <row r="90" spans="1:20" x14ac:dyDescent="0.25">
      <c r="A90" s="230">
        <v>43585.672164351854</v>
      </c>
      <c r="B90">
        <v>2079</v>
      </c>
      <c r="C90" s="231">
        <v>984385000</v>
      </c>
      <c r="D90" t="s">
        <v>292</v>
      </c>
      <c r="E90">
        <v>10000</v>
      </c>
      <c r="L90" s="227"/>
      <c r="M90" s="227"/>
      <c r="N90" s="227"/>
      <c r="O90" s="227"/>
      <c r="P90" s="227"/>
      <c r="Q90" s="228"/>
      <c r="R90" s="227"/>
      <c r="S90" s="227"/>
      <c r="T90" s="227"/>
    </row>
    <row r="91" spans="1:20" x14ac:dyDescent="0.25">
      <c r="A91" s="230">
        <v>43585.673402777778</v>
      </c>
      <c r="B91">
        <v>2081</v>
      </c>
      <c r="C91" s="231">
        <v>984388554</v>
      </c>
      <c r="D91" t="s">
        <v>293</v>
      </c>
      <c r="E91">
        <v>500</v>
      </c>
      <c r="L91" s="227"/>
      <c r="M91" s="227"/>
      <c r="N91" s="227"/>
      <c r="O91" s="227"/>
      <c r="P91" s="227"/>
      <c r="Q91" s="228"/>
      <c r="R91" s="227"/>
      <c r="S91" s="227"/>
      <c r="T91" s="227"/>
    </row>
    <row r="92" spans="1:20" x14ac:dyDescent="0.25">
      <c r="A92" s="230">
        <v>43585.675729166665</v>
      </c>
      <c r="B92">
        <v>2085</v>
      </c>
      <c r="C92" s="231">
        <v>984395319</v>
      </c>
      <c r="D92" t="s">
        <v>288</v>
      </c>
      <c r="E92">
        <v>0</v>
      </c>
      <c r="L92" s="227"/>
      <c r="M92" s="227"/>
      <c r="N92" s="227"/>
      <c r="O92" s="227"/>
      <c r="P92" s="227"/>
      <c r="Q92" s="228"/>
      <c r="R92" s="227"/>
      <c r="S92" s="227"/>
      <c r="T92" s="227"/>
    </row>
    <row r="93" spans="1:20" x14ac:dyDescent="0.25">
      <c r="A93" s="230">
        <v>43585.676585648151</v>
      </c>
      <c r="B93">
        <v>2087</v>
      </c>
      <c r="C93" s="231">
        <v>984397893</v>
      </c>
      <c r="D93" t="s">
        <v>288</v>
      </c>
      <c r="E93">
        <v>0</v>
      </c>
      <c r="L93" s="227"/>
      <c r="M93" s="227"/>
      <c r="N93" s="227"/>
      <c r="O93" s="227"/>
      <c r="P93" s="227"/>
      <c r="Q93" s="228"/>
      <c r="R93" s="227"/>
      <c r="S93" s="227"/>
      <c r="T93" s="227"/>
    </row>
    <row r="94" spans="1:20" x14ac:dyDescent="0.25">
      <c r="A94" s="230">
        <v>43585.67769675926</v>
      </c>
      <c r="B94">
        <v>2090</v>
      </c>
      <c r="C94" s="231">
        <v>984401044</v>
      </c>
      <c r="D94" t="s">
        <v>294</v>
      </c>
      <c r="E94">
        <v>1500</v>
      </c>
      <c r="L94" s="227"/>
      <c r="M94" s="227"/>
      <c r="N94" s="227"/>
      <c r="O94" s="227"/>
      <c r="P94" s="227"/>
      <c r="Q94" s="228"/>
      <c r="R94" s="227"/>
      <c r="S94" s="227"/>
      <c r="T94" s="227"/>
    </row>
    <row r="95" spans="1:20" x14ac:dyDescent="0.25">
      <c r="A95" s="230">
        <v>43585.678761574076</v>
      </c>
      <c r="B95">
        <v>2092</v>
      </c>
      <c r="C95" s="231">
        <v>984404011</v>
      </c>
      <c r="D95" t="s">
        <v>295</v>
      </c>
      <c r="E95">
        <v>0</v>
      </c>
      <c r="L95" s="227"/>
      <c r="M95" s="227"/>
      <c r="N95" s="227"/>
      <c r="O95" s="227"/>
      <c r="P95" s="227"/>
      <c r="Q95" s="228"/>
      <c r="R95" s="227"/>
      <c r="S95" s="227"/>
      <c r="T95" s="227"/>
    </row>
    <row r="96" spans="1:20" x14ac:dyDescent="0.25">
      <c r="A96" s="230">
        <v>43585.679884259262</v>
      </c>
      <c r="B96">
        <v>2094</v>
      </c>
      <c r="C96" s="231">
        <v>984407268</v>
      </c>
      <c r="D96" t="s">
        <v>295</v>
      </c>
      <c r="E96">
        <v>0</v>
      </c>
      <c r="L96" s="227"/>
      <c r="M96" s="227"/>
      <c r="N96" s="227"/>
      <c r="O96" s="227"/>
      <c r="P96" s="227"/>
      <c r="Q96" s="228"/>
      <c r="R96" s="227"/>
      <c r="S96" s="227"/>
      <c r="T96" s="227"/>
    </row>
    <row r="97" spans="1:20" x14ac:dyDescent="0.25">
      <c r="A97" s="230">
        <v>43585.685254629629</v>
      </c>
      <c r="B97">
        <v>2100</v>
      </c>
      <c r="C97" s="231">
        <v>984422990</v>
      </c>
      <c r="D97" t="s">
        <v>296</v>
      </c>
      <c r="E97">
        <v>15000</v>
      </c>
      <c r="L97" s="227"/>
      <c r="M97" s="227"/>
      <c r="N97" s="227"/>
      <c r="O97" s="227"/>
      <c r="P97" s="227"/>
      <c r="Q97" s="228"/>
      <c r="R97" s="227"/>
      <c r="S97" s="227"/>
      <c r="T97" s="227"/>
    </row>
    <row r="98" spans="1:20" x14ac:dyDescent="0.25">
      <c r="A98" s="230">
        <v>43585.690821759257</v>
      </c>
      <c r="B98">
        <v>2102</v>
      </c>
      <c r="C98" s="231">
        <v>984438923</v>
      </c>
      <c r="D98" t="s">
        <v>297</v>
      </c>
      <c r="E98">
        <v>5000</v>
      </c>
      <c r="L98" s="227"/>
      <c r="M98" s="227"/>
      <c r="N98" s="227"/>
      <c r="O98" s="227"/>
      <c r="P98" s="227"/>
      <c r="Q98" s="228"/>
      <c r="R98" s="227"/>
      <c r="S98" s="227"/>
      <c r="T98" s="227"/>
    </row>
    <row r="99" spans="1:20" x14ac:dyDescent="0.25">
      <c r="A99" s="230">
        <v>43585.69189814815</v>
      </c>
      <c r="B99">
        <v>2104</v>
      </c>
      <c r="C99" s="231">
        <v>984441982</v>
      </c>
      <c r="D99" t="s">
        <v>298</v>
      </c>
      <c r="E99">
        <v>2500</v>
      </c>
      <c r="L99" s="227"/>
      <c r="M99" s="227"/>
      <c r="N99" s="227"/>
      <c r="O99" s="227"/>
      <c r="P99" s="227"/>
      <c r="Q99" s="228"/>
      <c r="R99" s="227"/>
      <c r="S99" s="227"/>
      <c r="T99" s="227"/>
    </row>
    <row r="100" spans="1:20" x14ac:dyDescent="0.25">
      <c r="A100" s="230">
        <v>43585.692893518521</v>
      </c>
      <c r="B100">
        <v>2106</v>
      </c>
      <c r="C100" s="231">
        <v>984444851</v>
      </c>
      <c r="D100" t="s">
        <v>299</v>
      </c>
      <c r="E100">
        <v>10000</v>
      </c>
    </row>
    <row r="101" spans="1:20" x14ac:dyDescent="0.25">
      <c r="A101" s="230">
        <v>43585.694004629629</v>
      </c>
      <c r="B101">
        <v>2108</v>
      </c>
      <c r="C101" s="231">
        <v>984448087</v>
      </c>
      <c r="D101" t="s">
        <v>300</v>
      </c>
      <c r="E101">
        <v>15000</v>
      </c>
    </row>
    <row r="102" spans="1:20" x14ac:dyDescent="0.25">
      <c r="A102" s="230">
        <v>43585.698703703703</v>
      </c>
      <c r="B102">
        <v>2113</v>
      </c>
      <c r="C102" s="231">
        <v>984461778</v>
      </c>
      <c r="D102" t="s">
        <v>301</v>
      </c>
      <c r="E102">
        <v>20000</v>
      </c>
    </row>
    <row r="103" spans="1:20" x14ac:dyDescent="0.25">
      <c r="A103" s="230">
        <v>43585.699479166666</v>
      </c>
      <c r="B103">
        <v>2114</v>
      </c>
      <c r="C103" s="231">
        <v>984464092</v>
      </c>
      <c r="D103" t="s">
        <v>301</v>
      </c>
      <c r="E103">
        <v>10000</v>
      </c>
    </row>
    <row r="104" spans="1:20" x14ac:dyDescent="0.25">
      <c r="A104" s="230">
        <v>43585.700381944444</v>
      </c>
      <c r="B104">
        <v>2116</v>
      </c>
      <c r="C104" s="231">
        <v>984466814</v>
      </c>
      <c r="D104" t="s">
        <v>302</v>
      </c>
      <c r="E104">
        <v>1000</v>
      </c>
    </row>
    <row r="105" spans="1:20" x14ac:dyDescent="0.25">
      <c r="A105" s="230">
        <v>43585.704745370371</v>
      </c>
      <c r="B105">
        <v>2121</v>
      </c>
      <c r="C105" s="231">
        <v>984479716</v>
      </c>
      <c r="D105" t="s">
        <v>303</v>
      </c>
      <c r="E105">
        <v>20000</v>
      </c>
    </row>
    <row r="106" spans="1:20" x14ac:dyDescent="0.25">
      <c r="A106" s="230">
        <v>43585.706886574073</v>
      </c>
      <c r="B106">
        <v>2123</v>
      </c>
      <c r="C106" s="231">
        <v>984485927</v>
      </c>
      <c r="D106" t="s">
        <v>136</v>
      </c>
      <c r="E106">
        <v>10000</v>
      </c>
    </row>
    <row r="107" spans="1:20" x14ac:dyDescent="0.25">
      <c r="A107" s="230">
        <v>43585.709050925929</v>
      </c>
      <c r="B107">
        <v>2126</v>
      </c>
      <c r="C107" s="231">
        <v>984492319</v>
      </c>
      <c r="D107" t="s">
        <v>304</v>
      </c>
      <c r="E107">
        <v>0</v>
      </c>
    </row>
    <row r="108" spans="1:20" x14ac:dyDescent="0.25">
      <c r="A108" s="230">
        <v>43585.70925925926</v>
      </c>
      <c r="B108">
        <v>2127</v>
      </c>
      <c r="C108" s="231">
        <v>984492896</v>
      </c>
      <c r="D108" t="s">
        <v>304</v>
      </c>
      <c r="E108">
        <v>0</v>
      </c>
    </row>
    <row r="109" spans="1:20" x14ac:dyDescent="0.25">
      <c r="A109" s="230">
        <v>43585.709965277776</v>
      </c>
      <c r="B109">
        <v>2128</v>
      </c>
      <c r="C109" s="231">
        <v>984494914</v>
      </c>
      <c r="D109" t="s">
        <v>304</v>
      </c>
      <c r="E109">
        <v>0</v>
      </c>
    </row>
    <row r="110" spans="1:20" x14ac:dyDescent="0.25">
      <c r="A110" s="230">
        <v>43585.7106712963</v>
      </c>
      <c r="B110">
        <v>2130</v>
      </c>
      <c r="C110" s="231">
        <v>984497151</v>
      </c>
      <c r="D110" t="s">
        <v>306</v>
      </c>
      <c r="E110">
        <v>40000</v>
      </c>
    </row>
    <row r="111" spans="1:20" x14ac:dyDescent="0.25">
      <c r="A111" s="230">
        <v>43585.711597222224</v>
      </c>
      <c r="B111">
        <v>2131</v>
      </c>
      <c r="C111" s="231">
        <v>984499947</v>
      </c>
      <c r="D111" t="s">
        <v>306</v>
      </c>
      <c r="E111">
        <v>25000</v>
      </c>
    </row>
    <row r="112" spans="1:20" x14ac:dyDescent="0.25">
      <c r="A112" s="230">
        <v>43585.71292824074</v>
      </c>
      <c r="B112">
        <v>2134</v>
      </c>
      <c r="C112" s="231">
        <v>984503916</v>
      </c>
      <c r="D112" t="s">
        <v>307</v>
      </c>
      <c r="E112">
        <v>1000</v>
      </c>
    </row>
    <row r="113" spans="1:5" x14ac:dyDescent="0.25">
      <c r="A113" s="230">
        <v>43585.713865740741</v>
      </c>
      <c r="B113">
        <v>2136</v>
      </c>
      <c r="C113" s="231">
        <v>984506733</v>
      </c>
      <c r="D113" t="s">
        <v>304</v>
      </c>
      <c r="E113">
        <v>0</v>
      </c>
    </row>
    <row r="114" spans="1:5" x14ac:dyDescent="0.25">
      <c r="A114" s="230">
        <v>43585.71471064815</v>
      </c>
      <c r="B114">
        <v>2138</v>
      </c>
      <c r="C114" s="231">
        <v>984509146</v>
      </c>
      <c r="D114" t="s">
        <v>308</v>
      </c>
      <c r="E114">
        <v>20000</v>
      </c>
    </row>
    <row r="115" spans="1:5" x14ac:dyDescent="0.25">
      <c r="A115" s="230">
        <v>43585.715416666666</v>
      </c>
      <c r="B115">
        <v>2139</v>
      </c>
      <c r="C115" s="231">
        <v>984511337</v>
      </c>
      <c r="D115" t="s">
        <v>308</v>
      </c>
      <c r="E115">
        <v>7000</v>
      </c>
    </row>
    <row r="116" spans="1:5" x14ac:dyDescent="0.25">
      <c r="A116" s="230">
        <v>43585.717847222222</v>
      </c>
      <c r="B116">
        <v>2142</v>
      </c>
      <c r="C116" s="231">
        <v>984518135</v>
      </c>
      <c r="D116" t="s">
        <v>309</v>
      </c>
      <c r="E116">
        <v>2000</v>
      </c>
    </row>
    <row r="117" spans="1:5" x14ac:dyDescent="0.25">
      <c r="A117" s="230">
        <v>43585.7187037037</v>
      </c>
      <c r="B117">
        <v>2144</v>
      </c>
      <c r="C117" s="231">
        <v>984520584</v>
      </c>
      <c r="D117" t="s">
        <v>310</v>
      </c>
      <c r="E117">
        <v>10000</v>
      </c>
    </row>
    <row r="118" spans="1:5" x14ac:dyDescent="0.25">
      <c r="A118" s="230">
        <v>43585.719641203701</v>
      </c>
      <c r="B118">
        <v>2146</v>
      </c>
      <c r="C118" s="231">
        <v>984523414</v>
      </c>
      <c r="D118" t="s">
        <v>311</v>
      </c>
      <c r="E118">
        <v>0</v>
      </c>
    </row>
    <row r="119" spans="1:5" x14ac:dyDescent="0.25">
      <c r="A119" s="230">
        <v>43585.721180555556</v>
      </c>
      <c r="B119">
        <v>2148</v>
      </c>
      <c r="C119" s="231">
        <v>984527857</v>
      </c>
      <c r="D119" t="s">
        <v>312</v>
      </c>
      <c r="E119">
        <v>0</v>
      </c>
    </row>
    <row r="120" spans="1:5" x14ac:dyDescent="0.25">
      <c r="A120" s="230">
        <v>43585.724050925928</v>
      </c>
      <c r="B120">
        <v>2150</v>
      </c>
      <c r="C120" s="231">
        <v>984536077</v>
      </c>
      <c r="D120" t="s">
        <v>313</v>
      </c>
      <c r="E120">
        <v>0</v>
      </c>
    </row>
    <row r="121" spans="1:5" x14ac:dyDescent="0.25">
      <c r="A121" s="230">
        <v>43585.725868055553</v>
      </c>
      <c r="B121">
        <v>2152</v>
      </c>
      <c r="C121" s="231">
        <v>984541106</v>
      </c>
      <c r="D121" t="s">
        <v>314</v>
      </c>
      <c r="E121">
        <v>20000</v>
      </c>
    </row>
    <row r="122" spans="1:5" x14ac:dyDescent="0.25">
      <c r="A122" s="230">
        <v>43585.726863425924</v>
      </c>
      <c r="B122">
        <v>2154</v>
      </c>
      <c r="C122" s="231">
        <v>984544469</v>
      </c>
      <c r="D122" t="s">
        <v>315</v>
      </c>
      <c r="E122">
        <v>5000</v>
      </c>
    </row>
    <row r="123" spans="1:5" x14ac:dyDescent="0.25">
      <c r="A123" s="230">
        <v>43585.728726851848</v>
      </c>
      <c r="B123">
        <v>2157</v>
      </c>
      <c r="C123" s="231">
        <v>984550085</v>
      </c>
      <c r="D123" t="s">
        <v>316</v>
      </c>
      <c r="E123">
        <v>0</v>
      </c>
    </row>
    <row r="124" spans="1:5" x14ac:dyDescent="0.25">
      <c r="A124" s="230">
        <v>43585.73773148148</v>
      </c>
      <c r="B124">
        <v>2164</v>
      </c>
      <c r="C124" s="231">
        <v>984576640</v>
      </c>
      <c r="D124" t="s">
        <v>318</v>
      </c>
      <c r="E124">
        <v>5000</v>
      </c>
    </row>
    <row r="125" spans="1:5" x14ac:dyDescent="0.25">
      <c r="A125" s="230">
        <v>43585.738749999997</v>
      </c>
      <c r="B125">
        <v>2166</v>
      </c>
      <c r="C125" s="231">
        <v>984579708</v>
      </c>
      <c r="D125" t="s">
        <v>319</v>
      </c>
      <c r="E125">
        <v>6000</v>
      </c>
    </row>
    <row r="126" spans="1:5" x14ac:dyDescent="0.25">
      <c r="A126" s="230">
        <v>43585.739560185182</v>
      </c>
      <c r="B126">
        <v>2168</v>
      </c>
      <c r="C126" s="231">
        <v>984582088</v>
      </c>
      <c r="D126" t="s">
        <v>320</v>
      </c>
      <c r="E126">
        <v>20000</v>
      </c>
    </row>
    <row r="127" spans="1:5" x14ac:dyDescent="0.25">
      <c r="A127" s="230">
        <v>43585.740393518521</v>
      </c>
      <c r="B127">
        <v>2169</v>
      </c>
      <c r="C127" s="231">
        <v>984584503</v>
      </c>
      <c r="D127" t="s">
        <v>320</v>
      </c>
      <c r="E127">
        <v>3000</v>
      </c>
    </row>
    <row r="128" spans="1:5" x14ac:dyDescent="0.25">
      <c r="A128" s="230">
        <v>43585.741273148145</v>
      </c>
      <c r="B128">
        <v>2171</v>
      </c>
      <c r="C128" s="231">
        <v>984587091</v>
      </c>
      <c r="D128" t="s">
        <v>321</v>
      </c>
      <c r="E128">
        <v>8000</v>
      </c>
    </row>
    <row r="129" spans="1:5" x14ac:dyDescent="0.25">
      <c r="A129" s="230">
        <v>43585.742094907408</v>
      </c>
      <c r="B129">
        <v>2173</v>
      </c>
      <c r="C129" s="231">
        <v>984589501</v>
      </c>
      <c r="D129" t="s">
        <v>322</v>
      </c>
      <c r="E129">
        <v>1000</v>
      </c>
    </row>
    <row r="130" spans="1:5" x14ac:dyDescent="0.25">
      <c r="A130" s="230">
        <v>43585.744814814818</v>
      </c>
      <c r="B130">
        <v>2177</v>
      </c>
      <c r="C130" s="231">
        <v>984597550</v>
      </c>
      <c r="D130" t="s">
        <v>323</v>
      </c>
      <c r="E130">
        <v>6000</v>
      </c>
    </row>
    <row r="131" spans="1:5" x14ac:dyDescent="0.25">
      <c r="A131" s="230">
        <v>43585.746307870373</v>
      </c>
      <c r="B131">
        <v>2179</v>
      </c>
      <c r="C131" s="231">
        <v>984601810</v>
      </c>
      <c r="D131" t="s">
        <v>323</v>
      </c>
      <c r="E131">
        <v>3000</v>
      </c>
    </row>
    <row r="132" spans="1:5" x14ac:dyDescent="0.25">
      <c r="A132" s="230">
        <v>43585.748136574075</v>
      </c>
      <c r="B132">
        <v>2181</v>
      </c>
      <c r="C132" s="231">
        <v>984607152</v>
      </c>
      <c r="D132" t="s">
        <v>324</v>
      </c>
      <c r="E132">
        <v>2000</v>
      </c>
    </row>
    <row r="133" spans="1:5" x14ac:dyDescent="0.25">
      <c r="A133" s="230">
        <v>43585.749097222222</v>
      </c>
      <c r="B133">
        <v>2183</v>
      </c>
      <c r="C133" s="231">
        <v>984609996</v>
      </c>
      <c r="D133" t="s">
        <v>325</v>
      </c>
      <c r="E133">
        <v>1000</v>
      </c>
    </row>
    <row r="134" spans="1:5" x14ac:dyDescent="0.25">
      <c r="A134" s="230">
        <v>43585.751168981478</v>
      </c>
      <c r="B134">
        <v>2188</v>
      </c>
      <c r="C134" s="231">
        <v>984616030</v>
      </c>
      <c r="D134" t="s">
        <v>326</v>
      </c>
      <c r="E134">
        <v>0</v>
      </c>
    </row>
    <row r="135" spans="1:5" x14ac:dyDescent="0.25">
      <c r="A135" s="230">
        <v>43585.752210648148</v>
      </c>
      <c r="B135">
        <v>2190</v>
      </c>
      <c r="C135" s="231">
        <v>984619202</v>
      </c>
      <c r="D135" t="s">
        <v>327</v>
      </c>
      <c r="E135">
        <v>3500</v>
      </c>
    </row>
    <row r="136" spans="1:5" x14ac:dyDescent="0.25">
      <c r="A136" s="230">
        <v>43585.753148148149</v>
      </c>
      <c r="B136">
        <v>2192</v>
      </c>
      <c r="C136" s="231">
        <v>984621966</v>
      </c>
      <c r="D136" t="s">
        <v>328</v>
      </c>
      <c r="E136">
        <v>20000</v>
      </c>
    </row>
    <row r="137" spans="1:5" x14ac:dyDescent="0.25">
      <c r="A137" s="230">
        <v>43585.753888888888</v>
      </c>
      <c r="B137">
        <v>2193</v>
      </c>
      <c r="C137" s="231">
        <v>984624120</v>
      </c>
      <c r="D137" t="s">
        <v>328</v>
      </c>
      <c r="E137">
        <v>10000</v>
      </c>
    </row>
    <row r="138" spans="1:5" x14ac:dyDescent="0.25">
      <c r="A138" s="230">
        <v>43585.755266203705</v>
      </c>
      <c r="B138">
        <v>2195</v>
      </c>
      <c r="C138" s="231">
        <v>984628129</v>
      </c>
      <c r="D138" t="s">
        <v>329</v>
      </c>
      <c r="E138">
        <v>5000</v>
      </c>
    </row>
    <row r="139" spans="1:5" x14ac:dyDescent="0.25">
      <c r="A139" s="230">
        <v>43585.759027777778</v>
      </c>
      <c r="B139">
        <v>2197</v>
      </c>
      <c r="C139" s="231">
        <v>984638693</v>
      </c>
      <c r="D139" t="s">
        <v>330</v>
      </c>
      <c r="E139">
        <v>40000</v>
      </c>
    </row>
    <row r="140" spans="1:5" x14ac:dyDescent="0.25">
      <c r="A140" s="230">
        <v>43585.759664351855</v>
      </c>
      <c r="B140">
        <v>2198</v>
      </c>
      <c r="C140" s="231">
        <v>984640397</v>
      </c>
      <c r="D140" t="s">
        <v>330</v>
      </c>
      <c r="E140">
        <v>40000</v>
      </c>
    </row>
    <row r="141" spans="1:5" x14ac:dyDescent="0.25">
      <c r="A141" s="230">
        <v>43585.760439814818</v>
      </c>
      <c r="B141">
        <v>2199</v>
      </c>
      <c r="C141" s="231">
        <v>984642558</v>
      </c>
      <c r="D141" t="s">
        <v>330</v>
      </c>
      <c r="E141">
        <v>30000</v>
      </c>
    </row>
    <row r="142" spans="1:5" x14ac:dyDescent="0.25">
      <c r="A142" s="230">
        <v>43585.762233796297</v>
      </c>
      <c r="B142">
        <v>2201</v>
      </c>
      <c r="C142" s="231">
        <v>984647595</v>
      </c>
      <c r="D142" t="s">
        <v>331</v>
      </c>
      <c r="E142">
        <v>5000</v>
      </c>
    </row>
    <row r="143" spans="1:5" x14ac:dyDescent="0.25">
      <c r="A143" s="230">
        <v>43585.763622685183</v>
      </c>
      <c r="B143">
        <v>2203</v>
      </c>
      <c r="C143" s="231">
        <v>984651403</v>
      </c>
      <c r="D143" t="s">
        <v>332</v>
      </c>
      <c r="E143">
        <v>5000</v>
      </c>
    </row>
    <row r="144" spans="1:5" x14ac:dyDescent="0.25">
      <c r="A144" s="230">
        <v>43585.764525462961</v>
      </c>
      <c r="B144">
        <v>2205</v>
      </c>
      <c r="C144" s="231">
        <v>984653943</v>
      </c>
      <c r="D144" t="s">
        <v>333</v>
      </c>
      <c r="E144">
        <v>20000</v>
      </c>
    </row>
    <row r="145" spans="1:5" x14ac:dyDescent="0.25">
      <c r="A145" s="230">
        <v>43585.765486111108</v>
      </c>
      <c r="B145">
        <v>2207</v>
      </c>
      <c r="C145" s="231">
        <v>984656600</v>
      </c>
      <c r="D145" t="s">
        <v>326</v>
      </c>
      <c r="E145">
        <v>0</v>
      </c>
    </row>
    <row r="146" spans="1:5" x14ac:dyDescent="0.25">
      <c r="A146" s="230">
        <v>43585.768506944441</v>
      </c>
      <c r="B146">
        <v>2211</v>
      </c>
      <c r="C146" s="231">
        <v>984665269</v>
      </c>
      <c r="D146" t="s">
        <v>326</v>
      </c>
      <c r="E146">
        <v>2000</v>
      </c>
    </row>
    <row r="147" spans="1:5" x14ac:dyDescent="0.25">
      <c r="A147" s="230">
        <v>43585.770358796297</v>
      </c>
      <c r="B147">
        <v>2213</v>
      </c>
      <c r="C147" s="231">
        <v>984670374</v>
      </c>
      <c r="D147" t="s">
        <v>334</v>
      </c>
      <c r="E147">
        <v>5000</v>
      </c>
    </row>
    <row r="148" spans="1:5" x14ac:dyDescent="0.25">
      <c r="A148" s="230">
        <v>43585.771261574075</v>
      </c>
      <c r="B148">
        <v>2215</v>
      </c>
      <c r="C148" s="231">
        <v>984672870</v>
      </c>
      <c r="D148" t="s">
        <v>335</v>
      </c>
      <c r="E148">
        <v>2000</v>
      </c>
    </row>
    <row r="149" spans="1:5" x14ac:dyDescent="0.25">
      <c r="A149" s="230">
        <v>43585.775891203702</v>
      </c>
      <c r="B149">
        <v>2217</v>
      </c>
      <c r="C149" s="231">
        <v>984685521</v>
      </c>
      <c r="D149" t="s">
        <v>336</v>
      </c>
      <c r="E149">
        <v>5000</v>
      </c>
    </row>
    <row r="150" spans="1:5" x14ac:dyDescent="0.25">
      <c r="A150" s="230">
        <v>43585.776932870373</v>
      </c>
      <c r="B150">
        <v>2219</v>
      </c>
      <c r="C150" s="231">
        <v>984688242</v>
      </c>
      <c r="D150" t="s">
        <v>337</v>
      </c>
      <c r="E150">
        <v>7000</v>
      </c>
    </row>
    <row r="151" spans="1:5" x14ac:dyDescent="0.25">
      <c r="A151" s="230">
        <v>43585.777754629627</v>
      </c>
      <c r="B151">
        <v>2221</v>
      </c>
      <c r="C151" s="231">
        <v>984690424</v>
      </c>
      <c r="D151" t="s">
        <v>338</v>
      </c>
      <c r="E151">
        <v>10000</v>
      </c>
    </row>
    <row r="152" spans="1:5" x14ac:dyDescent="0.25">
      <c r="A152" s="230">
        <v>43585.778668981482</v>
      </c>
      <c r="B152">
        <v>2223</v>
      </c>
      <c r="C152" s="231">
        <v>984692889</v>
      </c>
      <c r="D152" t="s">
        <v>339</v>
      </c>
      <c r="E152">
        <v>500</v>
      </c>
    </row>
    <row r="153" spans="1:5" x14ac:dyDescent="0.25">
      <c r="A153" s="230">
        <v>43585.780428240738</v>
      </c>
      <c r="B153">
        <v>2226</v>
      </c>
      <c r="C153" s="231">
        <v>984697574</v>
      </c>
      <c r="D153" t="s">
        <v>340</v>
      </c>
      <c r="E153">
        <v>20000</v>
      </c>
    </row>
    <row r="154" spans="1:5" x14ac:dyDescent="0.25">
      <c r="A154" s="230">
        <v>43585.781574074077</v>
      </c>
      <c r="B154">
        <v>2228</v>
      </c>
      <c r="C154" s="231">
        <v>984700676</v>
      </c>
      <c r="D154" t="s">
        <v>341</v>
      </c>
      <c r="E154">
        <v>20000</v>
      </c>
    </row>
    <row r="155" spans="1:5" x14ac:dyDescent="0.25">
      <c r="A155" s="230">
        <v>43585.782256944447</v>
      </c>
      <c r="B155">
        <v>2229</v>
      </c>
      <c r="C155" s="231">
        <v>984702501</v>
      </c>
      <c r="D155" t="s">
        <v>341</v>
      </c>
      <c r="E155">
        <v>20000</v>
      </c>
    </row>
    <row r="156" spans="1:5" x14ac:dyDescent="0.25">
      <c r="A156" s="230">
        <v>43585.783055555556</v>
      </c>
      <c r="B156">
        <v>2230</v>
      </c>
      <c r="C156" s="231">
        <v>984704640</v>
      </c>
      <c r="D156" t="s">
        <v>341</v>
      </c>
      <c r="E156">
        <v>9000</v>
      </c>
    </row>
    <row r="157" spans="1:5" x14ac:dyDescent="0.25">
      <c r="A157" s="230">
        <v>43585.783993055556</v>
      </c>
      <c r="B157">
        <v>2232</v>
      </c>
      <c r="C157" s="231">
        <v>984707167</v>
      </c>
      <c r="D157" t="s">
        <v>342</v>
      </c>
      <c r="E157">
        <v>20000</v>
      </c>
    </row>
    <row r="158" spans="1:5" x14ac:dyDescent="0.25">
      <c r="A158" s="230">
        <v>43585.784837962965</v>
      </c>
      <c r="B158">
        <v>2233</v>
      </c>
      <c r="C158" s="231">
        <v>984709424</v>
      </c>
      <c r="D158" t="s">
        <v>342</v>
      </c>
      <c r="E158">
        <v>20000</v>
      </c>
    </row>
    <row r="159" spans="1:5" x14ac:dyDescent="0.25">
      <c r="A159" s="230">
        <v>43585.785740740743</v>
      </c>
      <c r="B159">
        <v>2234</v>
      </c>
      <c r="C159" s="231">
        <v>984711711</v>
      </c>
      <c r="D159" t="s">
        <v>342</v>
      </c>
      <c r="E159">
        <v>19000</v>
      </c>
    </row>
    <row r="160" spans="1:5" x14ac:dyDescent="0.25">
      <c r="A160" s="230">
        <v>43585.786678240744</v>
      </c>
      <c r="B160">
        <v>2236</v>
      </c>
      <c r="C160" s="231">
        <v>984714240</v>
      </c>
      <c r="D160" t="s">
        <v>343</v>
      </c>
      <c r="E160">
        <v>500</v>
      </c>
    </row>
    <row r="161" spans="1:5" x14ac:dyDescent="0.25">
      <c r="A161" s="230">
        <v>43585.788078703707</v>
      </c>
      <c r="B161">
        <v>2238</v>
      </c>
      <c r="C161" s="231">
        <v>984717883</v>
      </c>
      <c r="D161" t="s">
        <v>344</v>
      </c>
      <c r="E161">
        <v>2500</v>
      </c>
    </row>
    <row r="162" spans="1:5" x14ac:dyDescent="0.25">
      <c r="A162" s="230">
        <v>43585.788877314815</v>
      </c>
      <c r="B162">
        <v>2240</v>
      </c>
      <c r="C162" s="231">
        <v>984719964</v>
      </c>
      <c r="D162" t="s">
        <v>345</v>
      </c>
      <c r="E162">
        <v>20000</v>
      </c>
    </row>
    <row r="163" spans="1:5" x14ac:dyDescent="0.25">
      <c r="A163" s="230">
        <v>43585.792685185188</v>
      </c>
      <c r="B163">
        <v>2242</v>
      </c>
      <c r="C163" s="231">
        <v>984729800</v>
      </c>
      <c r="D163" t="s">
        <v>346</v>
      </c>
      <c r="E163">
        <v>14000</v>
      </c>
    </row>
    <row r="164" spans="1:5" x14ac:dyDescent="0.25">
      <c r="A164" s="230">
        <v>43585.794733796298</v>
      </c>
      <c r="B164">
        <v>2245</v>
      </c>
      <c r="C164" s="231">
        <v>984735331</v>
      </c>
      <c r="D164" t="s">
        <v>347</v>
      </c>
      <c r="E164">
        <v>0</v>
      </c>
    </row>
    <row r="165" spans="1:5" x14ac:dyDescent="0.25">
      <c r="A165" s="230">
        <v>43585.795486111114</v>
      </c>
      <c r="B165">
        <v>2247</v>
      </c>
      <c r="C165" s="231">
        <v>984737341</v>
      </c>
      <c r="D165" t="s">
        <v>348</v>
      </c>
      <c r="E165">
        <v>2000</v>
      </c>
    </row>
    <row r="166" spans="1:5" x14ac:dyDescent="0.25">
      <c r="A166" s="230">
        <v>43585.796469907407</v>
      </c>
      <c r="B166">
        <v>2249</v>
      </c>
      <c r="C166" s="231">
        <v>984739915</v>
      </c>
      <c r="D166" t="s">
        <v>349</v>
      </c>
      <c r="E166">
        <v>3000</v>
      </c>
    </row>
    <row r="167" spans="1:5" x14ac:dyDescent="0.25">
      <c r="A167" s="230">
        <v>43585.798333333332</v>
      </c>
      <c r="B167">
        <v>2252</v>
      </c>
      <c r="C167" s="231">
        <v>984744666</v>
      </c>
      <c r="D167" t="s">
        <v>350</v>
      </c>
      <c r="E167">
        <v>16500</v>
      </c>
    </row>
    <row r="168" spans="1:5" x14ac:dyDescent="0.25">
      <c r="A168" s="230">
        <v>43585.799293981479</v>
      </c>
      <c r="B168">
        <v>2254</v>
      </c>
      <c r="C168" s="231">
        <v>984747063</v>
      </c>
      <c r="D168" t="s">
        <v>351</v>
      </c>
      <c r="E168">
        <v>5000</v>
      </c>
    </row>
    <row r="169" spans="1:5" x14ac:dyDescent="0.25">
      <c r="A169" s="230">
        <v>43585.800150462965</v>
      </c>
      <c r="B169">
        <v>2256</v>
      </c>
      <c r="C169" s="231">
        <v>984749305</v>
      </c>
      <c r="D169" t="s">
        <v>352</v>
      </c>
      <c r="E169">
        <v>15000</v>
      </c>
    </row>
    <row r="170" spans="1:5" x14ac:dyDescent="0.25">
      <c r="A170" s="230">
        <v>43585.800787037035</v>
      </c>
      <c r="B170">
        <v>2257</v>
      </c>
      <c r="C170" s="231">
        <v>984750986</v>
      </c>
      <c r="D170" t="s">
        <v>352</v>
      </c>
      <c r="E170">
        <v>5000</v>
      </c>
    </row>
    <row r="171" spans="1:5" x14ac:dyDescent="0.25">
      <c r="A171" s="230">
        <v>43585.801666666666</v>
      </c>
      <c r="B171">
        <v>2259</v>
      </c>
      <c r="C171" s="231">
        <v>984753339</v>
      </c>
      <c r="D171" t="s">
        <v>353</v>
      </c>
      <c r="E171">
        <v>5000</v>
      </c>
    </row>
    <row r="172" spans="1:5" x14ac:dyDescent="0.25">
      <c r="A172" s="230">
        <v>43585.80332175926</v>
      </c>
      <c r="B172">
        <v>2262</v>
      </c>
      <c r="C172" s="231">
        <v>984757603</v>
      </c>
      <c r="D172" t="s">
        <v>354</v>
      </c>
      <c r="E172">
        <v>10000</v>
      </c>
    </row>
    <row r="173" spans="1:5" x14ac:dyDescent="0.25">
      <c r="A173" s="230">
        <v>43585.804236111115</v>
      </c>
      <c r="B173">
        <v>2264</v>
      </c>
      <c r="C173" s="231">
        <v>984759900</v>
      </c>
      <c r="D173" t="s">
        <v>355</v>
      </c>
      <c r="E173">
        <v>20000</v>
      </c>
    </row>
    <row r="174" spans="1:5" x14ac:dyDescent="0.25">
      <c r="A174" s="230">
        <v>43585.805127314816</v>
      </c>
      <c r="B174">
        <v>2266</v>
      </c>
      <c r="C174" s="231">
        <v>984762239</v>
      </c>
      <c r="D174" t="s">
        <v>356</v>
      </c>
      <c r="E174">
        <v>10000</v>
      </c>
    </row>
    <row r="175" spans="1:5" x14ac:dyDescent="0.25">
      <c r="A175" s="230">
        <v>43585.80605324074</v>
      </c>
      <c r="B175">
        <v>2268</v>
      </c>
      <c r="C175" s="231">
        <v>984764717</v>
      </c>
      <c r="D175" t="s">
        <v>357</v>
      </c>
      <c r="E175">
        <v>5000</v>
      </c>
    </row>
    <row r="176" spans="1:5" x14ac:dyDescent="0.25">
      <c r="A176" s="230">
        <v>43585.807951388888</v>
      </c>
      <c r="B176">
        <v>2271</v>
      </c>
      <c r="C176" s="231">
        <v>984769640</v>
      </c>
      <c r="D176" t="s">
        <v>358</v>
      </c>
      <c r="E176">
        <v>5000</v>
      </c>
    </row>
    <row r="177" spans="1:5" x14ac:dyDescent="0.25">
      <c r="A177" s="230">
        <v>43585.809016203704</v>
      </c>
      <c r="B177">
        <v>2273</v>
      </c>
      <c r="C177" s="231">
        <v>984772625</v>
      </c>
      <c r="D177" t="s">
        <v>358</v>
      </c>
      <c r="E177">
        <v>2000</v>
      </c>
    </row>
    <row r="178" spans="1:5" x14ac:dyDescent="0.25">
      <c r="A178" s="230">
        <v>43585.809930555559</v>
      </c>
      <c r="B178">
        <v>2275</v>
      </c>
      <c r="C178" s="231">
        <v>984775269</v>
      </c>
      <c r="D178" t="s">
        <v>194</v>
      </c>
      <c r="E178">
        <v>5000</v>
      </c>
    </row>
    <row r="179" spans="1:5" x14ac:dyDescent="0.25">
      <c r="A179" s="230">
        <v>43585.81082175926</v>
      </c>
      <c r="B179">
        <v>2277</v>
      </c>
      <c r="C179" s="231">
        <v>984778102</v>
      </c>
      <c r="D179" t="s">
        <v>359</v>
      </c>
      <c r="E179">
        <v>20000</v>
      </c>
    </row>
    <row r="180" spans="1:5" x14ac:dyDescent="0.25">
      <c r="A180" s="230">
        <v>43585.811493055553</v>
      </c>
      <c r="B180">
        <v>2278</v>
      </c>
      <c r="C180" s="231">
        <v>984780248</v>
      </c>
      <c r="D180" t="s">
        <v>359</v>
      </c>
      <c r="E180">
        <v>20000</v>
      </c>
    </row>
    <row r="181" spans="1:5" x14ac:dyDescent="0.25">
      <c r="A181" s="230">
        <v>43585.813645833332</v>
      </c>
      <c r="B181">
        <v>2281</v>
      </c>
      <c r="C181" s="231">
        <v>984786670</v>
      </c>
      <c r="D181" t="s">
        <v>360</v>
      </c>
      <c r="E181">
        <v>3000</v>
      </c>
    </row>
    <row r="182" spans="1:5" x14ac:dyDescent="0.25">
      <c r="A182" s="230">
        <v>43585.814780092594</v>
      </c>
      <c r="B182">
        <v>2283</v>
      </c>
      <c r="C182" s="231">
        <v>984789903</v>
      </c>
      <c r="D182" t="s">
        <v>361</v>
      </c>
      <c r="E182">
        <v>8000</v>
      </c>
    </row>
    <row r="183" spans="1:5" x14ac:dyDescent="0.25">
      <c r="A183" s="230">
        <v>43585.815925925926</v>
      </c>
      <c r="B183">
        <v>2285</v>
      </c>
      <c r="C183" s="231">
        <v>984793086</v>
      </c>
      <c r="D183" t="s">
        <v>362</v>
      </c>
      <c r="E183">
        <v>10000</v>
      </c>
    </row>
    <row r="184" spans="1:5" x14ac:dyDescent="0.25">
      <c r="A184" s="230">
        <v>43585.816828703704</v>
      </c>
      <c r="B184">
        <v>2287</v>
      </c>
      <c r="C184" s="231">
        <v>984795796</v>
      </c>
      <c r="D184" t="s">
        <v>363</v>
      </c>
      <c r="E184">
        <v>20000</v>
      </c>
    </row>
    <row r="185" spans="1:5" x14ac:dyDescent="0.25">
      <c r="A185" s="230">
        <v>43585.817615740743</v>
      </c>
      <c r="B185">
        <v>2288</v>
      </c>
      <c r="C185" s="231">
        <v>984797951</v>
      </c>
      <c r="D185" t="s">
        <v>363</v>
      </c>
      <c r="E185">
        <v>20000</v>
      </c>
    </row>
    <row r="186" spans="1:5" x14ac:dyDescent="0.25">
      <c r="A186" s="230">
        <v>43585.818344907406</v>
      </c>
      <c r="B186">
        <v>2289</v>
      </c>
      <c r="C186" s="231">
        <v>984799954</v>
      </c>
      <c r="D186" t="s">
        <v>363</v>
      </c>
      <c r="E186">
        <v>20000</v>
      </c>
    </row>
    <row r="187" spans="1:5" x14ac:dyDescent="0.25">
      <c r="A187" s="230">
        <v>43585.819108796299</v>
      </c>
      <c r="B187">
        <v>2290</v>
      </c>
      <c r="C187" s="231">
        <v>984801944</v>
      </c>
      <c r="D187" t="s">
        <v>363</v>
      </c>
      <c r="E187">
        <v>20000</v>
      </c>
    </row>
    <row r="188" spans="1:5" x14ac:dyDescent="0.25">
      <c r="A188" s="230">
        <v>43585.819884259261</v>
      </c>
      <c r="B188">
        <v>2291</v>
      </c>
      <c r="C188" s="231">
        <v>984803959</v>
      </c>
      <c r="D188" t="s">
        <v>363</v>
      </c>
      <c r="E188">
        <v>20000</v>
      </c>
    </row>
    <row r="189" spans="1:5" x14ac:dyDescent="0.25">
      <c r="A189" s="230">
        <v>43585.820925925924</v>
      </c>
      <c r="B189">
        <v>2293</v>
      </c>
      <c r="C189" s="231">
        <v>984806639</v>
      </c>
      <c r="D189" t="s">
        <v>364</v>
      </c>
      <c r="E189">
        <v>3000</v>
      </c>
    </row>
    <row r="190" spans="1:5" x14ac:dyDescent="0.25">
      <c r="A190" s="230">
        <v>43585.822060185186</v>
      </c>
      <c r="B190">
        <v>2295</v>
      </c>
      <c r="C190" s="231">
        <v>984809528</v>
      </c>
      <c r="D190" t="s">
        <v>365</v>
      </c>
      <c r="E190">
        <v>40000</v>
      </c>
    </row>
    <row r="191" spans="1:5" x14ac:dyDescent="0.25">
      <c r="A191" s="230">
        <v>43585.822789351849</v>
      </c>
      <c r="B191">
        <v>2296</v>
      </c>
      <c r="C191" s="231">
        <v>984811304</v>
      </c>
      <c r="D191" t="s">
        <v>365</v>
      </c>
      <c r="E191">
        <v>40000</v>
      </c>
    </row>
    <row r="192" spans="1:5" x14ac:dyDescent="0.25">
      <c r="A192" s="230">
        <v>43585.823564814818</v>
      </c>
      <c r="B192">
        <v>2297</v>
      </c>
      <c r="C192" s="231">
        <v>984813205</v>
      </c>
      <c r="D192" t="s">
        <v>365</v>
      </c>
      <c r="E192">
        <v>40000</v>
      </c>
    </row>
    <row r="193" spans="1:5" x14ac:dyDescent="0.25">
      <c r="A193" s="230">
        <v>43585.824444444443</v>
      </c>
      <c r="B193">
        <v>2298</v>
      </c>
      <c r="C193" s="231">
        <v>984815215</v>
      </c>
      <c r="D193" t="s">
        <v>365</v>
      </c>
      <c r="E193">
        <v>30000</v>
      </c>
    </row>
    <row r="194" spans="1:5" x14ac:dyDescent="0.25">
      <c r="A194" s="230">
        <v>43585.825462962966</v>
      </c>
      <c r="B194">
        <v>2300</v>
      </c>
      <c r="C194" s="231">
        <v>984817513</v>
      </c>
      <c r="D194" t="s">
        <v>233</v>
      </c>
      <c r="E194">
        <v>5000</v>
      </c>
    </row>
    <row r="195" spans="1:5" x14ac:dyDescent="0.25">
      <c r="A195" s="230">
        <v>43585.826331018521</v>
      </c>
      <c r="B195">
        <v>2302</v>
      </c>
      <c r="C195" s="231">
        <v>984819605</v>
      </c>
      <c r="D195" t="s">
        <v>366</v>
      </c>
      <c r="E195">
        <v>20000</v>
      </c>
    </row>
    <row r="196" spans="1:5" x14ac:dyDescent="0.25">
      <c r="A196" s="230">
        <v>43585.827164351853</v>
      </c>
      <c r="B196">
        <v>2303</v>
      </c>
      <c r="C196" s="231">
        <v>984821497</v>
      </c>
      <c r="D196" t="s">
        <v>366</v>
      </c>
      <c r="E196">
        <v>2000</v>
      </c>
    </row>
    <row r="197" spans="1:5" x14ac:dyDescent="0.25">
      <c r="A197" s="230">
        <v>43585.828182870369</v>
      </c>
      <c r="B197">
        <v>2305</v>
      </c>
      <c r="C197" s="231">
        <v>984823912</v>
      </c>
      <c r="D197" t="s">
        <v>367</v>
      </c>
      <c r="E197">
        <v>5000</v>
      </c>
    </row>
    <row r="198" spans="1:5" x14ac:dyDescent="0.25">
      <c r="A198" s="230">
        <v>43585.829027777778</v>
      </c>
      <c r="B198">
        <v>2307</v>
      </c>
      <c r="C198" s="231">
        <v>984825815</v>
      </c>
      <c r="D198" t="s">
        <v>368</v>
      </c>
      <c r="E198">
        <v>20000</v>
      </c>
    </row>
    <row r="199" spans="1:5" x14ac:dyDescent="0.25">
      <c r="A199" s="230">
        <v>43585.830358796295</v>
      </c>
      <c r="B199">
        <v>2310</v>
      </c>
      <c r="C199" s="231">
        <v>984828756</v>
      </c>
      <c r="D199" t="s">
        <v>369</v>
      </c>
      <c r="E199">
        <v>20000</v>
      </c>
    </row>
    <row r="200" spans="1:5" x14ac:dyDescent="0.25">
      <c r="A200" s="230">
        <v>43585.831018518518</v>
      </c>
      <c r="B200">
        <v>2311</v>
      </c>
      <c r="C200" s="231">
        <v>984830188</v>
      </c>
      <c r="D200" t="s">
        <v>369</v>
      </c>
      <c r="E200">
        <v>20000</v>
      </c>
    </row>
    <row r="201" spans="1:5" x14ac:dyDescent="0.25">
      <c r="A201" s="230">
        <v>43585.831678240742</v>
      </c>
      <c r="B201">
        <v>2312</v>
      </c>
      <c r="C201" s="231">
        <v>984831653</v>
      </c>
      <c r="D201" t="s">
        <v>369</v>
      </c>
      <c r="E201">
        <v>20000</v>
      </c>
    </row>
    <row r="202" spans="1:5" x14ac:dyDescent="0.25">
      <c r="A202" s="230">
        <v>43585.833472222221</v>
      </c>
      <c r="B202">
        <v>2315</v>
      </c>
      <c r="C202" s="231">
        <v>984835464</v>
      </c>
      <c r="D202" t="s">
        <v>369</v>
      </c>
      <c r="E202">
        <v>20000</v>
      </c>
    </row>
    <row r="203" spans="1:5" x14ac:dyDescent="0.25">
      <c r="A203" s="230">
        <v>43585.834201388891</v>
      </c>
      <c r="B203">
        <v>2316</v>
      </c>
      <c r="C203" s="231">
        <v>984837012</v>
      </c>
      <c r="D203" t="s">
        <v>369</v>
      </c>
      <c r="E203">
        <v>2000</v>
      </c>
    </row>
    <row r="204" spans="1:5" x14ac:dyDescent="0.25">
      <c r="A204" s="230">
        <v>43585.836053240739</v>
      </c>
      <c r="B204">
        <v>2319</v>
      </c>
      <c r="C204" s="231">
        <v>984841008</v>
      </c>
      <c r="D204" t="s">
        <v>370</v>
      </c>
      <c r="E204">
        <v>20000</v>
      </c>
    </row>
    <row r="205" spans="1:5" x14ac:dyDescent="0.25">
      <c r="A205" s="230">
        <v>43585.836701388886</v>
      </c>
      <c r="B205">
        <v>2320</v>
      </c>
      <c r="C205" s="231">
        <v>984842404</v>
      </c>
      <c r="D205" t="s">
        <v>370</v>
      </c>
      <c r="E205">
        <v>20000</v>
      </c>
    </row>
    <row r="206" spans="1:5" x14ac:dyDescent="0.25">
      <c r="A206" s="230">
        <v>43585.837523148148</v>
      </c>
      <c r="B206">
        <v>2322</v>
      </c>
      <c r="C206" s="231">
        <v>984844161</v>
      </c>
      <c r="D206" t="s">
        <v>371</v>
      </c>
      <c r="E206">
        <v>10000</v>
      </c>
    </row>
    <row r="207" spans="1:5" x14ac:dyDescent="0.25">
      <c r="A207" s="230">
        <v>43585.83865740741</v>
      </c>
      <c r="B207">
        <v>2324</v>
      </c>
      <c r="C207" s="231">
        <v>984846573</v>
      </c>
      <c r="D207" t="s">
        <v>372</v>
      </c>
      <c r="E207">
        <v>10000</v>
      </c>
    </row>
    <row r="208" spans="1:5" x14ac:dyDescent="0.25">
      <c r="A208" s="230">
        <v>43585.841446759259</v>
      </c>
      <c r="B208">
        <v>2328</v>
      </c>
      <c r="C208" s="231">
        <v>984852331</v>
      </c>
      <c r="D208" t="s">
        <v>373</v>
      </c>
      <c r="E208">
        <v>5000</v>
      </c>
    </row>
    <row r="209" spans="1:5" x14ac:dyDescent="0.25">
      <c r="A209" s="230">
        <v>43585.842916666668</v>
      </c>
      <c r="B209">
        <v>2330</v>
      </c>
      <c r="C209" s="231">
        <v>984855424</v>
      </c>
      <c r="D209" t="s">
        <v>374</v>
      </c>
      <c r="E209">
        <v>5000</v>
      </c>
    </row>
    <row r="210" spans="1:5" x14ac:dyDescent="0.25">
      <c r="A210" s="230">
        <v>43585.843923611108</v>
      </c>
      <c r="B210">
        <v>2332</v>
      </c>
      <c r="C210" s="231">
        <v>984857634</v>
      </c>
      <c r="D210" t="s">
        <v>375</v>
      </c>
      <c r="E210">
        <v>10000</v>
      </c>
    </row>
    <row r="211" spans="1:5" x14ac:dyDescent="0.25">
      <c r="A211" s="230">
        <v>43585.852719907409</v>
      </c>
      <c r="B211">
        <v>2338</v>
      </c>
      <c r="C211" s="231">
        <v>984874968</v>
      </c>
      <c r="D211" t="s">
        <v>376</v>
      </c>
      <c r="E211">
        <v>40000</v>
      </c>
    </row>
    <row r="212" spans="1:5" x14ac:dyDescent="0.25">
      <c r="A212" s="230">
        <v>43585.853414351855</v>
      </c>
      <c r="B212">
        <v>2339</v>
      </c>
      <c r="C212" s="231">
        <v>984876274</v>
      </c>
      <c r="D212" t="s">
        <v>376</v>
      </c>
      <c r="E212">
        <v>15000</v>
      </c>
    </row>
    <row r="213" spans="1:5" x14ac:dyDescent="0.25">
      <c r="A213" s="230">
        <v>43585.856446759259</v>
      </c>
      <c r="B213">
        <v>2342</v>
      </c>
      <c r="C213" s="231">
        <v>984881915</v>
      </c>
      <c r="D213" t="s">
        <v>377</v>
      </c>
      <c r="E213">
        <v>40000</v>
      </c>
    </row>
    <row r="214" spans="1:5" x14ac:dyDescent="0.25">
      <c r="A214" s="230">
        <v>43585.857870370368</v>
      </c>
      <c r="B214">
        <v>2344</v>
      </c>
      <c r="C214" s="231">
        <v>984884262</v>
      </c>
      <c r="D214" t="s">
        <v>377</v>
      </c>
      <c r="E214">
        <v>20000</v>
      </c>
    </row>
    <row r="215" spans="1:5" x14ac:dyDescent="0.25">
      <c r="A215" s="230">
        <v>43585.858518518522</v>
      </c>
      <c r="B215">
        <v>2345</v>
      </c>
      <c r="C215" s="231">
        <v>984885311</v>
      </c>
      <c r="D215" t="s">
        <v>377</v>
      </c>
      <c r="E215">
        <v>20000</v>
      </c>
    </row>
    <row r="216" spans="1:5" x14ac:dyDescent="0.25">
      <c r="A216" s="230">
        <v>43585.859166666669</v>
      </c>
      <c r="B216">
        <v>2346</v>
      </c>
      <c r="C216" s="231">
        <v>984886354</v>
      </c>
      <c r="D216" t="s">
        <v>377</v>
      </c>
      <c r="E216">
        <v>10000</v>
      </c>
    </row>
    <row r="217" spans="1:5" x14ac:dyDescent="0.25">
      <c r="A217" s="230">
        <v>43585.862118055556</v>
      </c>
      <c r="B217">
        <v>2352</v>
      </c>
      <c r="C217" s="231">
        <v>984891030</v>
      </c>
      <c r="D217" t="s">
        <v>378</v>
      </c>
      <c r="E217">
        <v>0</v>
      </c>
    </row>
    <row r="218" spans="1:5" x14ac:dyDescent="0.25">
      <c r="A218" s="230">
        <v>43585.862511574072</v>
      </c>
      <c r="B218">
        <v>2353</v>
      </c>
      <c r="C218" s="231">
        <v>984891660</v>
      </c>
      <c r="D218" t="s">
        <v>378</v>
      </c>
      <c r="E218">
        <v>500</v>
      </c>
    </row>
    <row r="219" spans="1:5" x14ac:dyDescent="0.25">
      <c r="A219" s="230">
        <v>43585.863356481481</v>
      </c>
      <c r="B219">
        <v>2355</v>
      </c>
      <c r="C219" s="231">
        <v>984892914</v>
      </c>
      <c r="D219" t="s">
        <v>379</v>
      </c>
      <c r="E219">
        <v>0</v>
      </c>
    </row>
    <row r="220" spans="1:5" x14ac:dyDescent="0.25">
      <c r="A220" s="230">
        <v>43585.864733796298</v>
      </c>
      <c r="B220">
        <v>2357</v>
      </c>
      <c r="C220" s="231">
        <v>984895043</v>
      </c>
      <c r="D220" t="s">
        <v>380</v>
      </c>
      <c r="E220">
        <v>20000</v>
      </c>
    </row>
    <row r="221" spans="1:5" x14ac:dyDescent="0.25">
      <c r="A221" s="230">
        <v>43585.874432870369</v>
      </c>
      <c r="B221">
        <v>2359</v>
      </c>
      <c r="C221" s="231">
        <v>984908609</v>
      </c>
      <c r="D221" t="s">
        <v>381</v>
      </c>
      <c r="E221">
        <v>4500</v>
      </c>
    </row>
    <row r="222" spans="1:5" x14ac:dyDescent="0.25">
      <c r="A222" s="230">
        <v>43585.881493055553</v>
      </c>
      <c r="B222">
        <v>2367</v>
      </c>
      <c r="C222" s="231">
        <v>984918004</v>
      </c>
      <c r="D222" t="s">
        <v>382</v>
      </c>
      <c r="E222">
        <v>5000</v>
      </c>
    </row>
    <row r="223" spans="1:5" x14ac:dyDescent="0.25">
      <c r="A223" s="230">
        <v>43585.882800925923</v>
      </c>
      <c r="B223">
        <v>2369</v>
      </c>
      <c r="C223" s="231">
        <v>984919696</v>
      </c>
      <c r="D223" t="s">
        <v>383</v>
      </c>
      <c r="E223">
        <v>5000</v>
      </c>
    </row>
    <row r="224" spans="1:5" x14ac:dyDescent="0.25">
      <c r="A224" s="230">
        <v>43585.88890046296</v>
      </c>
      <c r="B224">
        <v>2371</v>
      </c>
      <c r="C224" s="231">
        <v>984926804</v>
      </c>
      <c r="D224" t="s">
        <v>384</v>
      </c>
      <c r="E224">
        <v>500</v>
      </c>
    </row>
    <row r="225" spans="1:5" x14ac:dyDescent="0.25">
      <c r="A225" s="230">
        <v>43585.889780092592</v>
      </c>
      <c r="B225">
        <v>2373</v>
      </c>
      <c r="C225" s="231">
        <v>984927919</v>
      </c>
      <c r="D225" t="s">
        <v>385</v>
      </c>
      <c r="E225">
        <v>10000</v>
      </c>
    </row>
    <row r="226" spans="1:5" x14ac:dyDescent="0.25">
      <c r="A226" s="230">
        <v>43585.916134259256</v>
      </c>
      <c r="B226">
        <v>2375</v>
      </c>
      <c r="C226" s="231">
        <v>984950881</v>
      </c>
      <c r="D226" t="s">
        <v>386</v>
      </c>
      <c r="E226">
        <v>10000</v>
      </c>
    </row>
    <row r="227" spans="1:5" x14ac:dyDescent="0.25">
      <c r="A227" s="230">
        <v>43585.916817129626</v>
      </c>
      <c r="B227">
        <v>2376</v>
      </c>
      <c r="C227" s="231">
        <v>984951421</v>
      </c>
      <c r="D227" t="s">
        <v>386</v>
      </c>
      <c r="E227">
        <v>1000</v>
      </c>
    </row>
    <row r="228" spans="1:5" x14ac:dyDescent="0.25">
      <c r="A228" s="230">
        <v>43585.917743055557</v>
      </c>
      <c r="B228">
        <v>2378</v>
      </c>
      <c r="C228" s="231">
        <v>984952238</v>
      </c>
      <c r="D228" t="s">
        <v>386</v>
      </c>
      <c r="E228">
        <v>1000</v>
      </c>
    </row>
    <row r="229" spans="1:5" x14ac:dyDescent="0.25">
      <c r="A229" s="230">
        <v>43585.938506944447</v>
      </c>
      <c r="B229">
        <v>2380</v>
      </c>
      <c r="C229" s="231">
        <v>984965747</v>
      </c>
      <c r="D229" t="s">
        <v>387</v>
      </c>
      <c r="E229">
        <v>9000</v>
      </c>
    </row>
    <row r="230" spans="1:5" x14ac:dyDescent="0.25">
      <c r="A230" s="230">
        <v>43585.969027777777</v>
      </c>
      <c r="B230">
        <v>2384</v>
      </c>
      <c r="C230" s="231">
        <v>984977188</v>
      </c>
      <c r="D230" t="s">
        <v>235</v>
      </c>
      <c r="E230">
        <v>2000</v>
      </c>
    </row>
  </sheetData>
  <conditionalFormatting sqref="N4:N99">
    <cfRule type="duplicateValues" dxfId="7" priority="1"/>
    <cfRule type="duplicateValues" dxfId="6" priority="2"/>
  </conditionalFormatting>
  <conditionalFormatting sqref="O4:O99">
    <cfRule type="duplicateValues" dxfId="5" priority="3" stopIfTrue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S193"/>
  <sheetViews>
    <sheetView topLeftCell="A2" workbookViewId="0">
      <selection activeCell="A20" sqref="A20"/>
    </sheetView>
  </sheetViews>
  <sheetFormatPr defaultRowHeight="15" x14ac:dyDescent="0.25"/>
  <cols>
    <col min="1" max="1" width="22.85546875" style="179" bestFit="1" customWidth="1"/>
    <col min="2" max="2" width="10.85546875" style="179" bestFit="1" customWidth="1"/>
    <col min="3" max="3" width="16.5703125" style="179" customWidth="1"/>
    <col min="4" max="4" width="22.28515625" style="179" customWidth="1"/>
    <col min="5" max="5" width="10" style="179" bestFit="1" customWidth="1"/>
    <col min="6" max="6" width="14.85546875" style="179" bestFit="1" customWidth="1"/>
    <col min="7" max="7" width="18.28515625" style="179" customWidth="1"/>
    <col min="8" max="16384" width="9.140625" style="179"/>
  </cols>
  <sheetData>
    <row r="1" spans="1:19" ht="15.75" thickBot="1" x14ac:dyDescent="0.3">
      <c r="A1" s="192" t="s">
        <v>77</v>
      </c>
      <c r="B1" s="192"/>
    </row>
    <row r="2" spans="1:19" x14ac:dyDescent="0.25">
      <c r="A2" s="193" t="s">
        <v>98</v>
      </c>
      <c r="B2" s="194" t="s">
        <v>99</v>
      </c>
      <c r="C2" s="195" t="s">
        <v>100</v>
      </c>
      <c r="D2" s="196" t="s">
        <v>61</v>
      </c>
      <c r="E2" s="196" t="s">
        <v>102</v>
      </c>
      <c r="F2" s="196" t="s">
        <v>103</v>
      </c>
      <c r="G2" s="197" t="s">
        <v>101</v>
      </c>
    </row>
    <row r="3" spans="1:19" ht="19.5" customHeight="1" x14ac:dyDescent="0.25">
      <c r="A3" s="181"/>
      <c r="C3" s="181"/>
      <c r="D3" s="181"/>
      <c r="E3" s="182"/>
      <c r="F3" s="181"/>
      <c r="G3" s="198"/>
      <c r="L3" s="199"/>
      <c r="M3" s="200"/>
    </row>
    <row r="4" spans="1:19" x14ac:dyDescent="0.25">
      <c r="A4" s="181"/>
      <c r="C4" s="181"/>
      <c r="D4" s="181"/>
      <c r="E4" s="182"/>
      <c r="F4" s="181"/>
      <c r="G4" s="198"/>
      <c r="K4" s="182"/>
      <c r="L4" s="183"/>
      <c r="M4" s="200"/>
    </row>
    <row r="5" spans="1:19" x14ac:dyDescent="0.25">
      <c r="A5" s="181"/>
      <c r="C5" s="181"/>
      <c r="D5" s="181"/>
      <c r="E5" s="182"/>
      <c r="F5" s="181"/>
      <c r="G5" s="198"/>
      <c r="K5" s="182"/>
      <c r="L5" s="183"/>
      <c r="M5" s="200"/>
    </row>
    <row r="6" spans="1:19" x14ac:dyDescent="0.25">
      <c r="A6" s="181"/>
      <c r="B6" s="184"/>
      <c r="C6" s="181" t="s">
        <v>104</v>
      </c>
      <c r="D6" s="181" t="s">
        <v>104</v>
      </c>
      <c r="E6" s="182"/>
      <c r="F6" s="181" t="s">
        <v>104</v>
      </c>
      <c r="G6" s="198"/>
      <c r="L6" s="199"/>
      <c r="M6" s="200"/>
    </row>
    <row r="7" spans="1:19" x14ac:dyDescent="0.25">
      <c r="A7" s="181"/>
      <c r="B7" s="184"/>
      <c r="C7" s="181" t="s">
        <v>104</v>
      </c>
      <c r="D7" s="181" t="s">
        <v>104</v>
      </c>
      <c r="E7" s="182"/>
      <c r="F7" s="181" t="s">
        <v>104</v>
      </c>
      <c r="G7" s="198"/>
      <c r="L7" s="199"/>
      <c r="M7" s="200"/>
    </row>
    <row r="8" spans="1:19" x14ac:dyDescent="0.25">
      <c r="A8" s="181"/>
      <c r="B8" s="201"/>
      <c r="C8" s="181" t="s">
        <v>104</v>
      </c>
      <c r="D8" s="181" t="s">
        <v>104</v>
      </c>
      <c r="E8" s="182"/>
      <c r="F8" s="181" t="s">
        <v>104</v>
      </c>
      <c r="G8" s="198"/>
      <c r="L8" s="199"/>
      <c r="M8" s="200"/>
    </row>
    <row r="9" spans="1:19" x14ac:dyDescent="0.25">
      <c r="A9" s="181"/>
      <c r="B9" s="201"/>
      <c r="C9" s="181"/>
      <c r="D9" s="181"/>
      <c r="E9" s="182"/>
      <c r="F9" s="181"/>
      <c r="G9" s="198"/>
      <c r="L9" s="199"/>
      <c r="M9" s="200"/>
    </row>
    <row r="10" spans="1:19" ht="18.75" x14ac:dyDescent="0.3">
      <c r="A10" s="181"/>
      <c r="B10" s="201"/>
      <c r="C10" s="201"/>
      <c r="D10" s="201"/>
      <c r="E10" s="201"/>
      <c r="F10" s="201"/>
      <c r="G10" s="202">
        <f>SUM(G3:G9)</f>
        <v>0</v>
      </c>
      <c r="L10" s="199"/>
      <c r="M10" s="200"/>
    </row>
    <row r="11" spans="1:19" x14ac:dyDescent="0.25">
      <c r="A11" s="181"/>
      <c r="L11" s="199"/>
      <c r="M11" s="200"/>
    </row>
    <row r="12" spans="1:19" ht="15.75" thickBot="1" x14ac:dyDescent="0.3">
      <c r="A12" s="192" t="s">
        <v>78</v>
      </c>
      <c r="B12" s="203"/>
      <c r="L12" s="199"/>
      <c r="M12" s="200"/>
    </row>
    <row r="13" spans="1:19" x14ac:dyDescent="0.25">
      <c r="A13" s="193" t="s">
        <v>98</v>
      </c>
      <c r="B13" s="194" t="s">
        <v>99</v>
      </c>
      <c r="C13" s="195" t="s">
        <v>100</v>
      </c>
      <c r="D13" s="196" t="s">
        <v>61</v>
      </c>
      <c r="E13" s="196" t="s">
        <v>102</v>
      </c>
      <c r="F13" s="196" t="s">
        <v>103</v>
      </c>
      <c r="G13" s="197" t="s">
        <v>101</v>
      </c>
      <c r="L13" s="199"/>
      <c r="M13" s="200"/>
    </row>
    <row r="14" spans="1:19" ht="19.5" customHeight="1" x14ac:dyDescent="0.25">
      <c r="A14" s="181"/>
      <c r="D14" s="181"/>
      <c r="E14" s="182"/>
      <c r="F14" s="185"/>
      <c r="G14" s="198"/>
      <c r="H14" s="186"/>
      <c r="I14" s="186"/>
      <c r="J14" s="186"/>
      <c r="K14" s="186"/>
      <c r="L14" s="186"/>
      <c r="M14" s="186"/>
      <c r="N14" s="187"/>
      <c r="O14" s="235"/>
      <c r="P14" s="236"/>
      <c r="Q14" s="186"/>
      <c r="R14" s="186"/>
      <c r="S14" s="186"/>
    </row>
    <row r="15" spans="1:19" ht="19.5" customHeight="1" x14ac:dyDescent="0.25">
      <c r="A15" s="181"/>
      <c r="C15" s="181"/>
      <c r="D15" s="181"/>
      <c r="E15" s="182"/>
      <c r="F15" s="181"/>
      <c r="G15" s="198"/>
      <c r="L15" s="199"/>
      <c r="M15" s="200"/>
    </row>
    <row r="16" spans="1:19" ht="19.5" customHeight="1" x14ac:dyDescent="0.25">
      <c r="A16" s="181"/>
      <c r="C16" s="181"/>
      <c r="D16" s="181"/>
      <c r="E16" s="182"/>
      <c r="F16" s="181"/>
      <c r="G16" s="198"/>
      <c r="L16" s="199"/>
      <c r="M16" s="200"/>
    </row>
    <row r="17" spans="1:13" ht="19.5" customHeight="1" x14ac:dyDescent="0.25">
      <c r="A17" s="181"/>
      <c r="C17" s="181"/>
      <c r="D17" s="181"/>
      <c r="E17" s="182"/>
      <c r="F17" s="181"/>
      <c r="G17" s="198"/>
      <c r="L17" s="199"/>
      <c r="M17" s="200"/>
    </row>
    <row r="18" spans="1:13" ht="19.5" customHeight="1" x14ac:dyDescent="0.25">
      <c r="A18" s="181"/>
      <c r="C18" s="181"/>
      <c r="D18" s="181"/>
      <c r="E18" s="182"/>
      <c r="F18" s="181"/>
      <c r="G18" s="198"/>
      <c r="L18" s="199"/>
      <c r="M18" s="200"/>
    </row>
    <row r="19" spans="1:13" ht="19.5" customHeight="1" x14ac:dyDescent="0.25">
      <c r="A19" s="181"/>
      <c r="C19" s="181"/>
      <c r="D19" s="181"/>
      <c r="E19" s="182"/>
      <c r="F19" s="181"/>
      <c r="G19" s="198"/>
      <c r="L19" s="199"/>
      <c r="M19" s="200"/>
    </row>
    <row r="20" spans="1:13" ht="19.5" customHeight="1" x14ac:dyDescent="0.25">
      <c r="A20" s="181" t="str">
        <f t="shared" ref="A20:A25" si="0">_xlfn.IFNA(INDEX($H$3:$O$21,MATCH($B20,$J$3:$J$21,0),6),"")</f>
        <v/>
      </c>
      <c r="B20" s="188"/>
      <c r="C20" s="181"/>
      <c r="D20" s="181"/>
      <c r="E20" s="182"/>
      <c r="F20" s="181"/>
      <c r="G20" s="198" t="str">
        <f>_xlfn.IFNA(INDEX($H$3:$O$21,MATCH($B20,$J$3:$J$21,0),5),"")</f>
        <v/>
      </c>
      <c r="L20" s="199"/>
      <c r="M20" s="200"/>
    </row>
    <row r="21" spans="1:13" ht="19.5" customHeight="1" x14ac:dyDescent="0.25">
      <c r="A21" s="181" t="str">
        <f t="shared" si="0"/>
        <v/>
      </c>
      <c r="B21" s="188"/>
      <c r="C21" s="181"/>
      <c r="D21" s="181"/>
      <c r="E21" s="182"/>
      <c r="F21" s="181"/>
      <c r="G21" s="198"/>
      <c r="L21" s="199"/>
      <c r="M21" s="200"/>
    </row>
    <row r="22" spans="1:13" ht="19.5" customHeight="1" x14ac:dyDescent="0.25">
      <c r="A22" s="181" t="str">
        <f t="shared" si="0"/>
        <v/>
      </c>
      <c r="B22" s="188"/>
      <c r="C22" s="181"/>
      <c r="D22" s="181"/>
      <c r="E22" s="182"/>
      <c r="F22" s="181"/>
      <c r="G22" s="198"/>
    </row>
    <row r="23" spans="1:13" ht="19.5" customHeight="1" x14ac:dyDescent="0.25">
      <c r="A23" s="181" t="str">
        <f t="shared" si="0"/>
        <v/>
      </c>
      <c r="B23" s="188"/>
      <c r="C23" s="181"/>
      <c r="D23" s="181"/>
      <c r="E23" s="182"/>
      <c r="F23" s="181"/>
      <c r="G23" s="198"/>
    </row>
    <row r="24" spans="1:13" ht="19.5" customHeight="1" x14ac:dyDescent="0.25">
      <c r="A24" s="181" t="str">
        <f t="shared" si="0"/>
        <v/>
      </c>
      <c r="B24" s="188"/>
      <c r="C24" s="181"/>
      <c r="D24" s="181"/>
      <c r="E24" s="182"/>
      <c r="F24" s="181"/>
      <c r="G24" s="198"/>
    </row>
    <row r="25" spans="1:13" ht="19.5" customHeight="1" x14ac:dyDescent="0.25">
      <c r="A25" s="181" t="str">
        <f t="shared" si="0"/>
        <v/>
      </c>
      <c r="B25" s="188"/>
      <c r="C25" s="181"/>
      <c r="D25" s="181"/>
      <c r="E25" s="182"/>
      <c r="F25" s="181"/>
      <c r="G25" s="198"/>
    </row>
    <row r="26" spans="1:13" ht="19.5" customHeight="1" x14ac:dyDescent="0.25">
      <c r="A26" s="188"/>
      <c r="B26" s="188"/>
      <c r="C26" s="188"/>
      <c r="D26" s="188"/>
      <c r="E26" s="204"/>
      <c r="F26" s="205"/>
      <c r="G26" s="189"/>
    </row>
    <row r="27" spans="1:13" ht="19.5" customHeight="1" x14ac:dyDescent="0.25">
      <c r="A27" s="188"/>
      <c r="B27" s="188"/>
      <c r="C27" s="188"/>
      <c r="D27" s="188"/>
      <c r="E27" s="204"/>
      <c r="F27" s="205"/>
      <c r="G27" s="189"/>
    </row>
    <row r="28" spans="1:13" ht="19.5" customHeight="1" x14ac:dyDescent="0.25">
      <c r="A28" s="188"/>
      <c r="B28" s="188"/>
      <c r="C28" s="188"/>
      <c r="D28" s="188"/>
      <c r="E28" s="204"/>
      <c r="F28" s="205"/>
      <c r="G28" s="189"/>
    </row>
    <row r="29" spans="1:13" ht="19.5" customHeight="1" x14ac:dyDescent="0.25">
      <c r="A29" s="188"/>
      <c r="B29" s="188"/>
      <c r="C29" s="188"/>
      <c r="D29" s="188"/>
      <c r="E29" s="204"/>
      <c r="F29" s="205"/>
      <c r="G29" s="189"/>
    </row>
    <row r="30" spans="1:13" ht="19.5" customHeight="1" x14ac:dyDescent="0.25">
      <c r="A30" s="188"/>
      <c r="B30" s="188"/>
      <c r="C30" s="188"/>
      <c r="D30" s="188"/>
      <c r="E30" s="204"/>
      <c r="F30" s="205"/>
      <c r="G30" s="189"/>
    </row>
    <row r="31" spans="1:13" ht="19.5" customHeight="1" x14ac:dyDescent="0.25">
      <c r="A31" s="188"/>
      <c r="B31" s="188"/>
      <c r="C31" s="188"/>
      <c r="D31" s="188"/>
      <c r="E31" s="204"/>
      <c r="F31" s="205"/>
      <c r="G31" s="189"/>
    </row>
    <row r="32" spans="1:13" ht="19.5" customHeight="1" x14ac:dyDescent="0.25">
      <c r="A32" s="188"/>
      <c r="B32" s="188"/>
      <c r="C32" s="188"/>
      <c r="D32" s="188"/>
      <c r="E32" s="204"/>
      <c r="F32" s="205"/>
      <c r="G32" s="189"/>
    </row>
    <row r="33" spans="1:7" ht="19.5" customHeight="1" x14ac:dyDescent="0.25">
      <c r="A33" s="188"/>
      <c r="B33" s="188"/>
      <c r="C33" s="188"/>
      <c r="D33" s="188"/>
      <c r="E33" s="204"/>
      <c r="F33" s="205"/>
      <c r="G33" s="189"/>
    </row>
    <row r="34" spans="1:7" ht="19.5" customHeight="1" x14ac:dyDescent="0.25">
      <c r="A34" s="206"/>
      <c r="B34" s="207"/>
      <c r="C34" s="208"/>
      <c r="D34" s="190"/>
      <c r="E34" s="191"/>
      <c r="F34" s="209"/>
      <c r="G34" s="210"/>
    </row>
    <row r="35" spans="1:7" ht="19.5" customHeight="1" x14ac:dyDescent="0.25">
      <c r="A35" s="206"/>
      <c r="B35" s="207"/>
      <c r="C35" s="208"/>
      <c r="D35" s="190"/>
      <c r="E35" s="191"/>
      <c r="F35" s="209"/>
      <c r="G35" s="210"/>
    </row>
    <row r="36" spans="1:7" ht="18.75" x14ac:dyDescent="0.3">
      <c r="A36" s="209"/>
      <c r="B36" s="209"/>
      <c r="C36" s="209"/>
      <c r="D36" s="209"/>
      <c r="E36" s="209"/>
      <c r="F36" s="209"/>
      <c r="G36" s="211">
        <f>SUM(G14:G35)</f>
        <v>0</v>
      </c>
    </row>
    <row r="37" spans="1:7" s="201" customFormat="1" x14ac:dyDescent="0.25"/>
    <row r="38" spans="1:7" s="201" customFormat="1" x14ac:dyDescent="0.25"/>
    <row r="39" spans="1:7" s="201" customFormat="1" x14ac:dyDescent="0.25"/>
    <row r="40" spans="1:7" s="201" customFormat="1" x14ac:dyDescent="0.25"/>
    <row r="41" spans="1:7" s="201" customFormat="1" x14ac:dyDescent="0.25"/>
    <row r="42" spans="1:7" s="201" customFormat="1" x14ac:dyDescent="0.25">
      <c r="A42" s="212"/>
      <c r="B42" s="213"/>
      <c r="C42" s="213"/>
      <c r="D42" s="212"/>
      <c r="E42" s="213"/>
      <c r="F42" s="213"/>
      <c r="G42" s="212"/>
    </row>
    <row r="43" spans="1:7" s="201" customFormat="1" x14ac:dyDescent="0.25">
      <c r="A43" s="212"/>
      <c r="B43" s="213"/>
      <c r="C43" s="213"/>
      <c r="D43" s="212"/>
      <c r="E43" s="213"/>
      <c r="F43" s="213"/>
      <c r="G43" s="212"/>
    </row>
    <row r="44" spans="1:7" s="201" customFormat="1" x14ac:dyDescent="0.25">
      <c r="A44" s="212"/>
      <c r="B44" s="213"/>
      <c r="C44" s="213"/>
      <c r="D44" s="212"/>
      <c r="E44" s="213"/>
      <c r="F44" s="213"/>
      <c r="G44" s="212"/>
    </row>
    <row r="45" spans="1:7" s="201" customFormat="1" x14ac:dyDescent="0.25"/>
    <row r="46" spans="1:7" s="201" customFormat="1" x14ac:dyDescent="0.25"/>
    <row r="47" spans="1:7" s="201" customFormat="1" x14ac:dyDescent="0.25"/>
    <row r="48" spans="1:7" s="201" customFormat="1" x14ac:dyDescent="0.25"/>
    <row r="49" s="201" customFormat="1" x14ac:dyDescent="0.25"/>
    <row r="50" s="201" customFormat="1" x14ac:dyDescent="0.25"/>
    <row r="51" s="201" customFormat="1" x14ac:dyDescent="0.25"/>
    <row r="52" s="201" customFormat="1" x14ac:dyDescent="0.25"/>
    <row r="53" s="201" customFormat="1" x14ac:dyDescent="0.25"/>
    <row r="54" s="201" customFormat="1" x14ac:dyDescent="0.25"/>
    <row r="55" s="201" customFormat="1" x14ac:dyDescent="0.25"/>
    <row r="56" s="201" customFormat="1" x14ac:dyDescent="0.25"/>
    <row r="57" s="201" customFormat="1" x14ac:dyDescent="0.25"/>
    <row r="58" s="201" customFormat="1" x14ac:dyDescent="0.25"/>
    <row r="59" s="201" customFormat="1" x14ac:dyDescent="0.25"/>
    <row r="60" s="201" customFormat="1" x14ac:dyDescent="0.25"/>
    <row r="61" s="201" customFormat="1" x14ac:dyDescent="0.25"/>
    <row r="62" s="201" customFormat="1" x14ac:dyDescent="0.25"/>
    <row r="63" s="201" customFormat="1" x14ac:dyDescent="0.25"/>
    <row r="64" s="201" customFormat="1" x14ac:dyDescent="0.25"/>
    <row r="65" s="201" customFormat="1" x14ac:dyDescent="0.25"/>
    <row r="66" s="201" customFormat="1" x14ac:dyDescent="0.25"/>
    <row r="67" s="201" customFormat="1" x14ac:dyDescent="0.25"/>
    <row r="68" s="201" customFormat="1" x14ac:dyDescent="0.25"/>
    <row r="69" s="201" customFormat="1" x14ac:dyDescent="0.25"/>
    <row r="70" s="201" customFormat="1" x14ac:dyDescent="0.25"/>
    <row r="71" s="201" customFormat="1" x14ac:dyDescent="0.25"/>
    <row r="72" s="201" customFormat="1" x14ac:dyDescent="0.25"/>
    <row r="73" s="201" customFormat="1" x14ac:dyDescent="0.25"/>
    <row r="74" s="201" customFormat="1" x14ac:dyDescent="0.25"/>
    <row r="75" s="201" customFormat="1" x14ac:dyDescent="0.25"/>
    <row r="76" s="201" customFormat="1" x14ac:dyDescent="0.25"/>
    <row r="77" s="201" customFormat="1" x14ac:dyDescent="0.25"/>
    <row r="78" s="201" customFormat="1" x14ac:dyDescent="0.25"/>
    <row r="79" s="201" customFormat="1" x14ac:dyDescent="0.25"/>
    <row r="80" s="201" customFormat="1" x14ac:dyDescent="0.25"/>
    <row r="81" s="201" customFormat="1" x14ac:dyDescent="0.25"/>
    <row r="82" s="201" customFormat="1" x14ac:dyDescent="0.25"/>
    <row r="83" s="201" customFormat="1" x14ac:dyDescent="0.25"/>
    <row r="84" s="201" customFormat="1" x14ac:dyDescent="0.25"/>
    <row r="85" s="201" customFormat="1" x14ac:dyDescent="0.25"/>
    <row r="86" s="201" customFormat="1" x14ac:dyDescent="0.25"/>
    <row r="87" s="201" customFormat="1" x14ac:dyDescent="0.25"/>
    <row r="88" s="201" customFormat="1" x14ac:dyDescent="0.25"/>
    <row r="89" s="201" customFormat="1" x14ac:dyDescent="0.25"/>
    <row r="90" s="201" customFormat="1" x14ac:dyDescent="0.25"/>
    <row r="91" s="201" customFormat="1" x14ac:dyDescent="0.25"/>
    <row r="92" s="201" customFormat="1" x14ac:dyDescent="0.25"/>
    <row r="93" s="201" customFormat="1" x14ac:dyDescent="0.25"/>
    <row r="94" s="201" customFormat="1" x14ac:dyDescent="0.25"/>
    <row r="95" s="201" customFormat="1" x14ac:dyDescent="0.25"/>
    <row r="96" s="201" customFormat="1" x14ac:dyDescent="0.25"/>
    <row r="97" s="201" customFormat="1" x14ac:dyDescent="0.25"/>
    <row r="98" s="201" customFormat="1" x14ac:dyDescent="0.25"/>
    <row r="99" s="201" customFormat="1" x14ac:dyDescent="0.25"/>
    <row r="100" s="201" customFormat="1" x14ac:dyDescent="0.25"/>
    <row r="101" s="201" customFormat="1" x14ac:dyDescent="0.25"/>
    <row r="102" s="201" customFormat="1" x14ac:dyDescent="0.25"/>
    <row r="103" s="201" customFormat="1" x14ac:dyDescent="0.25"/>
    <row r="104" s="201" customFormat="1" x14ac:dyDescent="0.25"/>
    <row r="105" s="201" customFormat="1" x14ac:dyDescent="0.25"/>
    <row r="106" s="201" customFormat="1" x14ac:dyDescent="0.25"/>
    <row r="107" s="201" customFormat="1" x14ac:dyDescent="0.25"/>
    <row r="108" s="201" customFormat="1" x14ac:dyDescent="0.25"/>
    <row r="109" s="201" customFormat="1" x14ac:dyDescent="0.25"/>
    <row r="110" s="201" customFormat="1" x14ac:dyDescent="0.25"/>
    <row r="111" s="201" customFormat="1" x14ac:dyDescent="0.25"/>
    <row r="112" s="201" customFormat="1" x14ac:dyDescent="0.25"/>
    <row r="113" s="201" customFormat="1" x14ac:dyDescent="0.25"/>
    <row r="114" s="201" customFormat="1" x14ac:dyDescent="0.25"/>
    <row r="115" s="201" customFormat="1" x14ac:dyDescent="0.25"/>
    <row r="116" s="201" customFormat="1" x14ac:dyDescent="0.25"/>
    <row r="117" s="201" customFormat="1" x14ac:dyDescent="0.25"/>
    <row r="118" s="201" customFormat="1" x14ac:dyDescent="0.25"/>
    <row r="119" s="201" customFormat="1" x14ac:dyDescent="0.25"/>
    <row r="120" s="201" customFormat="1" x14ac:dyDescent="0.25"/>
    <row r="121" s="201" customFormat="1" x14ac:dyDescent="0.25"/>
    <row r="122" s="201" customFormat="1" x14ac:dyDescent="0.25"/>
    <row r="123" s="201" customFormat="1" x14ac:dyDescent="0.25"/>
    <row r="124" s="201" customFormat="1" x14ac:dyDescent="0.25"/>
    <row r="125" s="201" customFormat="1" x14ac:dyDescent="0.25"/>
    <row r="126" s="201" customFormat="1" x14ac:dyDescent="0.25"/>
    <row r="127" s="201" customFormat="1" x14ac:dyDescent="0.25"/>
    <row r="128" s="201" customFormat="1" x14ac:dyDescent="0.25"/>
    <row r="129" s="201" customFormat="1" x14ac:dyDescent="0.25"/>
    <row r="130" s="201" customFormat="1" x14ac:dyDescent="0.25"/>
    <row r="131" s="201" customFormat="1" x14ac:dyDescent="0.25"/>
    <row r="132" s="201" customFormat="1" x14ac:dyDescent="0.25"/>
    <row r="133" s="201" customFormat="1" x14ac:dyDescent="0.25"/>
    <row r="134" s="201" customFormat="1" x14ac:dyDescent="0.25"/>
    <row r="135" s="201" customFormat="1" x14ac:dyDescent="0.25"/>
    <row r="136" s="201" customFormat="1" x14ac:dyDescent="0.25"/>
    <row r="137" s="201" customFormat="1" x14ac:dyDescent="0.25"/>
    <row r="138" s="201" customFormat="1" x14ac:dyDescent="0.25"/>
    <row r="139" s="201" customFormat="1" x14ac:dyDescent="0.25"/>
    <row r="140" s="201" customFormat="1" x14ac:dyDescent="0.25"/>
    <row r="141" s="201" customFormat="1" x14ac:dyDescent="0.25"/>
    <row r="142" s="201" customFormat="1" x14ac:dyDescent="0.25"/>
    <row r="143" s="201" customFormat="1" x14ac:dyDescent="0.25"/>
    <row r="144" s="201" customFormat="1" x14ac:dyDescent="0.25"/>
    <row r="145" s="201" customFormat="1" x14ac:dyDescent="0.25"/>
    <row r="146" s="201" customFormat="1" x14ac:dyDescent="0.25"/>
    <row r="147" s="201" customFormat="1" x14ac:dyDescent="0.25"/>
    <row r="148" s="201" customFormat="1" x14ac:dyDescent="0.25"/>
    <row r="149" s="201" customFormat="1" x14ac:dyDescent="0.25"/>
    <row r="150" s="201" customFormat="1" x14ac:dyDescent="0.25"/>
    <row r="151" s="201" customFormat="1" x14ac:dyDescent="0.25"/>
    <row r="152" s="201" customFormat="1" x14ac:dyDescent="0.25"/>
    <row r="153" s="201" customFormat="1" x14ac:dyDescent="0.25"/>
    <row r="154" s="201" customFormat="1" x14ac:dyDescent="0.25"/>
    <row r="155" s="201" customFormat="1" x14ac:dyDescent="0.25"/>
    <row r="156" s="201" customFormat="1" x14ac:dyDescent="0.25"/>
    <row r="157" s="201" customFormat="1" x14ac:dyDescent="0.25"/>
    <row r="158" s="201" customFormat="1" x14ac:dyDescent="0.25"/>
    <row r="159" s="201" customFormat="1" x14ac:dyDescent="0.25"/>
    <row r="160" s="201" customFormat="1" x14ac:dyDescent="0.25"/>
    <row r="161" s="201" customFormat="1" x14ac:dyDescent="0.25"/>
    <row r="162" s="201" customFormat="1" x14ac:dyDescent="0.25"/>
    <row r="163" s="201" customFormat="1" x14ac:dyDescent="0.25"/>
    <row r="164" s="201" customFormat="1" x14ac:dyDescent="0.25"/>
    <row r="165" s="201" customFormat="1" x14ac:dyDescent="0.25"/>
    <row r="166" s="201" customFormat="1" x14ac:dyDescent="0.25"/>
    <row r="167" s="201" customFormat="1" x14ac:dyDescent="0.25"/>
    <row r="168" s="201" customFormat="1" x14ac:dyDescent="0.25"/>
    <row r="169" s="201" customFormat="1" x14ac:dyDescent="0.25"/>
    <row r="170" s="201" customFormat="1" x14ac:dyDescent="0.25"/>
    <row r="171" s="201" customFormat="1" x14ac:dyDescent="0.25"/>
    <row r="172" s="201" customFormat="1" x14ac:dyDescent="0.25"/>
    <row r="173" s="201" customFormat="1" x14ac:dyDescent="0.25"/>
    <row r="174" s="201" customFormat="1" x14ac:dyDescent="0.25"/>
    <row r="175" s="201" customFormat="1" x14ac:dyDescent="0.25"/>
    <row r="176" s="201" customFormat="1" x14ac:dyDescent="0.25"/>
    <row r="177" s="201" customFormat="1" x14ac:dyDescent="0.25"/>
    <row r="178" s="201" customFormat="1" x14ac:dyDescent="0.25"/>
    <row r="179" s="201" customFormat="1" x14ac:dyDescent="0.25"/>
    <row r="180" s="201" customFormat="1" x14ac:dyDescent="0.25"/>
    <row r="181" s="201" customFormat="1" x14ac:dyDescent="0.25"/>
    <row r="182" s="201" customFormat="1" x14ac:dyDescent="0.25"/>
    <row r="183" s="201" customFormat="1" x14ac:dyDescent="0.25"/>
    <row r="184" s="201" customFormat="1" x14ac:dyDescent="0.25"/>
    <row r="185" s="201" customFormat="1" x14ac:dyDescent="0.25"/>
    <row r="186" s="201" customFormat="1" x14ac:dyDescent="0.25"/>
    <row r="187" s="201" customFormat="1" x14ac:dyDescent="0.25"/>
    <row r="188" s="201" customFormat="1" x14ac:dyDescent="0.25"/>
    <row r="189" s="201" customFormat="1" x14ac:dyDescent="0.25"/>
    <row r="190" s="201" customFormat="1" x14ac:dyDescent="0.25"/>
    <row r="191" s="201" customFormat="1" x14ac:dyDescent="0.25"/>
    <row r="192" s="201" customFormat="1" x14ac:dyDescent="0.25"/>
    <row r="193" s="201" customFormat="1" x14ac:dyDescent="0.25"/>
  </sheetData>
  <mergeCells count="1">
    <mergeCell ref="O14:P14"/>
  </mergeCells>
  <conditionalFormatting sqref="B2">
    <cfRule type="duplicateValues" dxfId="4" priority="3" stopIfTrue="1"/>
  </conditionalFormatting>
  <conditionalFormatting sqref="B13">
    <cfRule type="duplicateValues" dxfId="3" priority="4" stopIfTrue="1"/>
  </conditionalFormatting>
  <conditionalFormatting sqref="B42:B43">
    <cfRule type="duplicateValues" dxfId="2" priority="2" stopIfTrue="1"/>
  </conditionalFormatting>
  <conditionalFormatting sqref="C34:C35">
    <cfRule type="duplicateValues" dxfId="1" priority="1" stopIfTrue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24"/>
  <sheetViews>
    <sheetView workbookViewId="0">
      <selection activeCell="E1" sqref="E1"/>
    </sheetView>
  </sheetViews>
  <sheetFormatPr defaultRowHeight="15" x14ac:dyDescent="0.25"/>
  <cols>
    <col min="1" max="1" width="23" customWidth="1"/>
    <col min="2" max="2" width="13.140625" customWidth="1"/>
    <col min="3" max="3" width="15.140625" customWidth="1"/>
    <col min="4" max="4" width="17.7109375" customWidth="1"/>
    <col min="5" max="5" width="20" bestFit="1" customWidth="1"/>
  </cols>
  <sheetData>
    <row r="1" spans="1:5" x14ac:dyDescent="0.25">
      <c r="A1" t="s">
        <v>98</v>
      </c>
      <c r="B1" t="s">
        <v>99</v>
      </c>
      <c r="C1" t="s">
        <v>100</v>
      </c>
      <c r="D1" t="s">
        <v>61</v>
      </c>
      <c r="E1" t="s">
        <v>101</v>
      </c>
    </row>
    <row r="2" spans="1:5" x14ac:dyDescent="0.25">
      <c r="A2" s="230">
        <v>43584.610011574077</v>
      </c>
      <c r="B2">
        <v>677</v>
      </c>
      <c r="C2">
        <v>982617823</v>
      </c>
      <c r="D2" t="s">
        <v>174</v>
      </c>
      <c r="E2">
        <v>0</v>
      </c>
    </row>
    <row r="3" spans="1:5" x14ac:dyDescent="0.25">
      <c r="A3" s="230">
        <v>43584.651666666665</v>
      </c>
      <c r="B3">
        <v>693</v>
      </c>
      <c r="C3">
        <v>982728375</v>
      </c>
      <c r="D3" t="s">
        <v>178</v>
      </c>
      <c r="E3">
        <v>0</v>
      </c>
    </row>
    <row r="4" spans="1:5" x14ac:dyDescent="0.25">
      <c r="A4" s="230">
        <v>43584.652094907404</v>
      </c>
      <c r="B4">
        <v>694</v>
      </c>
      <c r="C4">
        <v>982729435</v>
      </c>
      <c r="D4" t="s">
        <v>178</v>
      </c>
      <c r="E4">
        <v>0</v>
      </c>
    </row>
    <row r="5" spans="1:5" x14ac:dyDescent="0.25">
      <c r="A5" s="230">
        <v>43584.688657407409</v>
      </c>
      <c r="B5">
        <v>711</v>
      </c>
      <c r="C5">
        <v>982826214</v>
      </c>
      <c r="D5" t="s">
        <v>186</v>
      </c>
      <c r="E5">
        <v>0</v>
      </c>
    </row>
    <row r="6" spans="1:5" x14ac:dyDescent="0.25">
      <c r="A6" s="230">
        <v>43584.751168981478</v>
      </c>
      <c r="B6">
        <v>750</v>
      </c>
      <c r="C6">
        <v>982993589</v>
      </c>
      <c r="D6" t="s">
        <v>197</v>
      </c>
      <c r="E6">
        <v>0</v>
      </c>
    </row>
    <row r="7" spans="1:5" x14ac:dyDescent="0.25">
      <c r="A7" s="230">
        <v>43584.766180555554</v>
      </c>
      <c r="B7">
        <v>760</v>
      </c>
      <c r="C7">
        <v>983031203</v>
      </c>
      <c r="D7" t="s">
        <v>201</v>
      </c>
      <c r="E7">
        <v>0</v>
      </c>
    </row>
    <row r="8" spans="1:5" x14ac:dyDescent="0.25">
      <c r="A8" s="230">
        <v>43584.785312499997</v>
      </c>
      <c r="B8">
        <v>772</v>
      </c>
      <c r="C8">
        <v>983077443</v>
      </c>
      <c r="D8" t="s">
        <v>204</v>
      </c>
      <c r="E8">
        <v>0</v>
      </c>
    </row>
    <row r="9" spans="1:5" x14ac:dyDescent="0.25">
      <c r="A9" s="230">
        <v>43584.78570601852</v>
      </c>
      <c r="B9">
        <v>773</v>
      </c>
      <c r="C9">
        <v>983078445</v>
      </c>
      <c r="D9" t="s">
        <v>204</v>
      </c>
      <c r="E9">
        <v>0</v>
      </c>
    </row>
    <row r="10" spans="1:5" x14ac:dyDescent="0.25">
      <c r="A10" s="230">
        <v>43584.810520833336</v>
      </c>
      <c r="B10">
        <v>808</v>
      </c>
      <c r="C10">
        <v>983134179</v>
      </c>
      <c r="D10" t="s">
        <v>216</v>
      </c>
      <c r="E10">
        <v>0</v>
      </c>
    </row>
    <row r="11" spans="1:5" x14ac:dyDescent="0.25">
      <c r="A11" s="230">
        <v>43584.825833333336</v>
      </c>
      <c r="B11">
        <v>819</v>
      </c>
      <c r="C11">
        <v>983166087</v>
      </c>
      <c r="D11" t="s">
        <v>144</v>
      </c>
      <c r="E11">
        <v>0</v>
      </c>
    </row>
    <row r="12" spans="1:5" x14ac:dyDescent="0.25">
      <c r="A12" s="230">
        <v>43584.851527777777</v>
      </c>
      <c r="B12">
        <v>847</v>
      </c>
      <c r="C12">
        <v>983212100</v>
      </c>
      <c r="D12" t="s">
        <v>227</v>
      </c>
      <c r="E12">
        <v>0</v>
      </c>
    </row>
    <row r="13" spans="1:5" x14ac:dyDescent="0.25">
      <c r="A13" s="230">
        <v>43584.859224537038</v>
      </c>
      <c r="B13">
        <v>853</v>
      </c>
      <c r="C13">
        <v>983223497</v>
      </c>
      <c r="D13" t="s">
        <v>230</v>
      </c>
      <c r="E13">
        <v>0</v>
      </c>
    </row>
    <row r="14" spans="1:5" x14ac:dyDescent="0.25">
      <c r="A14" s="230">
        <v>43585.327916666669</v>
      </c>
      <c r="B14">
        <v>914</v>
      </c>
      <c r="C14">
        <v>983416325</v>
      </c>
      <c r="D14" t="s">
        <v>246</v>
      </c>
      <c r="E14">
        <v>0</v>
      </c>
    </row>
    <row r="15" spans="1:5" x14ac:dyDescent="0.25">
      <c r="A15" s="230">
        <v>43585.32880787037</v>
      </c>
      <c r="B15">
        <v>916</v>
      </c>
      <c r="C15">
        <v>983417920</v>
      </c>
      <c r="D15" t="s">
        <v>246</v>
      </c>
      <c r="E15">
        <v>0</v>
      </c>
    </row>
    <row r="16" spans="1:5" x14ac:dyDescent="0.25">
      <c r="A16" s="230">
        <v>43585.334293981483</v>
      </c>
      <c r="B16">
        <v>921</v>
      </c>
      <c r="C16">
        <v>983428120</v>
      </c>
      <c r="D16" t="s">
        <v>248</v>
      </c>
      <c r="E16">
        <v>0</v>
      </c>
    </row>
    <row r="17" spans="1:5" x14ac:dyDescent="0.25">
      <c r="A17" s="230">
        <v>43585.335509259261</v>
      </c>
      <c r="B17">
        <v>923</v>
      </c>
      <c r="C17">
        <v>983430381</v>
      </c>
      <c r="D17" t="s">
        <v>248</v>
      </c>
      <c r="E17">
        <v>0</v>
      </c>
    </row>
    <row r="18" spans="1:5" x14ac:dyDescent="0.25">
      <c r="A18" s="230">
        <v>43585.364745370367</v>
      </c>
      <c r="B18">
        <v>952</v>
      </c>
      <c r="C18">
        <v>983493377</v>
      </c>
      <c r="D18" t="s">
        <v>260</v>
      </c>
      <c r="E18">
        <v>0</v>
      </c>
    </row>
    <row r="19" spans="1:5" x14ac:dyDescent="0.25">
      <c r="A19" s="230">
        <v>43585.366990740738</v>
      </c>
      <c r="B19">
        <v>957</v>
      </c>
      <c r="C19">
        <v>983498774</v>
      </c>
      <c r="D19" t="s">
        <v>262</v>
      </c>
      <c r="E19">
        <v>0</v>
      </c>
    </row>
    <row r="20" spans="1:5" x14ac:dyDescent="0.25">
      <c r="A20" s="230">
        <v>43585.384756944448</v>
      </c>
      <c r="B20">
        <v>987</v>
      </c>
      <c r="C20">
        <v>983542894</v>
      </c>
      <c r="D20" t="s">
        <v>271</v>
      </c>
      <c r="E20">
        <v>0</v>
      </c>
    </row>
    <row r="21" spans="1:5" x14ac:dyDescent="0.25">
      <c r="A21" s="230">
        <v>43585.385520833333</v>
      </c>
      <c r="B21">
        <v>989</v>
      </c>
      <c r="C21">
        <v>983544888</v>
      </c>
      <c r="D21" t="s">
        <v>271</v>
      </c>
      <c r="E21">
        <v>0</v>
      </c>
    </row>
    <row r="22" spans="1:5" x14ac:dyDescent="0.25">
      <c r="A22" s="230">
        <v>43585.398657407408</v>
      </c>
      <c r="B22">
        <v>2005</v>
      </c>
      <c r="C22">
        <v>983581376</v>
      </c>
      <c r="D22" t="s">
        <v>273</v>
      </c>
      <c r="E22">
        <v>0</v>
      </c>
    </row>
    <row r="23" spans="1:5" x14ac:dyDescent="0.25">
      <c r="A23" s="230">
        <v>43585.432013888887</v>
      </c>
      <c r="B23">
        <v>2027</v>
      </c>
      <c r="C23">
        <v>983676134</v>
      </c>
      <c r="D23" t="s">
        <v>279</v>
      </c>
      <c r="E23">
        <v>0</v>
      </c>
    </row>
    <row r="24" spans="1:5" x14ac:dyDescent="0.25">
      <c r="A24" s="230">
        <v>43585.440081018518</v>
      </c>
      <c r="B24">
        <v>2044</v>
      </c>
      <c r="C24">
        <v>983704592</v>
      </c>
      <c r="D24" t="s">
        <v>282</v>
      </c>
      <c r="E2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166"/>
  <sheetViews>
    <sheetView workbookViewId="0">
      <selection activeCell="C7" sqref="C7"/>
    </sheetView>
  </sheetViews>
  <sheetFormatPr defaultRowHeight="15" x14ac:dyDescent="0.25"/>
  <cols>
    <col min="1" max="1" width="18.140625" style="179" bestFit="1" customWidth="1"/>
    <col min="2" max="2" width="11.85546875" style="179" customWidth="1"/>
    <col min="3" max="3" width="17.42578125" style="179" bestFit="1" customWidth="1"/>
    <col min="4" max="4" width="24.5703125" style="179" customWidth="1"/>
    <col min="5" max="5" width="20" style="179" bestFit="1" customWidth="1"/>
    <col min="6" max="16384" width="9.140625" style="179"/>
  </cols>
  <sheetData>
    <row r="1" spans="1:5" ht="22.5" x14ac:dyDescent="0.25">
      <c r="A1" s="193" t="s">
        <v>98</v>
      </c>
      <c r="B1" s="194" t="s">
        <v>99</v>
      </c>
      <c r="C1" s="214" t="s">
        <v>105</v>
      </c>
      <c r="D1" s="196" t="s">
        <v>61</v>
      </c>
      <c r="E1" s="221" t="s">
        <v>101</v>
      </c>
    </row>
    <row r="2" spans="1:5" x14ac:dyDescent="0.25">
      <c r="A2" s="215"/>
      <c r="B2" s="216"/>
      <c r="C2" s="217"/>
      <c r="D2" s="218"/>
      <c r="E2" s="222"/>
    </row>
    <row r="3" spans="1:5" x14ac:dyDescent="0.25">
      <c r="A3" s="215"/>
      <c r="B3" s="216"/>
      <c r="C3" s="219"/>
      <c r="D3" s="218"/>
      <c r="E3" s="222"/>
    </row>
    <row r="4" spans="1:5" x14ac:dyDescent="0.25">
      <c r="A4" s="220"/>
      <c r="B4" s="216"/>
      <c r="C4" s="219"/>
      <c r="D4" s="218"/>
      <c r="E4" s="222"/>
    </row>
    <row r="5" spans="1:5" x14ac:dyDescent="0.25">
      <c r="A5" s="220"/>
      <c r="B5" s="216"/>
      <c r="C5" s="219"/>
      <c r="D5" s="218"/>
      <c r="E5" s="222"/>
    </row>
    <row r="6" spans="1:5" x14ac:dyDescent="0.25">
      <c r="A6" s="220"/>
      <c r="B6" s="216"/>
      <c r="C6" s="219"/>
      <c r="D6" s="218"/>
      <c r="E6" s="222"/>
    </row>
    <row r="7" spans="1:5" x14ac:dyDescent="0.25">
      <c r="A7" s="220"/>
      <c r="B7" s="216"/>
      <c r="C7" s="219"/>
      <c r="D7" s="218"/>
      <c r="E7" s="222"/>
    </row>
    <row r="8" spans="1:5" x14ac:dyDescent="0.25">
      <c r="A8" s="220"/>
      <c r="B8" s="216"/>
      <c r="C8" s="219"/>
      <c r="D8" s="218"/>
      <c r="E8" s="222"/>
    </row>
    <row r="9" spans="1:5" x14ac:dyDescent="0.25">
      <c r="A9" s="220"/>
      <c r="B9" s="216"/>
      <c r="C9" s="219"/>
      <c r="D9" s="218"/>
      <c r="E9" s="222"/>
    </row>
    <row r="10" spans="1:5" x14ac:dyDescent="0.25">
      <c r="A10" s="220"/>
      <c r="B10" s="216"/>
      <c r="C10" s="219"/>
      <c r="D10" s="218"/>
      <c r="E10" s="222"/>
    </row>
    <row r="11" spans="1:5" x14ac:dyDescent="0.25">
      <c r="A11" s="220"/>
      <c r="B11" s="216"/>
      <c r="C11" s="219"/>
      <c r="D11" s="218"/>
      <c r="E11" s="222"/>
    </row>
    <row r="12" spans="1:5" x14ac:dyDescent="0.25">
      <c r="A12" s="220"/>
      <c r="B12" s="216"/>
      <c r="C12" s="219"/>
      <c r="D12" s="218"/>
      <c r="E12" s="222"/>
    </row>
    <row r="13" spans="1:5" x14ac:dyDescent="0.25">
      <c r="A13" s="220"/>
      <c r="B13" s="216"/>
      <c r="C13" s="219"/>
      <c r="D13" s="218"/>
      <c r="E13" s="222"/>
    </row>
    <row r="14" spans="1:5" x14ac:dyDescent="0.25">
      <c r="A14" s="220"/>
      <c r="B14" s="216"/>
      <c r="C14" s="219"/>
      <c r="D14" s="218"/>
      <c r="E14" s="222"/>
    </row>
    <row r="15" spans="1:5" x14ac:dyDescent="0.25">
      <c r="A15" s="220"/>
      <c r="B15" s="216"/>
      <c r="C15" s="219"/>
      <c r="D15" s="218"/>
      <c r="E15" s="222"/>
    </row>
    <row r="16" spans="1:5" x14ac:dyDescent="0.25">
      <c r="A16" s="220"/>
      <c r="B16" s="216"/>
      <c r="C16" s="219"/>
      <c r="D16" s="218"/>
      <c r="E16" s="222"/>
    </row>
    <row r="17" spans="1:5" x14ac:dyDescent="0.25">
      <c r="A17" s="220"/>
      <c r="B17" s="216"/>
      <c r="C17" s="219"/>
      <c r="D17" s="218"/>
      <c r="E17" s="222"/>
    </row>
    <row r="18" spans="1:5" x14ac:dyDescent="0.25">
      <c r="A18" s="220"/>
      <c r="B18" s="216"/>
      <c r="C18" s="219"/>
      <c r="D18" s="218"/>
      <c r="E18" s="222"/>
    </row>
    <row r="19" spans="1:5" x14ac:dyDescent="0.25">
      <c r="A19" s="220"/>
      <c r="B19" s="216"/>
      <c r="C19" s="219"/>
      <c r="D19" s="218"/>
      <c r="E19" s="222"/>
    </row>
    <row r="20" spans="1:5" x14ac:dyDescent="0.25">
      <c r="A20" s="220"/>
      <c r="B20" s="216"/>
      <c r="C20" s="219"/>
      <c r="D20" s="218"/>
      <c r="E20" s="222"/>
    </row>
    <row r="21" spans="1:5" x14ac:dyDescent="0.25">
      <c r="A21" s="220"/>
      <c r="B21" s="216"/>
      <c r="C21" s="219"/>
      <c r="D21" s="218"/>
      <c r="E21" s="222"/>
    </row>
    <row r="22" spans="1:5" x14ac:dyDescent="0.25">
      <c r="A22" s="220"/>
      <c r="B22" s="216"/>
      <c r="C22" s="219"/>
      <c r="D22" s="218"/>
      <c r="E22" s="222"/>
    </row>
    <row r="23" spans="1:5" x14ac:dyDescent="0.25">
      <c r="A23" s="220"/>
      <c r="B23" s="216"/>
      <c r="C23" s="219"/>
      <c r="D23" s="218"/>
      <c r="E23" s="222"/>
    </row>
    <row r="24" spans="1:5" x14ac:dyDescent="0.25">
      <c r="A24" s="220"/>
      <c r="B24" s="216"/>
      <c r="C24" s="219"/>
      <c r="D24" s="218"/>
      <c r="E24" s="222"/>
    </row>
    <row r="25" spans="1:5" x14ac:dyDescent="0.25">
      <c r="A25" s="220"/>
      <c r="B25" s="216"/>
      <c r="C25" s="219"/>
      <c r="D25" s="218"/>
      <c r="E25" s="222"/>
    </row>
    <row r="26" spans="1:5" x14ac:dyDescent="0.25">
      <c r="A26" s="220"/>
      <c r="B26" s="216"/>
      <c r="C26" s="219"/>
      <c r="D26" s="218"/>
      <c r="E26" s="222"/>
    </row>
    <row r="27" spans="1:5" x14ac:dyDescent="0.25">
      <c r="A27" s="220"/>
      <c r="B27" s="216"/>
      <c r="C27" s="219"/>
      <c r="D27" s="218"/>
      <c r="E27" s="222"/>
    </row>
    <row r="28" spans="1:5" x14ac:dyDescent="0.25">
      <c r="A28" s="220"/>
      <c r="B28" s="216"/>
      <c r="C28" s="219"/>
      <c r="D28" s="218"/>
      <c r="E28" s="222"/>
    </row>
    <row r="29" spans="1:5" x14ac:dyDescent="0.25">
      <c r="A29" s="220"/>
      <c r="B29" s="216"/>
      <c r="C29" s="219"/>
      <c r="D29" s="218"/>
      <c r="E29" s="222"/>
    </row>
    <row r="30" spans="1:5" x14ac:dyDescent="0.25">
      <c r="A30" s="220"/>
      <c r="B30" s="216"/>
      <c r="C30" s="219"/>
      <c r="D30" s="218"/>
      <c r="E30" s="222"/>
    </row>
    <row r="31" spans="1:5" x14ac:dyDescent="0.25">
      <c r="A31" s="220"/>
      <c r="B31" s="216"/>
      <c r="C31" s="219"/>
      <c r="D31" s="218"/>
      <c r="E31" s="222"/>
    </row>
    <row r="32" spans="1:5" x14ac:dyDescent="0.25">
      <c r="A32" s="220"/>
      <c r="B32" s="216"/>
      <c r="C32" s="219"/>
      <c r="D32" s="218"/>
      <c r="E32" s="222"/>
    </row>
    <row r="33" spans="1:5" x14ac:dyDescent="0.25">
      <c r="A33" s="220"/>
      <c r="B33" s="216"/>
      <c r="C33" s="219"/>
      <c r="D33" s="218"/>
      <c r="E33" s="222"/>
    </row>
    <row r="34" spans="1:5" x14ac:dyDescent="0.25">
      <c r="A34" s="220"/>
      <c r="B34" s="216"/>
      <c r="C34" s="219"/>
      <c r="D34" s="218"/>
      <c r="E34" s="222"/>
    </row>
    <row r="35" spans="1:5" x14ac:dyDescent="0.25">
      <c r="A35" s="220"/>
      <c r="B35" s="216"/>
      <c r="C35" s="219"/>
      <c r="D35" s="218"/>
      <c r="E35" s="222"/>
    </row>
    <row r="36" spans="1:5" x14ac:dyDescent="0.25">
      <c r="A36" s="220"/>
      <c r="B36" s="216"/>
      <c r="C36" s="219"/>
      <c r="D36" s="218"/>
      <c r="E36" s="222"/>
    </row>
    <row r="37" spans="1:5" x14ac:dyDescent="0.25">
      <c r="A37" s="220"/>
      <c r="B37" s="216"/>
      <c r="C37" s="219"/>
      <c r="D37" s="218"/>
      <c r="E37" s="222"/>
    </row>
    <row r="38" spans="1:5" x14ac:dyDescent="0.25">
      <c r="A38" s="220"/>
      <c r="B38" s="216"/>
      <c r="C38" s="219"/>
      <c r="D38" s="218"/>
      <c r="E38" s="222"/>
    </row>
    <row r="39" spans="1:5" x14ac:dyDescent="0.25">
      <c r="A39" s="220"/>
      <c r="B39" s="216"/>
      <c r="C39" s="219"/>
      <c r="D39" s="218"/>
      <c r="E39" s="222"/>
    </row>
    <row r="40" spans="1:5" x14ac:dyDescent="0.25">
      <c r="A40" s="220"/>
      <c r="B40" s="216"/>
      <c r="C40" s="219"/>
      <c r="D40" s="218"/>
      <c r="E40" s="222"/>
    </row>
    <row r="41" spans="1:5" x14ac:dyDescent="0.25">
      <c r="A41" s="220"/>
      <c r="B41" s="216"/>
      <c r="C41" s="219"/>
      <c r="D41" s="218"/>
      <c r="E41" s="222"/>
    </row>
    <row r="42" spans="1:5" x14ac:dyDescent="0.25">
      <c r="A42" s="220"/>
      <c r="B42" s="216"/>
      <c r="C42" s="219"/>
      <c r="D42" s="218"/>
      <c r="E42" s="222"/>
    </row>
    <row r="43" spans="1:5" x14ac:dyDescent="0.25">
      <c r="A43" s="220"/>
      <c r="B43" s="216"/>
      <c r="C43" s="219"/>
      <c r="D43" s="218"/>
      <c r="E43" s="222"/>
    </row>
    <row r="44" spans="1:5" x14ac:dyDescent="0.25">
      <c r="A44" s="220"/>
      <c r="B44" s="216"/>
      <c r="C44" s="219"/>
      <c r="D44" s="218"/>
      <c r="E44" s="222"/>
    </row>
    <row r="45" spans="1:5" x14ac:dyDescent="0.25">
      <c r="A45" s="220"/>
      <c r="B45" s="216"/>
      <c r="C45" s="219"/>
      <c r="D45" s="218"/>
      <c r="E45" s="222"/>
    </row>
    <row r="46" spans="1:5" x14ac:dyDescent="0.25">
      <c r="A46" s="220"/>
      <c r="B46" s="216"/>
      <c r="C46" s="219"/>
      <c r="D46" s="218"/>
      <c r="E46" s="222"/>
    </row>
    <row r="47" spans="1:5" x14ac:dyDescent="0.25">
      <c r="A47" s="220"/>
      <c r="B47" s="216"/>
      <c r="C47" s="219"/>
      <c r="D47" s="218"/>
      <c r="E47" s="222"/>
    </row>
    <row r="48" spans="1:5" x14ac:dyDescent="0.25">
      <c r="A48" s="220"/>
      <c r="B48" s="216"/>
      <c r="C48" s="219"/>
      <c r="D48" s="218"/>
      <c r="E48" s="222"/>
    </row>
    <row r="49" spans="1:5" x14ac:dyDescent="0.25">
      <c r="A49" s="220"/>
      <c r="B49" s="216"/>
      <c r="C49" s="219"/>
      <c r="D49" s="218"/>
      <c r="E49" s="222"/>
    </row>
    <row r="50" spans="1:5" x14ac:dyDescent="0.25">
      <c r="A50" s="220"/>
      <c r="B50" s="216"/>
      <c r="C50" s="219"/>
      <c r="D50" s="218"/>
      <c r="E50" s="222"/>
    </row>
    <row r="51" spans="1:5" x14ac:dyDescent="0.25">
      <c r="A51" s="220"/>
      <c r="B51" s="216"/>
      <c r="C51" s="219"/>
      <c r="D51" s="218"/>
      <c r="E51" s="222"/>
    </row>
    <row r="52" spans="1:5" x14ac:dyDescent="0.25">
      <c r="A52" s="220"/>
      <c r="B52" s="216"/>
      <c r="C52" s="219"/>
      <c r="D52" s="218"/>
      <c r="E52" s="222"/>
    </row>
    <row r="53" spans="1:5" x14ac:dyDescent="0.25">
      <c r="A53" s="220"/>
      <c r="B53" s="216"/>
      <c r="C53" s="219"/>
      <c r="D53" s="218"/>
      <c r="E53" s="222"/>
    </row>
    <row r="54" spans="1:5" x14ac:dyDescent="0.25">
      <c r="A54" s="220"/>
      <c r="B54" s="216"/>
      <c r="C54" s="219"/>
      <c r="D54" s="218"/>
      <c r="E54" s="222"/>
    </row>
    <row r="55" spans="1:5" x14ac:dyDescent="0.25">
      <c r="A55" s="220"/>
      <c r="B55" s="216"/>
      <c r="C55" s="219"/>
      <c r="D55" s="218"/>
      <c r="E55" s="222"/>
    </row>
    <row r="56" spans="1:5" x14ac:dyDescent="0.25">
      <c r="A56" s="220"/>
      <c r="B56" s="216"/>
      <c r="C56" s="219"/>
      <c r="D56" s="218"/>
      <c r="E56" s="222"/>
    </row>
    <row r="57" spans="1:5" x14ac:dyDescent="0.25">
      <c r="A57" s="220"/>
      <c r="B57" s="216"/>
      <c r="C57" s="219"/>
      <c r="D57" s="218"/>
      <c r="E57" s="222"/>
    </row>
    <row r="58" spans="1:5" x14ac:dyDescent="0.25">
      <c r="A58" s="220"/>
      <c r="B58" s="216"/>
      <c r="C58" s="219"/>
      <c r="D58" s="218"/>
      <c r="E58" s="222"/>
    </row>
    <row r="59" spans="1:5" x14ac:dyDescent="0.25">
      <c r="A59" s="220"/>
      <c r="B59" s="216"/>
      <c r="C59" s="219"/>
      <c r="D59" s="218"/>
      <c r="E59" s="222"/>
    </row>
    <row r="60" spans="1:5" x14ac:dyDescent="0.25">
      <c r="A60" s="220"/>
      <c r="B60" s="216"/>
      <c r="C60" s="219"/>
      <c r="D60" s="218"/>
      <c r="E60" s="222"/>
    </row>
    <row r="61" spans="1:5" x14ac:dyDescent="0.25">
      <c r="A61" s="220"/>
      <c r="B61" s="216"/>
      <c r="C61" s="219"/>
      <c r="D61" s="218"/>
      <c r="E61" s="222"/>
    </row>
    <row r="62" spans="1:5" x14ac:dyDescent="0.25">
      <c r="A62" s="220"/>
      <c r="B62" s="216"/>
      <c r="C62" s="219"/>
      <c r="D62" s="218"/>
      <c r="E62" s="222"/>
    </row>
    <row r="63" spans="1:5" x14ac:dyDescent="0.25">
      <c r="A63" s="220"/>
      <c r="B63" s="216"/>
      <c r="C63" s="219"/>
      <c r="D63" s="218"/>
      <c r="E63" s="222"/>
    </row>
    <row r="64" spans="1:5" x14ac:dyDescent="0.25">
      <c r="A64" s="220"/>
      <c r="B64" s="216"/>
      <c r="C64" s="219"/>
      <c r="D64" s="218"/>
      <c r="E64" s="222"/>
    </row>
    <row r="65" spans="1:5" x14ac:dyDescent="0.25">
      <c r="A65" s="220"/>
      <c r="B65" s="216"/>
      <c r="C65" s="219"/>
      <c r="D65" s="218"/>
      <c r="E65" s="222"/>
    </row>
    <row r="66" spans="1:5" x14ac:dyDescent="0.25">
      <c r="A66" s="220"/>
      <c r="B66" s="216"/>
      <c r="C66" s="219"/>
      <c r="D66" s="218"/>
      <c r="E66" s="222"/>
    </row>
    <row r="67" spans="1:5" x14ac:dyDescent="0.25">
      <c r="A67" s="220"/>
      <c r="B67" s="216"/>
      <c r="C67" s="219"/>
      <c r="D67" s="218"/>
      <c r="E67" s="222"/>
    </row>
    <row r="68" spans="1:5" x14ac:dyDescent="0.25">
      <c r="A68" s="220"/>
      <c r="B68" s="216"/>
      <c r="C68" s="219"/>
      <c r="D68" s="218"/>
      <c r="E68" s="222"/>
    </row>
    <row r="69" spans="1:5" x14ac:dyDescent="0.25">
      <c r="A69" s="220"/>
      <c r="B69" s="216"/>
      <c r="C69" s="219"/>
      <c r="D69" s="218"/>
      <c r="E69" s="222"/>
    </row>
    <row r="70" spans="1:5" x14ac:dyDescent="0.25">
      <c r="A70" s="220"/>
      <c r="B70" s="216"/>
      <c r="C70" s="219"/>
      <c r="D70" s="218"/>
      <c r="E70" s="222"/>
    </row>
    <row r="71" spans="1:5" x14ac:dyDescent="0.25">
      <c r="A71" s="220"/>
      <c r="B71" s="216"/>
      <c r="C71" s="219"/>
      <c r="D71" s="218"/>
      <c r="E71" s="222"/>
    </row>
    <row r="72" spans="1:5" x14ac:dyDescent="0.25">
      <c r="A72" s="220"/>
      <c r="B72" s="201"/>
      <c r="C72" s="219"/>
      <c r="D72" s="201"/>
      <c r="E72" s="222"/>
    </row>
    <row r="73" spans="1:5" x14ac:dyDescent="0.25">
      <c r="A73" s="220"/>
      <c r="B73" s="201"/>
      <c r="C73" s="219"/>
      <c r="D73" s="201"/>
      <c r="E73" s="222"/>
    </row>
    <row r="74" spans="1:5" x14ac:dyDescent="0.25">
      <c r="A74" s="220"/>
      <c r="B74" s="201"/>
      <c r="C74" s="219"/>
      <c r="D74" s="201"/>
      <c r="E74" s="222"/>
    </row>
    <row r="75" spans="1:5" x14ac:dyDescent="0.25">
      <c r="A75" s="220"/>
      <c r="B75" s="201"/>
      <c r="C75" s="219"/>
      <c r="D75" s="201"/>
      <c r="E75" s="222"/>
    </row>
    <row r="76" spans="1:5" x14ac:dyDescent="0.25">
      <c r="A76" s="220"/>
      <c r="B76" s="201"/>
      <c r="C76" s="219"/>
      <c r="D76" s="201"/>
      <c r="E76" s="222"/>
    </row>
    <row r="77" spans="1:5" x14ac:dyDescent="0.25">
      <c r="A77" s="220"/>
      <c r="B77" s="201"/>
      <c r="C77" s="219"/>
      <c r="D77" s="201"/>
      <c r="E77" s="222"/>
    </row>
    <row r="78" spans="1:5" x14ac:dyDescent="0.25">
      <c r="A78" s="220"/>
      <c r="B78" s="201"/>
      <c r="C78" s="219"/>
      <c r="D78" s="201"/>
      <c r="E78" s="222"/>
    </row>
    <row r="79" spans="1:5" x14ac:dyDescent="0.25">
      <c r="A79" s="220"/>
      <c r="B79" s="201"/>
      <c r="C79" s="219"/>
      <c r="D79" s="201"/>
      <c r="E79" s="222"/>
    </row>
    <row r="80" spans="1:5" x14ac:dyDescent="0.25">
      <c r="A80" s="220"/>
      <c r="B80" s="201"/>
      <c r="C80" s="219"/>
      <c r="D80" s="201"/>
      <c r="E80" s="222"/>
    </row>
    <row r="81" spans="1:5" x14ac:dyDescent="0.25">
      <c r="A81" s="220"/>
      <c r="B81" s="201"/>
      <c r="C81" s="219"/>
      <c r="D81" s="201"/>
      <c r="E81" s="222"/>
    </row>
    <row r="82" spans="1:5" x14ac:dyDescent="0.25">
      <c r="A82" s="220"/>
      <c r="B82" s="201"/>
      <c r="C82" s="219"/>
      <c r="D82" s="201"/>
      <c r="E82" s="222"/>
    </row>
    <row r="83" spans="1:5" x14ac:dyDescent="0.25">
      <c r="A83" s="220"/>
      <c r="B83" s="201"/>
      <c r="C83" s="219"/>
      <c r="D83" s="201"/>
      <c r="E83" s="222"/>
    </row>
    <row r="84" spans="1:5" x14ac:dyDescent="0.25">
      <c r="A84" s="220"/>
      <c r="B84" s="201"/>
      <c r="C84" s="219"/>
      <c r="D84" s="201"/>
      <c r="E84" s="222"/>
    </row>
    <row r="85" spans="1:5" x14ac:dyDescent="0.25">
      <c r="A85" s="220"/>
      <c r="B85" s="201"/>
      <c r="C85" s="219"/>
      <c r="D85" s="201"/>
      <c r="E85" s="222"/>
    </row>
    <row r="86" spans="1:5" x14ac:dyDescent="0.25">
      <c r="A86" s="220"/>
      <c r="B86" s="201"/>
      <c r="C86" s="219"/>
      <c r="D86" s="201"/>
      <c r="E86" s="222"/>
    </row>
    <row r="87" spans="1:5" x14ac:dyDescent="0.25">
      <c r="A87" s="220"/>
      <c r="B87" s="201"/>
      <c r="C87" s="219"/>
      <c r="D87" s="201"/>
      <c r="E87" s="222"/>
    </row>
    <row r="88" spans="1:5" x14ac:dyDescent="0.25">
      <c r="A88" s="220"/>
      <c r="B88" s="201"/>
      <c r="C88" s="219"/>
      <c r="D88" s="201"/>
      <c r="E88" s="222"/>
    </row>
    <row r="89" spans="1:5" x14ac:dyDescent="0.25">
      <c r="A89" s="220"/>
      <c r="B89" s="201"/>
      <c r="C89" s="219"/>
      <c r="D89" s="201"/>
      <c r="E89" s="222"/>
    </row>
    <row r="90" spans="1:5" x14ac:dyDescent="0.25">
      <c r="A90" s="220"/>
      <c r="B90" s="201"/>
      <c r="C90" s="219"/>
      <c r="D90" s="201"/>
      <c r="E90" s="222"/>
    </row>
    <row r="91" spans="1:5" x14ac:dyDescent="0.25">
      <c r="A91" s="220"/>
      <c r="B91" s="201"/>
      <c r="C91" s="219"/>
      <c r="D91" s="201"/>
      <c r="E91" s="222"/>
    </row>
    <row r="92" spans="1:5" x14ac:dyDescent="0.25">
      <c r="A92" s="220"/>
      <c r="B92" s="201"/>
      <c r="C92" s="219"/>
      <c r="D92" s="201"/>
      <c r="E92" s="222"/>
    </row>
    <row r="93" spans="1:5" x14ac:dyDescent="0.25">
      <c r="A93" s="220"/>
      <c r="B93" s="201"/>
      <c r="C93" s="219"/>
      <c r="D93" s="201"/>
      <c r="E93" s="222"/>
    </row>
    <row r="94" spans="1:5" x14ac:dyDescent="0.25">
      <c r="A94" s="220"/>
      <c r="B94" s="201"/>
      <c r="C94" s="219"/>
      <c r="D94" s="201"/>
      <c r="E94" s="222"/>
    </row>
    <row r="95" spans="1:5" x14ac:dyDescent="0.25">
      <c r="A95" s="220"/>
      <c r="B95" s="201"/>
      <c r="C95" s="219"/>
      <c r="D95" s="201"/>
      <c r="E95" s="222"/>
    </row>
    <row r="96" spans="1:5" x14ac:dyDescent="0.25">
      <c r="A96" s="220"/>
      <c r="B96" s="201"/>
      <c r="C96" s="219"/>
      <c r="D96" s="201"/>
      <c r="E96" s="222"/>
    </row>
    <row r="97" spans="1:5" x14ac:dyDescent="0.25">
      <c r="A97" s="220"/>
      <c r="B97" s="201"/>
      <c r="C97" s="219"/>
      <c r="D97" s="201"/>
      <c r="E97" s="222"/>
    </row>
    <row r="98" spans="1:5" x14ac:dyDescent="0.25">
      <c r="A98" s="220"/>
      <c r="B98" s="201"/>
      <c r="C98" s="219"/>
      <c r="D98" s="201"/>
      <c r="E98" s="222"/>
    </row>
    <row r="99" spans="1:5" x14ac:dyDescent="0.25">
      <c r="A99" s="220"/>
      <c r="B99" s="201"/>
      <c r="C99" s="219"/>
      <c r="D99" s="201"/>
      <c r="E99" s="222"/>
    </row>
    <row r="100" spans="1:5" x14ac:dyDescent="0.25">
      <c r="A100" s="220"/>
      <c r="B100" s="201"/>
      <c r="C100" s="219"/>
      <c r="D100" s="201"/>
      <c r="E100" s="222"/>
    </row>
    <row r="101" spans="1:5" x14ac:dyDescent="0.25">
      <c r="A101" s="220"/>
      <c r="B101" s="201"/>
      <c r="C101" s="219"/>
      <c r="D101" s="201"/>
      <c r="E101" s="222"/>
    </row>
    <row r="102" spans="1:5" x14ac:dyDescent="0.25">
      <c r="A102" s="220"/>
      <c r="B102" s="201"/>
      <c r="C102" s="219"/>
      <c r="D102" s="201"/>
      <c r="E102" s="222"/>
    </row>
    <row r="103" spans="1:5" x14ac:dyDescent="0.25">
      <c r="A103" s="220"/>
      <c r="B103" s="201"/>
      <c r="C103" s="219"/>
      <c r="D103" s="201"/>
      <c r="E103" s="222"/>
    </row>
    <row r="104" spans="1:5" x14ac:dyDescent="0.25">
      <c r="A104" s="220"/>
      <c r="B104" s="201"/>
      <c r="C104" s="219"/>
      <c r="D104" s="201"/>
      <c r="E104" s="222"/>
    </row>
    <row r="105" spans="1:5" x14ac:dyDescent="0.25">
      <c r="A105" s="220"/>
      <c r="B105" s="201"/>
      <c r="C105" s="219"/>
      <c r="D105" s="201"/>
      <c r="E105" s="222"/>
    </row>
    <row r="106" spans="1:5" x14ac:dyDescent="0.25">
      <c r="A106" s="220"/>
      <c r="B106" s="201"/>
      <c r="C106" s="219"/>
      <c r="D106" s="201"/>
      <c r="E106" s="222"/>
    </row>
    <row r="107" spans="1:5" x14ac:dyDescent="0.25">
      <c r="A107" s="220"/>
      <c r="B107" s="201"/>
      <c r="C107" s="219"/>
      <c r="D107" s="201"/>
      <c r="E107" s="222"/>
    </row>
    <row r="108" spans="1:5" x14ac:dyDescent="0.25">
      <c r="A108" s="220"/>
      <c r="B108" s="201"/>
      <c r="C108" s="219"/>
      <c r="D108" s="201"/>
      <c r="E108" s="222"/>
    </row>
    <row r="109" spans="1:5" x14ac:dyDescent="0.25">
      <c r="A109" s="220"/>
      <c r="B109" s="201"/>
      <c r="C109" s="219"/>
      <c r="D109" s="201"/>
      <c r="E109" s="222"/>
    </row>
    <row r="110" spans="1:5" x14ac:dyDescent="0.25">
      <c r="A110" s="220"/>
      <c r="B110" s="201"/>
      <c r="C110" s="219"/>
      <c r="D110" s="201"/>
      <c r="E110" s="222"/>
    </row>
    <row r="111" spans="1:5" x14ac:dyDescent="0.25">
      <c r="A111" s="220"/>
      <c r="B111" s="201"/>
      <c r="C111" s="219"/>
      <c r="D111" s="201"/>
      <c r="E111" s="222"/>
    </row>
    <row r="112" spans="1:5" x14ac:dyDescent="0.25">
      <c r="A112" s="220"/>
      <c r="B112" s="201"/>
      <c r="C112" s="219"/>
      <c r="D112" s="201"/>
      <c r="E112" s="222"/>
    </row>
    <row r="113" spans="1:5" x14ac:dyDescent="0.25">
      <c r="A113" s="220"/>
      <c r="B113" s="201"/>
      <c r="C113" s="219"/>
      <c r="D113" s="201"/>
      <c r="E113" s="222"/>
    </row>
    <row r="114" spans="1:5" x14ac:dyDescent="0.25">
      <c r="A114" s="220"/>
      <c r="B114" s="201"/>
      <c r="C114" s="219"/>
      <c r="D114" s="201"/>
      <c r="E114" s="222"/>
    </row>
    <row r="115" spans="1:5" x14ac:dyDescent="0.25">
      <c r="A115" s="220"/>
      <c r="B115" s="201"/>
      <c r="C115" s="219"/>
      <c r="D115" s="201"/>
      <c r="E115" s="222"/>
    </row>
    <row r="116" spans="1:5" x14ac:dyDescent="0.25">
      <c r="A116" s="220"/>
      <c r="B116" s="201"/>
      <c r="C116" s="219"/>
      <c r="D116" s="201"/>
      <c r="E116" s="222"/>
    </row>
    <row r="117" spans="1:5" x14ac:dyDescent="0.25">
      <c r="A117" s="220"/>
      <c r="B117" s="201"/>
      <c r="C117" s="219"/>
      <c r="D117" s="201"/>
      <c r="E117" s="222"/>
    </row>
    <row r="118" spans="1:5" x14ac:dyDescent="0.25">
      <c r="A118" s="220"/>
      <c r="B118" s="201"/>
      <c r="C118" s="219"/>
      <c r="D118" s="201"/>
      <c r="E118" s="222"/>
    </row>
    <row r="119" spans="1:5" x14ac:dyDescent="0.25">
      <c r="A119" s="220"/>
      <c r="B119" s="201"/>
      <c r="C119" s="219"/>
      <c r="D119" s="201"/>
      <c r="E119" s="222"/>
    </row>
    <row r="120" spans="1:5" x14ac:dyDescent="0.25">
      <c r="A120" s="220"/>
      <c r="B120" s="201"/>
      <c r="C120" s="219"/>
      <c r="D120" s="201"/>
      <c r="E120" s="222"/>
    </row>
    <row r="121" spans="1:5" x14ac:dyDescent="0.25">
      <c r="A121" s="220"/>
      <c r="B121" s="201"/>
      <c r="C121" s="219"/>
      <c r="D121" s="201"/>
      <c r="E121" s="222"/>
    </row>
    <row r="122" spans="1:5" x14ac:dyDescent="0.25">
      <c r="A122" s="220"/>
      <c r="B122" s="201"/>
      <c r="C122" s="219"/>
      <c r="D122" s="201"/>
      <c r="E122" s="222"/>
    </row>
    <row r="123" spans="1:5" x14ac:dyDescent="0.25">
      <c r="A123" s="220"/>
      <c r="B123" s="201"/>
      <c r="C123" s="219"/>
      <c r="D123" s="201"/>
      <c r="E123" s="222"/>
    </row>
    <row r="124" spans="1:5" x14ac:dyDescent="0.25">
      <c r="A124" s="220"/>
      <c r="B124" s="201"/>
      <c r="C124" s="219"/>
      <c r="D124" s="201"/>
      <c r="E124" s="222"/>
    </row>
    <row r="125" spans="1:5" x14ac:dyDescent="0.25">
      <c r="A125" s="220"/>
      <c r="B125" s="201"/>
      <c r="C125" s="219"/>
      <c r="D125" s="201"/>
      <c r="E125" s="222"/>
    </row>
    <row r="126" spans="1:5" x14ac:dyDescent="0.25">
      <c r="A126" s="220"/>
      <c r="B126" s="201"/>
      <c r="C126" s="219"/>
      <c r="D126" s="201"/>
      <c r="E126" s="222"/>
    </row>
    <row r="127" spans="1:5" x14ac:dyDescent="0.25">
      <c r="A127" s="220"/>
      <c r="B127" s="201"/>
      <c r="C127" s="219"/>
      <c r="D127" s="201"/>
      <c r="E127" s="222"/>
    </row>
    <row r="128" spans="1:5" x14ac:dyDescent="0.25">
      <c r="A128" s="220"/>
      <c r="B128" s="201"/>
      <c r="C128" s="219"/>
      <c r="D128" s="201"/>
      <c r="E128" s="222"/>
    </row>
    <row r="129" spans="1:5" x14ac:dyDescent="0.25">
      <c r="A129" s="220"/>
      <c r="B129" s="201"/>
      <c r="C129" s="219"/>
      <c r="D129" s="201"/>
      <c r="E129" s="222"/>
    </row>
    <row r="130" spans="1:5" x14ac:dyDescent="0.25">
      <c r="A130" s="220"/>
      <c r="B130" s="201"/>
      <c r="C130" s="219"/>
      <c r="D130" s="201"/>
      <c r="E130" s="222"/>
    </row>
    <row r="131" spans="1:5" x14ac:dyDescent="0.25">
      <c r="A131" s="220"/>
      <c r="B131" s="201"/>
      <c r="C131" s="219"/>
      <c r="D131" s="201"/>
      <c r="E131" s="222"/>
    </row>
    <row r="132" spans="1:5" x14ac:dyDescent="0.25">
      <c r="A132" s="220"/>
      <c r="B132" s="201"/>
      <c r="C132" s="219"/>
      <c r="D132" s="201"/>
      <c r="E132" s="222"/>
    </row>
    <row r="133" spans="1:5" x14ac:dyDescent="0.25">
      <c r="A133" s="220"/>
      <c r="B133" s="201"/>
      <c r="C133" s="219"/>
      <c r="D133" s="201"/>
      <c r="E133" s="222"/>
    </row>
    <row r="134" spans="1:5" x14ac:dyDescent="0.25">
      <c r="A134" s="220"/>
      <c r="B134" s="201"/>
      <c r="C134" s="219"/>
      <c r="D134" s="201"/>
      <c r="E134" s="222"/>
    </row>
    <row r="135" spans="1:5" x14ac:dyDescent="0.25">
      <c r="A135" s="220"/>
      <c r="B135" s="201"/>
      <c r="C135" s="219"/>
      <c r="D135" s="201"/>
      <c r="E135" s="222"/>
    </row>
    <row r="136" spans="1:5" x14ac:dyDescent="0.25">
      <c r="A136" s="220"/>
      <c r="B136" s="201"/>
      <c r="C136" s="219"/>
      <c r="D136" s="201"/>
      <c r="E136" s="222"/>
    </row>
    <row r="137" spans="1:5" x14ac:dyDescent="0.25">
      <c r="A137" s="220"/>
      <c r="B137" s="201"/>
      <c r="C137" s="219"/>
      <c r="D137" s="201"/>
      <c r="E137" s="222"/>
    </row>
    <row r="138" spans="1:5" x14ac:dyDescent="0.25">
      <c r="A138" s="220"/>
      <c r="B138" s="201"/>
      <c r="C138" s="219"/>
      <c r="D138" s="201"/>
      <c r="E138" s="222"/>
    </row>
    <row r="139" spans="1:5" x14ac:dyDescent="0.25">
      <c r="A139" s="220"/>
      <c r="B139" s="201"/>
      <c r="C139" s="219"/>
      <c r="D139" s="201"/>
      <c r="E139" s="222"/>
    </row>
    <row r="140" spans="1:5" x14ac:dyDescent="0.25">
      <c r="A140" s="220"/>
      <c r="B140" s="201"/>
      <c r="C140" s="219"/>
      <c r="D140" s="201"/>
      <c r="E140" s="222"/>
    </row>
    <row r="141" spans="1:5" x14ac:dyDescent="0.25">
      <c r="A141" s="220"/>
      <c r="B141" s="201"/>
      <c r="C141" s="219"/>
      <c r="D141" s="201"/>
      <c r="E141" s="222"/>
    </row>
    <row r="142" spans="1:5" x14ac:dyDescent="0.25">
      <c r="A142" s="220"/>
      <c r="B142" s="201"/>
      <c r="C142" s="219"/>
      <c r="D142" s="201"/>
      <c r="E142" s="222"/>
    </row>
    <row r="143" spans="1:5" x14ac:dyDescent="0.25">
      <c r="A143" s="220"/>
      <c r="B143" s="201"/>
      <c r="C143" s="219"/>
      <c r="D143" s="201"/>
      <c r="E143" s="222"/>
    </row>
    <row r="144" spans="1:5" x14ac:dyDescent="0.25">
      <c r="A144" s="220"/>
      <c r="B144" s="201"/>
      <c r="C144" s="219"/>
      <c r="D144" s="201"/>
      <c r="E144" s="222"/>
    </row>
    <row r="145" spans="1:5" x14ac:dyDescent="0.25">
      <c r="A145" s="220"/>
      <c r="B145" s="201"/>
      <c r="C145" s="219"/>
      <c r="D145" s="201"/>
      <c r="E145" s="222"/>
    </row>
    <row r="146" spans="1:5" x14ac:dyDescent="0.25">
      <c r="A146" s="220"/>
      <c r="B146" s="201"/>
      <c r="C146" s="219"/>
      <c r="D146" s="201"/>
      <c r="E146" s="222"/>
    </row>
    <row r="147" spans="1:5" x14ac:dyDescent="0.25">
      <c r="A147" s="220"/>
      <c r="B147" s="201"/>
      <c r="C147" s="219"/>
      <c r="D147" s="201"/>
      <c r="E147" s="222"/>
    </row>
    <row r="148" spans="1:5" x14ac:dyDescent="0.25">
      <c r="A148" s="220"/>
      <c r="B148" s="201"/>
      <c r="C148" s="219"/>
      <c r="D148" s="201"/>
      <c r="E148" s="222"/>
    </row>
    <row r="149" spans="1:5" x14ac:dyDescent="0.25">
      <c r="A149" s="220"/>
      <c r="B149" s="201"/>
      <c r="C149" s="219"/>
      <c r="D149" s="201"/>
      <c r="E149" s="222"/>
    </row>
    <row r="150" spans="1:5" x14ac:dyDescent="0.25">
      <c r="A150" s="220"/>
      <c r="B150" s="201"/>
      <c r="C150" s="219"/>
      <c r="D150" s="201"/>
      <c r="E150" s="222"/>
    </row>
    <row r="151" spans="1:5" x14ac:dyDescent="0.25">
      <c r="A151" s="220"/>
      <c r="B151" s="201"/>
      <c r="C151" s="219"/>
      <c r="D151" s="201"/>
      <c r="E151" s="222"/>
    </row>
    <row r="152" spans="1:5" x14ac:dyDescent="0.25">
      <c r="A152" s="220"/>
      <c r="B152" s="201"/>
      <c r="C152" s="219"/>
      <c r="D152" s="201"/>
      <c r="E152" s="222"/>
    </row>
    <row r="153" spans="1:5" x14ac:dyDescent="0.25">
      <c r="A153" s="220"/>
      <c r="B153" s="201"/>
      <c r="C153" s="219"/>
      <c r="D153" s="201"/>
      <c r="E153" s="222"/>
    </row>
    <row r="154" spans="1:5" x14ac:dyDescent="0.25">
      <c r="A154" s="220"/>
      <c r="B154" s="201"/>
      <c r="C154" s="219"/>
      <c r="D154" s="201"/>
      <c r="E154" s="222"/>
    </row>
    <row r="155" spans="1:5" x14ac:dyDescent="0.25">
      <c r="A155" s="220"/>
      <c r="B155" s="201"/>
      <c r="C155" s="219"/>
      <c r="D155" s="201"/>
      <c r="E155" s="222"/>
    </row>
    <row r="156" spans="1:5" x14ac:dyDescent="0.25">
      <c r="A156" s="220"/>
      <c r="B156" s="201"/>
      <c r="C156" s="219"/>
      <c r="D156" s="201"/>
      <c r="E156" s="222"/>
    </row>
    <row r="157" spans="1:5" x14ac:dyDescent="0.25">
      <c r="A157" s="220"/>
      <c r="B157" s="201"/>
      <c r="C157" s="219"/>
      <c r="D157" s="201"/>
      <c r="E157" s="222"/>
    </row>
    <row r="158" spans="1:5" x14ac:dyDescent="0.25">
      <c r="A158" s="220"/>
      <c r="B158" s="201"/>
      <c r="C158" s="219"/>
      <c r="D158" s="201"/>
      <c r="E158" s="222"/>
    </row>
    <row r="159" spans="1:5" x14ac:dyDescent="0.25">
      <c r="A159" s="220"/>
      <c r="B159" s="201"/>
      <c r="C159" s="219"/>
      <c r="D159" s="201"/>
      <c r="E159" s="222"/>
    </row>
    <row r="160" spans="1:5" x14ac:dyDescent="0.25">
      <c r="A160" s="220"/>
      <c r="B160" s="201"/>
      <c r="C160" s="219"/>
      <c r="D160" s="201"/>
      <c r="E160" s="222"/>
    </row>
    <row r="161" spans="1:5" x14ac:dyDescent="0.25">
      <c r="A161" s="220"/>
      <c r="B161" s="201"/>
      <c r="C161" s="219"/>
      <c r="D161" s="201"/>
      <c r="E161" s="222"/>
    </row>
    <row r="162" spans="1:5" x14ac:dyDescent="0.25">
      <c r="A162" s="220"/>
      <c r="B162" s="201"/>
      <c r="C162" s="219"/>
      <c r="D162" s="201"/>
      <c r="E162" s="201"/>
    </row>
    <row r="163" spans="1:5" x14ac:dyDescent="0.25">
      <c r="A163" s="201"/>
      <c r="B163" s="201"/>
      <c r="C163" s="201"/>
      <c r="D163" s="201"/>
      <c r="E163" s="201"/>
    </row>
    <row r="164" spans="1:5" x14ac:dyDescent="0.25">
      <c r="A164" s="201"/>
      <c r="B164" s="201"/>
      <c r="C164" s="201"/>
      <c r="D164" s="201"/>
      <c r="E164" s="201"/>
    </row>
    <row r="165" spans="1:5" x14ac:dyDescent="0.25">
      <c r="A165" s="201"/>
      <c r="B165" s="201"/>
      <c r="C165" s="201"/>
      <c r="D165" s="201"/>
      <c r="E165" s="201"/>
    </row>
    <row r="166" spans="1:5" ht="18.75" x14ac:dyDescent="0.3">
      <c r="A166" s="201"/>
      <c r="B166" s="201"/>
      <c r="C166" s="201"/>
      <c r="D166" s="201"/>
      <c r="E166" s="223">
        <f>SUM(E2:E165)</f>
        <v>0</v>
      </c>
    </row>
  </sheetData>
  <conditionalFormatting sqref="B1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A4B4A3-B63C-4293-AC7F-02D6300197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CERTIFICATE</vt:lpstr>
      <vt:lpstr>Sheet1</vt:lpstr>
      <vt:lpstr>ATM MAN. BAL</vt:lpstr>
      <vt:lpstr>MANUAL BAL TRXNS</vt:lpstr>
      <vt:lpstr>ATM RECON PAGE</vt:lpstr>
      <vt:lpstr>GL</vt:lpstr>
      <vt:lpstr>FEP</vt:lpstr>
      <vt:lpstr>FLEXCUBE</vt:lpstr>
      <vt:lpstr>TRXNS AFT CSH CNT B4 EOD</vt:lpstr>
      <vt:lpstr>SUSP DISPENSE ERROR</vt:lpstr>
      <vt:lpstr>ON FEP NOT ON GL</vt:lpstr>
      <vt:lpstr>NOT ON GL ON FEP</vt:lpstr>
      <vt:lpstr>am_pmLocList</vt:lpstr>
      <vt:lpstr>amount_unload_1k</vt:lpstr>
      <vt:lpstr>amount_unload_5h</vt:lpstr>
      <vt:lpstr>FEP!ATM_FEP_12</vt:lpstr>
      <vt:lpstr>atm_glcode</vt:lpstr>
      <vt:lpstr>Branch</vt:lpstr>
      <vt:lpstr>closingGLBal</vt:lpstr>
      <vt:lpstr>closingGLBalRecPg</vt:lpstr>
      <vt:lpstr>date_new</vt:lpstr>
      <vt:lpstr>date_prev</vt:lpstr>
      <vt:lpstr>dayLocList</vt:lpstr>
      <vt:lpstr>Fresh_load</vt:lpstr>
      <vt:lpstr>GL!gl_9</vt:lpstr>
      <vt:lpstr>hourLocList</vt:lpstr>
      <vt:lpstr>Last_load</vt:lpstr>
      <vt:lpstr>locList</vt:lpstr>
      <vt:lpstr>manBalTotWdwl</vt:lpstr>
      <vt:lpstr>minLocList</vt:lpstr>
      <vt:lpstr>monthLocList</vt:lpstr>
      <vt:lpstr>prepared_by</vt:lpstr>
      <vt:lpstr>Reviewed_by</vt:lpstr>
      <vt:lpstr>time_new</vt:lpstr>
      <vt:lpstr>time_prev_off</vt:lpstr>
      <vt:lpstr>time_prev_on</vt:lpstr>
      <vt:lpstr>totTrxnsBeforeEOD</vt:lpstr>
      <vt:lpstr>yearLocList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2019-06-13T11:38:53Z</dcterms:created>
  <dcterms:modified xsi:type="dcterms:W3CDTF">2019-07-17T10:35:06Z</dcterms:modified>
</cp:coreProperties>
</file>